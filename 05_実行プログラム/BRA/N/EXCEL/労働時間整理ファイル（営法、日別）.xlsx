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827"/>
  <workbookPr filterPrivacy="1" defaultThemeVersion="124226"/>
  <xr:revisionPtr revIDLastSave="0" documentId="13_ncr:1_{27410F81-FECC-4CA3-8648-07F8F58B9CED}" xr6:coauthVersionLast="47" xr6:coauthVersionMax="47" xr10:uidLastSave="{00000000-0000-0000-0000-000000000000}"/>
  <bookViews>
    <workbookView xWindow="396" yWindow="204" windowWidth="15012" windowHeight="10488" tabRatio="845" xr2:uid="{00000000-000D-0000-FFFF-FFFF00000000}"/>
  </bookViews>
  <sheets>
    <sheet name="設定" sheetId="80" r:id="rId1"/>
    <sheet name="日別入力" sheetId="81" r:id="rId2"/>
    <sheet name="12_01_労働の概況" sheetId="79" r:id="rId3"/>
    <sheet name="12_02_労働の概況" sheetId="85" r:id="rId4"/>
    <sheet name="リスト " sheetId="82" state="hidden" r:id="rId5"/>
  </sheets>
  <externalReferences>
    <externalReference r:id="rId6"/>
  </externalReferences>
  <definedNames>
    <definedName name="_xlnm._FilterDatabase" localSheetId="0" hidden="1">設定!$B$8:$N$108</definedName>
    <definedName name="_xlnm._FilterDatabase" localSheetId="1" hidden="1">日別入力!$B$5:$AP$678</definedName>
    <definedName name="_xlnm.Print_Area" localSheetId="2">'12_01_労働の概況'!$A$1:$AB$45</definedName>
    <definedName name="_xlnm.Print_Area" localSheetId="3">'12_02_労働の概況'!$A$1:$AR$52</definedName>
    <definedName name="_xlnm.Print_Area" localSheetId="1">日別入力!$B$1:$AP$681</definedName>
    <definedName name="_xlnm.Print_Titles" localSheetId="0">設定!$1:$8</definedName>
    <definedName name="_xlnm.Print_Titles" localSheetId="1">日別入力!$1:$6</definedName>
    <definedName name="建築物コード" localSheetId="4">#REF!</definedName>
    <definedName name="建物コード" localSheetId="4">#REF!</definedName>
    <definedName name="構造コード" localSheetId="4">#REF!</definedName>
    <definedName name="構築物コード" localSheetId="4">#REF!</definedName>
    <definedName name="残存割合" localSheetId="4">#REF!</definedName>
    <definedName name="自動車コード" localSheetId="4">#REF!</definedName>
    <definedName name="償却率" localSheetId="4">[1]種類・構造・型式・牛馬コード!$AH$4:$AI$103</definedName>
    <definedName name="新古_修繕区分" localSheetId="4">#REF!</definedName>
    <definedName name="生産費" localSheetId="4">#REF!</definedName>
    <definedName name="生産費区分" localSheetId="4">#REF!</definedName>
    <definedName name="税制19年" localSheetId="4">#REF!</definedName>
    <definedName name="税制20年" localSheetId="4">#REF!</definedName>
    <definedName name="耐用年数" localSheetId="4">[1]種類・構造・型式・牛馬コード!$Y$1:$AF$322</definedName>
    <definedName name="調査始期" localSheetId="4">#REF!</definedName>
    <definedName name="調査年" localSheetId="4">'[1]表紙 (新)'!$G$66</definedName>
    <definedName name="農機具コード" localSheetId="4">#REF!</definedName>
  </definedNames>
  <calcPr calcId="181029"/>
</workbook>
</file>

<file path=xl/calcChain.xml><?xml version="1.0" encoding="utf-8"?>
<calcChain xmlns="http://schemas.openxmlformats.org/spreadsheetml/2006/main">
  <c r="U44" i="79" l="1"/>
  <c r="P44" i="79"/>
  <c r="K44" i="79"/>
  <c r="U43" i="79"/>
  <c r="P43" i="79"/>
  <c r="K43" i="79"/>
  <c r="U42" i="79"/>
  <c r="P42" i="79"/>
  <c r="K42" i="79"/>
  <c r="U41" i="79"/>
  <c r="P41" i="79"/>
  <c r="K41" i="79"/>
  <c r="U40" i="79"/>
  <c r="P40" i="79"/>
  <c r="K40" i="79"/>
  <c r="U39" i="79"/>
  <c r="P39" i="79"/>
  <c r="K39" i="79"/>
  <c r="U38" i="79"/>
  <c r="P38" i="79"/>
  <c r="K38" i="79"/>
  <c r="U37" i="79"/>
  <c r="P37" i="79"/>
  <c r="K37" i="79"/>
  <c r="U36" i="79"/>
  <c r="P36" i="79"/>
  <c r="K36" i="79"/>
  <c r="U35" i="79"/>
  <c r="P35" i="79"/>
  <c r="K35" i="79"/>
  <c r="U34" i="79"/>
  <c r="P34" i="79"/>
  <c r="K34" i="79"/>
  <c r="U33" i="79"/>
  <c r="P33" i="79"/>
  <c r="K33" i="79"/>
  <c r="U32" i="79"/>
  <c r="P32" i="79"/>
  <c r="K32" i="79"/>
  <c r="U31" i="79"/>
  <c r="P31" i="79"/>
  <c r="K31" i="79"/>
  <c r="B3" i="81"/>
  <c r="AP16" i="81"/>
  <c r="AP17" i="81"/>
  <c r="AP18" i="81"/>
  <c r="AP19" i="81"/>
  <c r="AP20" i="81"/>
  <c r="AP21" i="81"/>
  <c r="AP22" i="81"/>
  <c r="AP23" i="81"/>
  <c r="AP24" i="81"/>
  <c r="AP25" i="81"/>
  <c r="AP26" i="81"/>
  <c r="AP27" i="81"/>
  <c r="AP28" i="81"/>
  <c r="AP29" i="81"/>
  <c r="AP30" i="81"/>
  <c r="AP31" i="81"/>
  <c r="AP32" i="81"/>
  <c r="AP33" i="81"/>
  <c r="AP34" i="81"/>
  <c r="AP35" i="81"/>
  <c r="AP36" i="81"/>
  <c r="AP37" i="81"/>
  <c r="AP38" i="81"/>
  <c r="AP39" i="81"/>
  <c r="AP40" i="81"/>
  <c r="AP41" i="81"/>
  <c r="AP42" i="81"/>
  <c r="AP43" i="81"/>
  <c r="AP44" i="81"/>
  <c r="AP45" i="81"/>
  <c r="AP46" i="81"/>
  <c r="AP47" i="81"/>
  <c r="AP48" i="81"/>
  <c r="AP49" i="81"/>
  <c r="AP50" i="81"/>
  <c r="AP51" i="81"/>
  <c r="AP52" i="81"/>
  <c r="AP53" i="81"/>
  <c r="AP54" i="81"/>
  <c r="AP55" i="81"/>
  <c r="AP56" i="81"/>
  <c r="AP57" i="81"/>
  <c r="AP58" i="81"/>
  <c r="AP59" i="81"/>
  <c r="AP60" i="81"/>
  <c r="AP61" i="81"/>
  <c r="AP62" i="81"/>
  <c r="AP63" i="81"/>
  <c r="AP64" i="81"/>
  <c r="AP65" i="81"/>
  <c r="AP66" i="81"/>
  <c r="AP67" i="81"/>
  <c r="AP68" i="81"/>
  <c r="AP69" i="81"/>
  <c r="AP70" i="81"/>
  <c r="AP71" i="81"/>
  <c r="AP72" i="81"/>
  <c r="AP73" i="81"/>
  <c r="AP74" i="81"/>
  <c r="AP75" i="81"/>
  <c r="AP76" i="81"/>
  <c r="AP77" i="81"/>
  <c r="AP78" i="81"/>
  <c r="AP79" i="81"/>
  <c r="AP80" i="81"/>
  <c r="AP81" i="81"/>
  <c r="AP82" i="81"/>
  <c r="AP83" i="81"/>
  <c r="AP84" i="81"/>
  <c r="AP85" i="81"/>
  <c r="AP86" i="81"/>
  <c r="AP87" i="81"/>
  <c r="AP88" i="81"/>
  <c r="AP89" i="81"/>
  <c r="AP90" i="81"/>
  <c r="AP91" i="81"/>
  <c r="AP92" i="81"/>
  <c r="AP93" i="81"/>
  <c r="AP94" i="81"/>
  <c r="AP95" i="81"/>
  <c r="AP96" i="81"/>
  <c r="AP97" i="81"/>
  <c r="AP98" i="81"/>
  <c r="AP99" i="81"/>
  <c r="AP100" i="81"/>
  <c r="AP101" i="81"/>
  <c r="AP102" i="81"/>
  <c r="AP103" i="81"/>
  <c r="AP104" i="81"/>
  <c r="AP105" i="81"/>
  <c r="AP106" i="81"/>
  <c r="AP107" i="81"/>
  <c r="AP108" i="81"/>
  <c r="AP109" i="81"/>
  <c r="AP110" i="81"/>
  <c r="AP111" i="81"/>
  <c r="AP112" i="81"/>
  <c r="AP113" i="81"/>
  <c r="AP114" i="81"/>
  <c r="AP115" i="81"/>
  <c r="AP116" i="81"/>
  <c r="AP117" i="81"/>
  <c r="AP118" i="81"/>
  <c r="AP119" i="81"/>
  <c r="AP120" i="81"/>
  <c r="AP121" i="81"/>
  <c r="AP122" i="81"/>
  <c r="AP123" i="81"/>
  <c r="AP124" i="81"/>
  <c r="AP125" i="81"/>
  <c r="AP126" i="81"/>
  <c r="AP127" i="81"/>
  <c r="AP128" i="81"/>
  <c r="AP129" i="81"/>
  <c r="AP130" i="81"/>
  <c r="AP131" i="81"/>
  <c r="AP132" i="81"/>
  <c r="AP133" i="81"/>
  <c r="AP134" i="81"/>
  <c r="AP135" i="81"/>
  <c r="AP136" i="81"/>
  <c r="AP137" i="81"/>
  <c r="AP138" i="81"/>
  <c r="AP139" i="81"/>
  <c r="AP140" i="81"/>
  <c r="AP141" i="81"/>
  <c r="AP142" i="81"/>
  <c r="AP143" i="81"/>
  <c r="AP144" i="81"/>
  <c r="AP145" i="81"/>
  <c r="AP146" i="81"/>
  <c r="AP147" i="81"/>
  <c r="AP148" i="81"/>
  <c r="AP149" i="81"/>
  <c r="AP150" i="81"/>
  <c r="AP151" i="81"/>
  <c r="AP152" i="81"/>
  <c r="AP153" i="81"/>
  <c r="AP154" i="81"/>
  <c r="AP155" i="81"/>
  <c r="AP156" i="81"/>
  <c r="AP157" i="81"/>
  <c r="AP158" i="81"/>
  <c r="AP159" i="81"/>
  <c r="AP160" i="81"/>
  <c r="AP161" i="81"/>
  <c r="AP162" i="81"/>
  <c r="AP163" i="81"/>
  <c r="AP164" i="81"/>
  <c r="AP165" i="81"/>
  <c r="AP166" i="81"/>
  <c r="AP167" i="81"/>
  <c r="AP168" i="81"/>
  <c r="AP169" i="81"/>
  <c r="AP170" i="81"/>
  <c r="AP171" i="81"/>
  <c r="AP172" i="81"/>
  <c r="AP173" i="81"/>
  <c r="AP174" i="81"/>
  <c r="AP175" i="81"/>
  <c r="AP176" i="81"/>
  <c r="AP177" i="81"/>
  <c r="AP178" i="81"/>
  <c r="AP179" i="81"/>
  <c r="AP180" i="81"/>
  <c r="AP181" i="81"/>
  <c r="AP182" i="81"/>
  <c r="AP183" i="81"/>
  <c r="AP184" i="81"/>
  <c r="AP185" i="81"/>
  <c r="AP186" i="81"/>
  <c r="AP187" i="81"/>
  <c r="AP188" i="81"/>
  <c r="AP189" i="81"/>
  <c r="AP190" i="81"/>
  <c r="AP191" i="81"/>
  <c r="AP192" i="81"/>
  <c r="AP193" i="81"/>
  <c r="AP194" i="81"/>
  <c r="AP195" i="81"/>
  <c r="AP196" i="81"/>
  <c r="AP197" i="81"/>
  <c r="AP198" i="81"/>
  <c r="AP199" i="81"/>
  <c r="AP200" i="81"/>
  <c r="AP201" i="81"/>
  <c r="AP202" i="81"/>
  <c r="AP203" i="81"/>
  <c r="AP204" i="81"/>
  <c r="AP205" i="81"/>
  <c r="AP206" i="81"/>
  <c r="AP207" i="81"/>
  <c r="AP208" i="81"/>
  <c r="AP209" i="81"/>
  <c r="AP210" i="81"/>
  <c r="AP211" i="81"/>
  <c r="AP212" i="81"/>
  <c r="AP213" i="81"/>
  <c r="AP214" i="81"/>
  <c r="AP215" i="81"/>
  <c r="AP216" i="81"/>
  <c r="AP217" i="81"/>
  <c r="AP218" i="81"/>
  <c r="AP219" i="81"/>
  <c r="AP220" i="81"/>
  <c r="AP221" i="81"/>
  <c r="AP222" i="81"/>
  <c r="AP223" i="81"/>
  <c r="AP224" i="81"/>
  <c r="AP225" i="81"/>
  <c r="AP226" i="81"/>
  <c r="AP227" i="81"/>
  <c r="AP228" i="81"/>
  <c r="AP229" i="81"/>
  <c r="AP230" i="81"/>
  <c r="AP231" i="81"/>
  <c r="AP232" i="81"/>
  <c r="AP233" i="81"/>
  <c r="AP234" i="81"/>
  <c r="AP235" i="81"/>
  <c r="AP236" i="81"/>
  <c r="AP237" i="81"/>
  <c r="AP238" i="81"/>
  <c r="AP239" i="81"/>
  <c r="AP240" i="81"/>
  <c r="AP241" i="81"/>
  <c r="AP242" i="81"/>
  <c r="AP243" i="81"/>
  <c r="AP244" i="81"/>
  <c r="AP245" i="81"/>
  <c r="AP246" i="81"/>
  <c r="AP247" i="81"/>
  <c r="AP248" i="81"/>
  <c r="AP249" i="81"/>
  <c r="AP250" i="81"/>
  <c r="AP251" i="81"/>
  <c r="AP252" i="81"/>
  <c r="AP253" i="81"/>
  <c r="AP254" i="81"/>
  <c r="AP255" i="81"/>
  <c r="AP256" i="81"/>
  <c r="AP257" i="81"/>
  <c r="AP258" i="81"/>
  <c r="AP259" i="81"/>
  <c r="AP260" i="81"/>
  <c r="AP261" i="81"/>
  <c r="AP262" i="81"/>
  <c r="AP263" i="81"/>
  <c r="AP264" i="81"/>
  <c r="AP265" i="81"/>
  <c r="AP266" i="81"/>
  <c r="AP267" i="81"/>
  <c r="AP268" i="81"/>
  <c r="AP269" i="81"/>
  <c r="AP270" i="81"/>
  <c r="AP271" i="81"/>
  <c r="AP272" i="81"/>
  <c r="AP273" i="81"/>
  <c r="AP274" i="81"/>
  <c r="AP275" i="81"/>
  <c r="AP276" i="81"/>
  <c r="AP277" i="81"/>
  <c r="AP278" i="81"/>
  <c r="AP279" i="81"/>
  <c r="AP280" i="81"/>
  <c r="AP281" i="81"/>
  <c r="AP282" i="81"/>
  <c r="AP283" i="81"/>
  <c r="AP284" i="81"/>
  <c r="AP285" i="81"/>
  <c r="AP286" i="81"/>
  <c r="AP287" i="81"/>
  <c r="AP288" i="81"/>
  <c r="AP289" i="81"/>
  <c r="AP290" i="81"/>
  <c r="AP291" i="81"/>
  <c r="AP292" i="81"/>
  <c r="AP293" i="81"/>
  <c r="AP294" i="81"/>
  <c r="AP295" i="81"/>
  <c r="AP296" i="81"/>
  <c r="AP297" i="81"/>
  <c r="AP298" i="81"/>
  <c r="AP299" i="81"/>
  <c r="AP300" i="81"/>
  <c r="AP301" i="81"/>
  <c r="AP302" i="81"/>
  <c r="AP303" i="81"/>
  <c r="AP304" i="81"/>
  <c r="AP305" i="81"/>
  <c r="AP306" i="81"/>
  <c r="AP307" i="81"/>
  <c r="AP308" i="81"/>
  <c r="AP309" i="81"/>
  <c r="AP310" i="81"/>
  <c r="AP311" i="81"/>
  <c r="AP312" i="81"/>
  <c r="AP313" i="81"/>
  <c r="AP314" i="81"/>
  <c r="AP315" i="81"/>
  <c r="AP316" i="81"/>
  <c r="AP317" i="81"/>
  <c r="AP318" i="81"/>
  <c r="AP319" i="81"/>
  <c r="AP320" i="81"/>
  <c r="AP321" i="81"/>
  <c r="AP322" i="81"/>
  <c r="AP323" i="81"/>
  <c r="AP324" i="81"/>
  <c r="AP325" i="81"/>
  <c r="AP326" i="81"/>
  <c r="AP327" i="81"/>
  <c r="AP328" i="81"/>
  <c r="AP329" i="81"/>
  <c r="AP330" i="81"/>
  <c r="AP331" i="81"/>
  <c r="AP332" i="81"/>
  <c r="AP333" i="81"/>
  <c r="AP334" i="81"/>
  <c r="AP335" i="81"/>
  <c r="AP336" i="81"/>
  <c r="AP337" i="81"/>
  <c r="AP338" i="81"/>
  <c r="AP339" i="81"/>
  <c r="AP340" i="81"/>
  <c r="AP341" i="81"/>
  <c r="AP342" i="81"/>
  <c r="AP343" i="81"/>
  <c r="AP344" i="81"/>
  <c r="AP345" i="81"/>
  <c r="AP346" i="81"/>
  <c r="AP347" i="81"/>
  <c r="AP348" i="81"/>
  <c r="AP349" i="81"/>
  <c r="AP350" i="81"/>
  <c r="AP351" i="81"/>
  <c r="AP352" i="81"/>
  <c r="AP353" i="81"/>
  <c r="AP354" i="81"/>
  <c r="AP355" i="81"/>
  <c r="AP356" i="81"/>
  <c r="AP357" i="81"/>
  <c r="AP358" i="81"/>
  <c r="AP359" i="81"/>
  <c r="AP360" i="81"/>
  <c r="AP361" i="81"/>
  <c r="AP362" i="81"/>
  <c r="AP363" i="81"/>
  <c r="AP364" i="81"/>
  <c r="AP365" i="81"/>
  <c r="AP366" i="81"/>
  <c r="AP367" i="81"/>
  <c r="AP368" i="81"/>
  <c r="AP369" i="81"/>
  <c r="AP370" i="81"/>
  <c r="AP371" i="81"/>
  <c r="AP372" i="81"/>
  <c r="AP373" i="81"/>
  <c r="AP374" i="81"/>
  <c r="AP375" i="81"/>
  <c r="AP376" i="81"/>
  <c r="AP377" i="81"/>
  <c r="AP378" i="81"/>
  <c r="AP379" i="81"/>
  <c r="AP380" i="81"/>
  <c r="AP381" i="81"/>
  <c r="AP382" i="81"/>
  <c r="AP383" i="81"/>
  <c r="AP384" i="81"/>
  <c r="AP385" i="81"/>
  <c r="AP386" i="81"/>
  <c r="AP387" i="81"/>
  <c r="AP388" i="81"/>
  <c r="AP389" i="81"/>
  <c r="AP390" i="81"/>
  <c r="AP391" i="81"/>
  <c r="AP392" i="81"/>
  <c r="AP393" i="81"/>
  <c r="AP394" i="81"/>
  <c r="AP395" i="81"/>
  <c r="AP396" i="81"/>
  <c r="AP397" i="81"/>
  <c r="AP398" i="81"/>
  <c r="AP399" i="81"/>
  <c r="AP400" i="81"/>
  <c r="AP401" i="81"/>
  <c r="AP402" i="81"/>
  <c r="AP403" i="81"/>
  <c r="AP404" i="81"/>
  <c r="AP405" i="81"/>
  <c r="AP406" i="81"/>
  <c r="AP407" i="81"/>
  <c r="AP408" i="81"/>
  <c r="AP409" i="81"/>
  <c r="AP410" i="81"/>
  <c r="AP411" i="81"/>
  <c r="AP412" i="81"/>
  <c r="AP413" i="81"/>
  <c r="AP414" i="81"/>
  <c r="AP415" i="81"/>
  <c r="AP416" i="81"/>
  <c r="AP417" i="81"/>
  <c r="AP418" i="81"/>
  <c r="AP419" i="81"/>
  <c r="AP420" i="81"/>
  <c r="AP421" i="81"/>
  <c r="AP422" i="81"/>
  <c r="AP423" i="81"/>
  <c r="AP424" i="81"/>
  <c r="AP425" i="81"/>
  <c r="AP426" i="81"/>
  <c r="AP427" i="81"/>
  <c r="AP428" i="81"/>
  <c r="AP429" i="81"/>
  <c r="AP430" i="81"/>
  <c r="AP431" i="81"/>
  <c r="AP432" i="81"/>
  <c r="AP433" i="81"/>
  <c r="AP434" i="81"/>
  <c r="AP435" i="81"/>
  <c r="AP436" i="81"/>
  <c r="AP437" i="81"/>
  <c r="AP438" i="81"/>
  <c r="AP439" i="81"/>
  <c r="AP440" i="81"/>
  <c r="AP441" i="81"/>
  <c r="AP442" i="81"/>
  <c r="AP443" i="81"/>
  <c r="AP444" i="81"/>
  <c r="AP445" i="81"/>
  <c r="AP446" i="81"/>
  <c r="AP447" i="81"/>
  <c r="AP448" i="81"/>
  <c r="AP449" i="81"/>
  <c r="AP450" i="81"/>
  <c r="AP451" i="81"/>
  <c r="AP452" i="81"/>
  <c r="AP453" i="81"/>
  <c r="AP454" i="81"/>
  <c r="AP455" i="81"/>
  <c r="AP456" i="81"/>
  <c r="AP457" i="81"/>
  <c r="AP458" i="81"/>
  <c r="AP459" i="81"/>
  <c r="AP460" i="81"/>
  <c r="AP461" i="81"/>
  <c r="AP462" i="81"/>
  <c r="AP463" i="81"/>
  <c r="AP464" i="81"/>
  <c r="AP465" i="81"/>
  <c r="AP466" i="81"/>
  <c r="AP467" i="81"/>
  <c r="AP468" i="81"/>
  <c r="AP469" i="81"/>
  <c r="AP470" i="81"/>
  <c r="AP471" i="81"/>
  <c r="AP472" i="81"/>
  <c r="AP473" i="81"/>
  <c r="AP474" i="81"/>
  <c r="AP475" i="81"/>
  <c r="AP476" i="81"/>
  <c r="AP477" i="81"/>
  <c r="AP478" i="81"/>
  <c r="AP479" i="81"/>
  <c r="AP480" i="81"/>
  <c r="AP481" i="81"/>
  <c r="AP482" i="81"/>
  <c r="AP483" i="81"/>
  <c r="AP484" i="81"/>
  <c r="AP485" i="81"/>
  <c r="AP486" i="81"/>
  <c r="AP487" i="81"/>
  <c r="AP488" i="81"/>
  <c r="AP489" i="81"/>
  <c r="AP490" i="81"/>
  <c r="AP491" i="81"/>
  <c r="AP492" i="81"/>
  <c r="AP493" i="81"/>
  <c r="AP494" i="81"/>
  <c r="AP495" i="81"/>
  <c r="AP496" i="81"/>
  <c r="AP497" i="81"/>
  <c r="AP498" i="81"/>
  <c r="AP499" i="81"/>
  <c r="AP500" i="81"/>
  <c r="AP501" i="81"/>
  <c r="AP502" i="81"/>
  <c r="AP503" i="81"/>
  <c r="AP504" i="81"/>
  <c r="AP505" i="81"/>
  <c r="AP506" i="81"/>
  <c r="AP507" i="81"/>
  <c r="AP508" i="81"/>
  <c r="AP509" i="81"/>
  <c r="AP510" i="81"/>
  <c r="AP511" i="81"/>
  <c r="AP512" i="81"/>
  <c r="AP513" i="81"/>
  <c r="AP514" i="81"/>
  <c r="AP515" i="81"/>
  <c r="AP516" i="81"/>
  <c r="AP517" i="81"/>
  <c r="AP518" i="81"/>
  <c r="AP519" i="81"/>
  <c r="AP520" i="81"/>
  <c r="AP521" i="81"/>
  <c r="AP522" i="81"/>
  <c r="AP523" i="81"/>
  <c r="AP524" i="81"/>
  <c r="AP525" i="81"/>
  <c r="AP526" i="81"/>
  <c r="AP527" i="81"/>
  <c r="AP528" i="81"/>
  <c r="AP529" i="81"/>
  <c r="AP530" i="81"/>
  <c r="AP531" i="81"/>
  <c r="AP532" i="81"/>
  <c r="AP533" i="81"/>
  <c r="AP534" i="81"/>
  <c r="AP535" i="81"/>
  <c r="AP536" i="81"/>
  <c r="AP537" i="81"/>
  <c r="AP538" i="81"/>
  <c r="AP539" i="81"/>
  <c r="AP540" i="81"/>
  <c r="AP541" i="81"/>
  <c r="AP542" i="81"/>
  <c r="AP543" i="81"/>
  <c r="AP544" i="81"/>
  <c r="AP545" i="81"/>
  <c r="AP546" i="81"/>
  <c r="AP547" i="81"/>
  <c r="AP548" i="81"/>
  <c r="AP549" i="81"/>
  <c r="AP550" i="81"/>
  <c r="AP551" i="81"/>
  <c r="AP552" i="81"/>
  <c r="AP553" i="81"/>
  <c r="AP554" i="81"/>
  <c r="AP555" i="81"/>
  <c r="AP556" i="81"/>
  <c r="AP557" i="81"/>
  <c r="AP558" i="81"/>
  <c r="AP559" i="81"/>
  <c r="AP560" i="81"/>
  <c r="AP561" i="81"/>
  <c r="AP562" i="81"/>
  <c r="AP563" i="81"/>
  <c r="AP564" i="81"/>
  <c r="AP565" i="81"/>
  <c r="AP566" i="81"/>
  <c r="AP567" i="81"/>
  <c r="AP568" i="81"/>
  <c r="AP569" i="81"/>
  <c r="AP570" i="81"/>
  <c r="AP571" i="81"/>
  <c r="AP572" i="81"/>
  <c r="AP573" i="81"/>
  <c r="AP574" i="81"/>
  <c r="AP575" i="81"/>
  <c r="AP576" i="81"/>
  <c r="AP577" i="81"/>
  <c r="AP578" i="81"/>
  <c r="AP579" i="81"/>
  <c r="AP580" i="81"/>
  <c r="AP581" i="81"/>
  <c r="AP582" i="81"/>
  <c r="AP583" i="81"/>
  <c r="AP584" i="81"/>
  <c r="AP585" i="81"/>
  <c r="AP586" i="81"/>
  <c r="AP587" i="81"/>
  <c r="AP588" i="81"/>
  <c r="AP589" i="81"/>
  <c r="AP590" i="81"/>
  <c r="AP591" i="81"/>
  <c r="AP592" i="81"/>
  <c r="AP593" i="81"/>
  <c r="AP594" i="81"/>
  <c r="AP595" i="81"/>
  <c r="AP596" i="81"/>
  <c r="AP597" i="81"/>
  <c r="AP598" i="81"/>
  <c r="AP599" i="81"/>
  <c r="AP600" i="81"/>
  <c r="AP601" i="81"/>
  <c r="AP602" i="81"/>
  <c r="AP603" i="81"/>
  <c r="AP604" i="81"/>
  <c r="AP605" i="81"/>
  <c r="AP606" i="81"/>
  <c r="AP607" i="81"/>
  <c r="AP608" i="81"/>
  <c r="AP609" i="81"/>
  <c r="AP610" i="81"/>
  <c r="AP611" i="81"/>
  <c r="AP612" i="81"/>
  <c r="AP613" i="81"/>
  <c r="AP614" i="81"/>
  <c r="AP615" i="81"/>
  <c r="AP616" i="81"/>
  <c r="AP617" i="81"/>
  <c r="AP618" i="81"/>
  <c r="AP619" i="81"/>
  <c r="AP620" i="81"/>
  <c r="AP621" i="81"/>
  <c r="AP622" i="81"/>
  <c r="AP623" i="81"/>
  <c r="AP624" i="81"/>
  <c r="AP625" i="81"/>
  <c r="AP626" i="81"/>
  <c r="AP627" i="81"/>
  <c r="AP628" i="81"/>
  <c r="AP629" i="81"/>
  <c r="AP630" i="81"/>
  <c r="AP631" i="81"/>
  <c r="AP632" i="81"/>
  <c r="AP633" i="81"/>
  <c r="AP634" i="81"/>
  <c r="AP635" i="81"/>
  <c r="AP636" i="81"/>
  <c r="AP637" i="81"/>
  <c r="AP638" i="81"/>
  <c r="AP639" i="81"/>
  <c r="AP640" i="81"/>
  <c r="AP641" i="81"/>
  <c r="AP642" i="81"/>
  <c r="AP643" i="81"/>
  <c r="AP644" i="81"/>
  <c r="AP645" i="81"/>
  <c r="AP646" i="81"/>
  <c r="AP647" i="81"/>
  <c r="AP648" i="81"/>
  <c r="AP649" i="81"/>
  <c r="AP650" i="81"/>
  <c r="AP651" i="81"/>
  <c r="AP652" i="81"/>
  <c r="AP653" i="81"/>
  <c r="AP654" i="81"/>
  <c r="AP655" i="81"/>
  <c r="AP656" i="81"/>
  <c r="AP657" i="81"/>
  <c r="AP658" i="81"/>
  <c r="AP659" i="81"/>
  <c r="AP660" i="81"/>
  <c r="AP661" i="81"/>
  <c r="AP662" i="81"/>
  <c r="AP663" i="81"/>
  <c r="AP664" i="81"/>
  <c r="AP665" i="81"/>
  <c r="AP666" i="81"/>
  <c r="AP667" i="81"/>
  <c r="AP668" i="81"/>
  <c r="AP669" i="81"/>
  <c r="AP670" i="81"/>
  <c r="AP671" i="81"/>
  <c r="AP672" i="81"/>
  <c r="AP673" i="81"/>
  <c r="AP674" i="81"/>
  <c r="AP675" i="81"/>
  <c r="AP676" i="81"/>
  <c r="AP677" i="81"/>
  <c r="AP678" i="81"/>
  <c r="AP679" i="81"/>
  <c r="AP680" i="81"/>
  <c r="AP681" i="81"/>
  <c r="AP8" i="81"/>
  <c r="AP9" i="81"/>
  <c r="AP10" i="81"/>
  <c r="AP11" i="81"/>
  <c r="AP12" i="81"/>
  <c r="AP13" i="81"/>
  <c r="AP14" i="81"/>
  <c r="AP15" i="81"/>
  <c r="F9" i="81"/>
  <c r="G9" i="81"/>
  <c r="H9" i="81"/>
  <c r="I9" i="81"/>
  <c r="F10" i="81"/>
  <c r="G10" i="81"/>
  <c r="H10" i="81"/>
  <c r="I10" i="81"/>
  <c r="F11" i="81"/>
  <c r="G11" i="81"/>
  <c r="H11" i="81"/>
  <c r="I11" i="81"/>
  <c r="F12" i="81"/>
  <c r="G12" i="81"/>
  <c r="H12" i="81"/>
  <c r="I12" i="81"/>
  <c r="F13" i="81"/>
  <c r="G13" i="81"/>
  <c r="H13" i="81"/>
  <c r="I13" i="81"/>
  <c r="F14" i="81"/>
  <c r="G14" i="81"/>
  <c r="H14" i="81"/>
  <c r="I14" i="81"/>
  <c r="F15" i="81"/>
  <c r="G15" i="81"/>
  <c r="H15" i="81"/>
  <c r="I15" i="81"/>
  <c r="F16" i="81"/>
  <c r="G16" i="81"/>
  <c r="H16" i="81"/>
  <c r="I16" i="81"/>
  <c r="F17" i="81"/>
  <c r="G17" i="81"/>
  <c r="H17" i="81"/>
  <c r="I17" i="81"/>
  <c r="F18" i="81"/>
  <c r="G18" i="81"/>
  <c r="H18" i="81"/>
  <c r="I18" i="81"/>
  <c r="F19" i="81"/>
  <c r="G19" i="81"/>
  <c r="H19" i="81"/>
  <c r="I19" i="81"/>
  <c r="F20" i="81"/>
  <c r="G20" i="81"/>
  <c r="H20" i="81"/>
  <c r="I20" i="81"/>
  <c r="F21" i="81"/>
  <c r="G21" i="81"/>
  <c r="H21" i="81"/>
  <c r="I21" i="81"/>
  <c r="F22" i="81"/>
  <c r="G22" i="81"/>
  <c r="H22" i="81"/>
  <c r="I22" i="81"/>
  <c r="F23" i="81"/>
  <c r="G23" i="81"/>
  <c r="H23" i="81"/>
  <c r="I23" i="81"/>
  <c r="F24" i="81"/>
  <c r="G24" i="81"/>
  <c r="H24" i="81"/>
  <c r="I24" i="81"/>
  <c r="F25" i="81"/>
  <c r="G25" i="81"/>
  <c r="H25" i="81"/>
  <c r="I25" i="81"/>
  <c r="F26" i="81"/>
  <c r="G26" i="81"/>
  <c r="H26" i="81"/>
  <c r="I26" i="81"/>
  <c r="F27" i="81"/>
  <c r="G27" i="81"/>
  <c r="H27" i="81"/>
  <c r="I27" i="81"/>
  <c r="F28" i="81"/>
  <c r="G28" i="81"/>
  <c r="H28" i="81"/>
  <c r="I28" i="81"/>
  <c r="F29" i="81"/>
  <c r="G29" i="81"/>
  <c r="H29" i="81"/>
  <c r="I29" i="81"/>
  <c r="F30" i="81"/>
  <c r="G30" i="81"/>
  <c r="H30" i="81"/>
  <c r="I30" i="81"/>
  <c r="F31" i="81"/>
  <c r="G31" i="81"/>
  <c r="H31" i="81"/>
  <c r="I31" i="81"/>
  <c r="F32" i="81"/>
  <c r="G32" i="81"/>
  <c r="H32" i="81"/>
  <c r="I32" i="81"/>
  <c r="F33" i="81"/>
  <c r="G33" i="81"/>
  <c r="H33" i="81"/>
  <c r="I33" i="81"/>
  <c r="F34" i="81"/>
  <c r="G34" i="81"/>
  <c r="H34" i="81"/>
  <c r="I34" i="81"/>
  <c r="F35" i="81"/>
  <c r="G35" i="81"/>
  <c r="H35" i="81"/>
  <c r="I35" i="81"/>
  <c r="F36" i="81"/>
  <c r="G36" i="81"/>
  <c r="H36" i="81"/>
  <c r="I36" i="81"/>
  <c r="F37" i="81"/>
  <c r="G37" i="81"/>
  <c r="H37" i="81"/>
  <c r="I37" i="81"/>
  <c r="F38" i="81"/>
  <c r="G38" i="81"/>
  <c r="H38" i="81"/>
  <c r="I38" i="81"/>
  <c r="F39" i="81"/>
  <c r="G39" i="81"/>
  <c r="H39" i="81"/>
  <c r="I39" i="81"/>
  <c r="F40" i="81"/>
  <c r="G40" i="81"/>
  <c r="H40" i="81"/>
  <c r="I40" i="81"/>
  <c r="F41" i="81"/>
  <c r="G41" i="81"/>
  <c r="H41" i="81"/>
  <c r="I41" i="81"/>
  <c r="F42" i="81"/>
  <c r="G42" i="81"/>
  <c r="H42" i="81"/>
  <c r="I42" i="81"/>
  <c r="F43" i="81"/>
  <c r="G43" i="81"/>
  <c r="H43" i="81"/>
  <c r="I43" i="81"/>
  <c r="F44" i="81"/>
  <c r="G44" i="81"/>
  <c r="H44" i="81"/>
  <c r="I44" i="81"/>
  <c r="F45" i="81"/>
  <c r="G45" i="81"/>
  <c r="H45" i="81"/>
  <c r="I45" i="81"/>
  <c r="F46" i="81"/>
  <c r="G46" i="81"/>
  <c r="H46" i="81"/>
  <c r="I46" i="81"/>
  <c r="F47" i="81"/>
  <c r="G47" i="81"/>
  <c r="H47" i="81"/>
  <c r="I47" i="81"/>
  <c r="F48" i="81"/>
  <c r="G48" i="81"/>
  <c r="H48" i="81"/>
  <c r="I48" i="81"/>
  <c r="F49" i="81"/>
  <c r="G49" i="81"/>
  <c r="H49" i="81"/>
  <c r="I49" i="81"/>
  <c r="F50" i="81"/>
  <c r="G50" i="81"/>
  <c r="H50" i="81"/>
  <c r="I50" i="81"/>
  <c r="F51" i="81"/>
  <c r="G51" i="81"/>
  <c r="H51" i="81"/>
  <c r="I51" i="81"/>
  <c r="F52" i="81"/>
  <c r="G52" i="81"/>
  <c r="H52" i="81"/>
  <c r="I52" i="81"/>
  <c r="F53" i="81"/>
  <c r="G53" i="81"/>
  <c r="H53" i="81"/>
  <c r="I53" i="81"/>
  <c r="F54" i="81"/>
  <c r="G54" i="81"/>
  <c r="H54" i="81"/>
  <c r="I54" i="81"/>
  <c r="F55" i="81"/>
  <c r="G55" i="81"/>
  <c r="H55" i="81"/>
  <c r="I55" i="81"/>
  <c r="F56" i="81"/>
  <c r="G56" i="81"/>
  <c r="H56" i="81"/>
  <c r="I56" i="81"/>
  <c r="F57" i="81"/>
  <c r="G57" i="81"/>
  <c r="H57" i="81"/>
  <c r="I57" i="81"/>
  <c r="F58" i="81"/>
  <c r="G58" i="81"/>
  <c r="H58" i="81"/>
  <c r="I58" i="81"/>
  <c r="F59" i="81"/>
  <c r="G59" i="81"/>
  <c r="H59" i="81"/>
  <c r="I59" i="81"/>
  <c r="F60" i="81"/>
  <c r="G60" i="81"/>
  <c r="H60" i="81"/>
  <c r="I60" i="81"/>
  <c r="F61" i="81"/>
  <c r="G61" i="81"/>
  <c r="H61" i="81"/>
  <c r="I61" i="81"/>
  <c r="F62" i="81"/>
  <c r="G62" i="81"/>
  <c r="H62" i="81"/>
  <c r="I62" i="81"/>
  <c r="F63" i="81"/>
  <c r="G63" i="81"/>
  <c r="H63" i="81"/>
  <c r="I63" i="81"/>
  <c r="F64" i="81"/>
  <c r="G64" i="81"/>
  <c r="H64" i="81"/>
  <c r="I64" i="81"/>
  <c r="F65" i="81"/>
  <c r="G65" i="81"/>
  <c r="H65" i="81"/>
  <c r="I65" i="81"/>
  <c r="F66" i="81"/>
  <c r="G66" i="81"/>
  <c r="H66" i="81"/>
  <c r="I66" i="81"/>
  <c r="F67" i="81"/>
  <c r="G67" i="81"/>
  <c r="H67" i="81"/>
  <c r="I67" i="81"/>
  <c r="F68" i="81"/>
  <c r="G68" i="81"/>
  <c r="H68" i="81"/>
  <c r="I68" i="81"/>
  <c r="F69" i="81"/>
  <c r="G69" i="81"/>
  <c r="H69" i="81"/>
  <c r="I69" i="81"/>
  <c r="F70" i="81"/>
  <c r="G70" i="81"/>
  <c r="H70" i="81"/>
  <c r="I70" i="81"/>
  <c r="F71" i="81"/>
  <c r="G71" i="81"/>
  <c r="H71" i="81"/>
  <c r="I71" i="81"/>
  <c r="F72" i="81"/>
  <c r="G72" i="81"/>
  <c r="H72" i="81"/>
  <c r="I72" i="81"/>
  <c r="F73" i="81"/>
  <c r="G73" i="81"/>
  <c r="H73" i="81"/>
  <c r="I73" i="81"/>
  <c r="F74" i="81"/>
  <c r="G74" i="81"/>
  <c r="H74" i="81"/>
  <c r="I74" i="81"/>
  <c r="F75" i="81"/>
  <c r="G75" i="81"/>
  <c r="H75" i="81"/>
  <c r="I75" i="81"/>
  <c r="F76" i="81"/>
  <c r="G76" i="81"/>
  <c r="H76" i="81"/>
  <c r="I76" i="81"/>
  <c r="F77" i="81"/>
  <c r="G77" i="81"/>
  <c r="H77" i="81"/>
  <c r="I77" i="81"/>
  <c r="F78" i="81"/>
  <c r="G78" i="81"/>
  <c r="H78" i="81"/>
  <c r="I78" i="81"/>
  <c r="F79" i="81"/>
  <c r="G79" i="81"/>
  <c r="H79" i="81"/>
  <c r="I79" i="81"/>
  <c r="F80" i="81"/>
  <c r="G80" i="81"/>
  <c r="H80" i="81"/>
  <c r="I80" i="81"/>
  <c r="F81" i="81"/>
  <c r="G81" i="81"/>
  <c r="H81" i="81"/>
  <c r="I81" i="81"/>
  <c r="F82" i="81"/>
  <c r="G82" i="81"/>
  <c r="H82" i="81"/>
  <c r="I82" i="81"/>
  <c r="F83" i="81"/>
  <c r="G83" i="81"/>
  <c r="H83" i="81"/>
  <c r="I83" i="81"/>
  <c r="F84" i="81"/>
  <c r="G84" i="81"/>
  <c r="H84" i="81"/>
  <c r="I84" i="81"/>
  <c r="F85" i="81"/>
  <c r="G85" i="81"/>
  <c r="H85" i="81"/>
  <c r="I85" i="81"/>
  <c r="F86" i="81"/>
  <c r="G86" i="81"/>
  <c r="H86" i="81"/>
  <c r="I86" i="81"/>
  <c r="F87" i="81"/>
  <c r="G87" i="81"/>
  <c r="H87" i="81"/>
  <c r="I87" i="81"/>
  <c r="F88" i="81"/>
  <c r="G88" i="81"/>
  <c r="H88" i="81"/>
  <c r="I88" i="81"/>
  <c r="F89" i="81"/>
  <c r="G89" i="81"/>
  <c r="H89" i="81"/>
  <c r="I89" i="81"/>
  <c r="F90" i="81"/>
  <c r="G90" i="81"/>
  <c r="H90" i="81"/>
  <c r="I90" i="81"/>
  <c r="F91" i="81"/>
  <c r="G91" i="81"/>
  <c r="H91" i="81"/>
  <c r="I91" i="81"/>
  <c r="F92" i="81"/>
  <c r="G92" i="81"/>
  <c r="H92" i="81"/>
  <c r="I92" i="81"/>
  <c r="F93" i="81"/>
  <c r="G93" i="81"/>
  <c r="H93" i="81"/>
  <c r="I93" i="81"/>
  <c r="F94" i="81"/>
  <c r="G94" i="81"/>
  <c r="H94" i="81"/>
  <c r="I94" i="81"/>
  <c r="F95" i="81"/>
  <c r="G95" i="81"/>
  <c r="H95" i="81"/>
  <c r="I95" i="81"/>
  <c r="F96" i="81"/>
  <c r="G96" i="81"/>
  <c r="H96" i="81"/>
  <c r="I96" i="81"/>
  <c r="F97" i="81"/>
  <c r="G97" i="81"/>
  <c r="H97" i="81"/>
  <c r="I97" i="81"/>
  <c r="F98" i="81"/>
  <c r="G98" i="81"/>
  <c r="H98" i="81"/>
  <c r="I98" i="81"/>
  <c r="F99" i="81"/>
  <c r="G99" i="81"/>
  <c r="H99" i="81"/>
  <c r="I99" i="81"/>
  <c r="F100" i="81"/>
  <c r="G100" i="81"/>
  <c r="H100" i="81"/>
  <c r="I100" i="81"/>
  <c r="F101" i="81"/>
  <c r="G101" i="81"/>
  <c r="H101" i="81"/>
  <c r="I101" i="81"/>
  <c r="F102" i="81"/>
  <c r="G102" i="81"/>
  <c r="H102" i="81"/>
  <c r="I102" i="81"/>
  <c r="F103" i="81"/>
  <c r="G103" i="81"/>
  <c r="H103" i="81"/>
  <c r="I103" i="81"/>
  <c r="F104" i="81"/>
  <c r="G104" i="81"/>
  <c r="H104" i="81"/>
  <c r="I104" i="81"/>
  <c r="F105" i="81"/>
  <c r="G105" i="81"/>
  <c r="H105" i="81"/>
  <c r="I105" i="81"/>
  <c r="F106" i="81"/>
  <c r="G106" i="81"/>
  <c r="H106" i="81"/>
  <c r="I106" i="81"/>
  <c r="F107" i="81"/>
  <c r="G107" i="81"/>
  <c r="H107" i="81"/>
  <c r="I107" i="81"/>
  <c r="F108" i="81"/>
  <c r="G108" i="81"/>
  <c r="H108" i="81"/>
  <c r="I108" i="81"/>
  <c r="F109" i="81"/>
  <c r="G109" i="81"/>
  <c r="H109" i="81"/>
  <c r="I109" i="81"/>
  <c r="F110" i="81"/>
  <c r="G110" i="81"/>
  <c r="H110" i="81"/>
  <c r="I110" i="81"/>
  <c r="F111" i="81"/>
  <c r="G111" i="81"/>
  <c r="H111" i="81"/>
  <c r="I111" i="81"/>
  <c r="F112" i="81"/>
  <c r="G112" i="81"/>
  <c r="H112" i="81"/>
  <c r="I112" i="81"/>
  <c r="F113" i="81"/>
  <c r="G113" i="81"/>
  <c r="H113" i="81"/>
  <c r="I113" i="81"/>
  <c r="F114" i="81"/>
  <c r="G114" i="81"/>
  <c r="H114" i="81"/>
  <c r="I114" i="81"/>
  <c r="F115" i="81"/>
  <c r="G115" i="81"/>
  <c r="H115" i="81"/>
  <c r="I115" i="81"/>
  <c r="F116" i="81"/>
  <c r="G116" i="81"/>
  <c r="H116" i="81"/>
  <c r="I116" i="81"/>
  <c r="F117" i="81"/>
  <c r="G117" i="81"/>
  <c r="H117" i="81"/>
  <c r="I117" i="81"/>
  <c r="F118" i="81"/>
  <c r="G118" i="81"/>
  <c r="H118" i="81"/>
  <c r="I118" i="81"/>
  <c r="F119" i="81"/>
  <c r="G119" i="81"/>
  <c r="H119" i="81"/>
  <c r="I119" i="81"/>
  <c r="F120" i="81"/>
  <c r="G120" i="81"/>
  <c r="H120" i="81"/>
  <c r="I120" i="81"/>
  <c r="F121" i="81"/>
  <c r="G121" i="81"/>
  <c r="H121" i="81"/>
  <c r="I121" i="81"/>
  <c r="F122" i="81"/>
  <c r="G122" i="81"/>
  <c r="H122" i="81"/>
  <c r="I122" i="81"/>
  <c r="F123" i="81"/>
  <c r="G123" i="81"/>
  <c r="H123" i="81"/>
  <c r="I123" i="81"/>
  <c r="F124" i="81"/>
  <c r="G124" i="81"/>
  <c r="H124" i="81"/>
  <c r="I124" i="81"/>
  <c r="F125" i="81"/>
  <c r="G125" i="81"/>
  <c r="H125" i="81"/>
  <c r="I125" i="81"/>
  <c r="F126" i="81"/>
  <c r="G126" i="81"/>
  <c r="H126" i="81"/>
  <c r="I126" i="81"/>
  <c r="F127" i="81"/>
  <c r="G127" i="81"/>
  <c r="H127" i="81"/>
  <c r="I127" i="81"/>
  <c r="F128" i="81"/>
  <c r="G128" i="81"/>
  <c r="H128" i="81"/>
  <c r="I128" i="81"/>
  <c r="F129" i="81"/>
  <c r="G129" i="81"/>
  <c r="H129" i="81"/>
  <c r="I129" i="81"/>
  <c r="F130" i="81"/>
  <c r="G130" i="81"/>
  <c r="H130" i="81"/>
  <c r="I130" i="81"/>
  <c r="F131" i="81"/>
  <c r="G131" i="81"/>
  <c r="H131" i="81"/>
  <c r="I131" i="81"/>
  <c r="F132" i="81"/>
  <c r="G132" i="81"/>
  <c r="H132" i="81"/>
  <c r="I132" i="81"/>
  <c r="F133" i="81"/>
  <c r="G133" i="81"/>
  <c r="H133" i="81"/>
  <c r="I133" i="81"/>
  <c r="F134" i="81"/>
  <c r="G134" i="81"/>
  <c r="H134" i="81"/>
  <c r="I134" i="81"/>
  <c r="F135" i="81"/>
  <c r="G135" i="81"/>
  <c r="H135" i="81"/>
  <c r="I135" i="81"/>
  <c r="F136" i="81"/>
  <c r="G136" i="81"/>
  <c r="H136" i="81"/>
  <c r="I136" i="81"/>
  <c r="F137" i="81"/>
  <c r="G137" i="81"/>
  <c r="H137" i="81"/>
  <c r="I137" i="81"/>
  <c r="F138" i="81"/>
  <c r="G138" i="81"/>
  <c r="H138" i="81"/>
  <c r="I138" i="81"/>
  <c r="F139" i="81"/>
  <c r="G139" i="81"/>
  <c r="H139" i="81"/>
  <c r="I139" i="81"/>
  <c r="F140" i="81"/>
  <c r="G140" i="81"/>
  <c r="H140" i="81"/>
  <c r="I140" i="81"/>
  <c r="F141" i="81"/>
  <c r="G141" i="81"/>
  <c r="H141" i="81"/>
  <c r="I141" i="81"/>
  <c r="F142" i="81"/>
  <c r="G142" i="81"/>
  <c r="H142" i="81"/>
  <c r="I142" i="81"/>
  <c r="F143" i="81"/>
  <c r="G143" i="81"/>
  <c r="H143" i="81"/>
  <c r="I143" i="81"/>
  <c r="F144" i="81"/>
  <c r="G144" i="81"/>
  <c r="H144" i="81"/>
  <c r="I144" i="81"/>
  <c r="F145" i="81"/>
  <c r="G145" i="81"/>
  <c r="H145" i="81"/>
  <c r="I145" i="81"/>
  <c r="F146" i="81"/>
  <c r="G146" i="81"/>
  <c r="H146" i="81"/>
  <c r="I146" i="81"/>
  <c r="F147" i="81"/>
  <c r="G147" i="81"/>
  <c r="H147" i="81"/>
  <c r="I147" i="81"/>
  <c r="F148" i="81"/>
  <c r="G148" i="81"/>
  <c r="H148" i="81"/>
  <c r="I148" i="81"/>
  <c r="F149" i="81"/>
  <c r="G149" i="81"/>
  <c r="H149" i="81"/>
  <c r="I149" i="81"/>
  <c r="F150" i="81"/>
  <c r="G150" i="81"/>
  <c r="H150" i="81"/>
  <c r="I150" i="81"/>
  <c r="F151" i="81"/>
  <c r="G151" i="81"/>
  <c r="H151" i="81"/>
  <c r="I151" i="81"/>
  <c r="F152" i="81"/>
  <c r="G152" i="81"/>
  <c r="H152" i="81"/>
  <c r="I152" i="81"/>
  <c r="F153" i="81"/>
  <c r="G153" i="81"/>
  <c r="H153" i="81"/>
  <c r="I153" i="81"/>
  <c r="F154" i="81"/>
  <c r="G154" i="81"/>
  <c r="H154" i="81"/>
  <c r="I154" i="81"/>
  <c r="F155" i="81"/>
  <c r="G155" i="81"/>
  <c r="H155" i="81"/>
  <c r="I155" i="81"/>
  <c r="F156" i="81"/>
  <c r="G156" i="81"/>
  <c r="H156" i="81"/>
  <c r="I156" i="81"/>
  <c r="F157" i="81"/>
  <c r="G157" i="81"/>
  <c r="H157" i="81"/>
  <c r="I157" i="81"/>
  <c r="F158" i="81"/>
  <c r="G158" i="81"/>
  <c r="H158" i="81"/>
  <c r="I158" i="81"/>
  <c r="F159" i="81"/>
  <c r="G159" i="81"/>
  <c r="H159" i="81"/>
  <c r="I159" i="81"/>
  <c r="F160" i="81"/>
  <c r="G160" i="81"/>
  <c r="H160" i="81"/>
  <c r="I160" i="81"/>
  <c r="F161" i="81"/>
  <c r="G161" i="81"/>
  <c r="H161" i="81"/>
  <c r="I161" i="81"/>
  <c r="F162" i="81"/>
  <c r="G162" i="81"/>
  <c r="H162" i="81"/>
  <c r="I162" i="81"/>
  <c r="F163" i="81"/>
  <c r="G163" i="81"/>
  <c r="H163" i="81"/>
  <c r="I163" i="81"/>
  <c r="F164" i="81"/>
  <c r="G164" i="81"/>
  <c r="H164" i="81"/>
  <c r="I164" i="81"/>
  <c r="F165" i="81"/>
  <c r="G165" i="81"/>
  <c r="H165" i="81"/>
  <c r="I165" i="81"/>
  <c r="F166" i="81"/>
  <c r="G166" i="81"/>
  <c r="H166" i="81"/>
  <c r="I166" i="81"/>
  <c r="F167" i="81"/>
  <c r="G167" i="81"/>
  <c r="H167" i="81"/>
  <c r="I167" i="81"/>
  <c r="F168" i="81"/>
  <c r="G168" i="81"/>
  <c r="H168" i="81"/>
  <c r="I168" i="81"/>
  <c r="F169" i="81"/>
  <c r="G169" i="81"/>
  <c r="H169" i="81"/>
  <c r="I169" i="81"/>
  <c r="F170" i="81"/>
  <c r="G170" i="81"/>
  <c r="H170" i="81"/>
  <c r="I170" i="81"/>
  <c r="F171" i="81"/>
  <c r="G171" i="81"/>
  <c r="H171" i="81"/>
  <c r="I171" i="81"/>
  <c r="F172" i="81"/>
  <c r="G172" i="81"/>
  <c r="H172" i="81"/>
  <c r="I172" i="81"/>
  <c r="F173" i="81"/>
  <c r="G173" i="81"/>
  <c r="H173" i="81"/>
  <c r="I173" i="81"/>
  <c r="F174" i="81"/>
  <c r="G174" i="81"/>
  <c r="H174" i="81"/>
  <c r="I174" i="81"/>
  <c r="F175" i="81"/>
  <c r="G175" i="81"/>
  <c r="H175" i="81"/>
  <c r="I175" i="81"/>
  <c r="F176" i="81"/>
  <c r="G176" i="81"/>
  <c r="H176" i="81"/>
  <c r="I176" i="81"/>
  <c r="F177" i="81"/>
  <c r="G177" i="81"/>
  <c r="H177" i="81"/>
  <c r="I177" i="81"/>
  <c r="F178" i="81"/>
  <c r="G178" i="81"/>
  <c r="H178" i="81"/>
  <c r="I178" i="81"/>
  <c r="F179" i="81"/>
  <c r="G179" i="81"/>
  <c r="H179" i="81"/>
  <c r="I179" i="81"/>
  <c r="F180" i="81"/>
  <c r="G180" i="81"/>
  <c r="H180" i="81"/>
  <c r="I180" i="81"/>
  <c r="F181" i="81"/>
  <c r="G181" i="81"/>
  <c r="H181" i="81"/>
  <c r="I181" i="81"/>
  <c r="F182" i="81"/>
  <c r="G182" i="81"/>
  <c r="H182" i="81"/>
  <c r="I182" i="81"/>
  <c r="F183" i="81"/>
  <c r="G183" i="81"/>
  <c r="H183" i="81"/>
  <c r="I183" i="81"/>
  <c r="F184" i="81"/>
  <c r="G184" i="81"/>
  <c r="H184" i="81"/>
  <c r="I184" i="81"/>
  <c r="F185" i="81"/>
  <c r="G185" i="81"/>
  <c r="H185" i="81"/>
  <c r="I185" i="81"/>
  <c r="F186" i="81"/>
  <c r="G186" i="81"/>
  <c r="H186" i="81"/>
  <c r="I186" i="81"/>
  <c r="F187" i="81"/>
  <c r="G187" i="81"/>
  <c r="H187" i="81"/>
  <c r="I187" i="81"/>
  <c r="F188" i="81"/>
  <c r="G188" i="81"/>
  <c r="H188" i="81"/>
  <c r="I188" i="81"/>
  <c r="F189" i="81"/>
  <c r="G189" i="81"/>
  <c r="H189" i="81"/>
  <c r="I189" i="81"/>
  <c r="F190" i="81"/>
  <c r="G190" i="81"/>
  <c r="H190" i="81"/>
  <c r="I190" i="81"/>
  <c r="F191" i="81"/>
  <c r="G191" i="81"/>
  <c r="H191" i="81"/>
  <c r="I191" i="81"/>
  <c r="F192" i="81"/>
  <c r="G192" i="81"/>
  <c r="H192" i="81"/>
  <c r="I192" i="81"/>
  <c r="F193" i="81"/>
  <c r="G193" i="81"/>
  <c r="H193" i="81"/>
  <c r="I193" i="81"/>
  <c r="F194" i="81"/>
  <c r="G194" i="81"/>
  <c r="H194" i="81"/>
  <c r="I194" i="81"/>
  <c r="F195" i="81"/>
  <c r="G195" i="81"/>
  <c r="H195" i="81"/>
  <c r="I195" i="81"/>
  <c r="F196" i="81"/>
  <c r="G196" i="81"/>
  <c r="H196" i="81"/>
  <c r="I196" i="81"/>
  <c r="F197" i="81"/>
  <c r="G197" i="81"/>
  <c r="H197" i="81"/>
  <c r="I197" i="81"/>
  <c r="F198" i="81"/>
  <c r="G198" i="81"/>
  <c r="H198" i="81"/>
  <c r="I198" i="81"/>
  <c r="F199" i="81"/>
  <c r="G199" i="81"/>
  <c r="H199" i="81"/>
  <c r="I199" i="81"/>
  <c r="F200" i="81"/>
  <c r="G200" i="81"/>
  <c r="H200" i="81"/>
  <c r="I200" i="81"/>
  <c r="F201" i="81"/>
  <c r="G201" i="81"/>
  <c r="H201" i="81"/>
  <c r="I201" i="81"/>
  <c r="F202" i="81"/>
  <c r="G202" i="81"/>
  <c r="H202" i="81"/>
  <c r="I202" i="81"/>
  <c r="F203" i="81"/>
  <c r="G203" i="81"/>
  <c r="H203" i="81"/>
  <c r="I203" i="81"/>
  <c r="F204" i="81"/>
  <c r="G204" i="81"/>
  <c r="H204" i="81"/>
  <c r="I204" i="81"/>
  <c r="F205" i="81"/>
  <c r="G205" i="81"/>
  <c r="H205" i="81"/>
  <c r="I205" i="81"/>
  <c r="F206" i="81"/>
  <c r="G206" i="81"/>
  <c r="H206" i="81"/>
  <c r="I206" i="81"/>
  <c r="F207" i="81"/>
  <c r="G207" i="81"/>
  <c r="H207" i="81"/>
  <c r="I207" i="81"/>
  <c r="F208" i="81"/>
  <c r="G208" i="81"/>
  <c r="H208" i="81"/>
  <c r="I208" i="81"/>
  <c r="F209" i="81"/>
  <c r="G209" i="81"/>
  <c r="H209" i="81"/>
  <c r="I209" i="81"/>
  <c r="F210" i="81"/>
  <c r="G210" i="81"/>
  <c r="H210" i="81"/>
  <c r="I210" i="81"/>
  <c r="F211" i="81"/>
  <c r="G211" i="81"/>
  <c r="H211" i="81"/>
  <c r="I211" i="81"/>
  <c r="F212" i="81"/>
  <c r="G212" i="81"/>
  <c r="H212" i="81"/>
  <c r="I212" i="81"/>
  <c r="F213" i="81"/>
  <c r="G213" i="81"/>
  <c r="H213" i="81"/>
  <c r="I213" i="81"/>
  <c r="F214" i="81"/>
  <c r="G214" i="81"/>
  <c r="H214" i="81"/>
  <c r="I214" i="81"/>
  <c r="F215" i="81"/>
  <c r="G215" i="81"/>
  <c r="H215" i="81"/>
  <c r="I215" i="81"/>
  <c r="F216" i="81"/>
  <c r="G216" i="81"/>
  <c r="H216" i="81"/>
  <c r="I216" i="81"/>
  <c r="F217" i="81"/>
  <c r="G217" i="81"/>
  <c r="H217" i="81"/>
  <c r="I217" i="81"/>
  <c r="F218" i="81"/>
  <c r="G218" i="81"/>
  <c r="H218" i="81"/>
  <c r="I218" i="81"/>
  <c r="F219" i="81"/>
  <c r="G219" i="81"/>
  <c r="H219" i="81"/>
  <c r="I219" i="81"/>
  <c r="F220" i="81"/>
  <c r="G220" i="81"/>
  <c r="H220" i="81"/>
  <c r="I220" i="81"/>
  <c r="F221" i="81"/>
  <c r="G221" i="81"/>
  <c r="H221" i="81"/>
  <c r="I221" i="81"/>
  <c r="F222" i="81"/>
  <c r="G222" i="81"/>
  <c r="H222" i="81"/>
  <c r="I222" i="81"/>
  <c r="F223" i="81"/>
  <c r="G223" i="81"/>
  <c r="H223" i="81"/>
  <c r="I223" i="81"/>
  <c r="F224" i="81"/>
  <c r="G224" i="81"/>
  <c r="H224" i="81"/>
  <c r="I224" i="81"/>
  <c r="F225" i="81"/>
  <c r="G225" i="81"/>
  <c r="H225" i="81"/>
  <c r="I225" i="81"/>
  <c r="F226" i="81"/>
  <c r="G226" i="81"/>
  <c r="H226" i="81"/>
  <c r="I226" i="81"/>
  <c r="F227" i="81"/>
  <c r="G227" i="81"/>
  <c r="H227" i="81"/>
  <c r="I227" i="81"/>
  <c r="F228" i="81"/>
  <c r="G228" i="81"/>
  <c r="H228" i="81"/>
  <c r="I228" i="81"/>
  <c r="F229" i="81"/>
  <c r="G229" i="81"/>
  <c r="H229" i="81"/>
  <c r="I229" i="81"/>
  <c r="F230" i="81"/>
  <c r="G230" i="81"/>
  <c r="H230" i="81"/>
  <c r="I230" i="81"/>
  <c r="F231" i="81"/>
  <c r="G231" i="81"/>
  <c r="H231" i="81"/>
  <c r="I231" i="81"/>
  <c r="F232" i="81"/>
  <c r="G232" i="81"/>
  <c r="H232" i="81"/>
  <c r="I232" i="81"/>
  <c r="F233" i="81"/>
  <c r="G233" i="81"/>
  <c r="H233" i="81"/>
  <c r="I233" i="81"/>
  <c r="F234" i="81"/>
  <c r="G234" i="81"/>
  <c r="H234" i="81"/>
  <c r="I234" i="81"/>
  <c r="F235" i="81"/>
  <c r="G235" i="81"/>
  <c r="H235" i="81"/>
  <c r="I235" i="81"/>
  <c r="F236" i="81"/>
  <c r="G236" i="81"/>
  <c r="H236" i="81"/>
  <c r="I236" i="81"/>
  <c r="F237" i="81"/>
  <c r="G237" i="81"/>
  <c r="H237" i="81"/>
  <c r="I237" i="81"/>
  <c r="F238" i="81"/>
  <c r="G238" i="81"/>
  <c r="H238" i="81"/>
  <c r="I238" i="81"/>
  <c r="F239" i="81"/>
  <c r="G239" i="81"/>
  <c r="H239" i="81"/>
  <c r="I239" i="81"/>
  <c r="F240" i="81"/>
  <c r="G240" i="81"/>
  <c r="H240" i="81"/>
  <c r="I240" i="81"/>
  <c r="F241" i="81"/>
  <c r="G241" i="81"/>
  <c r="H241" i="81"/>
  <c r="I241" i="81"/>
  <c r="F242" i="81"/>
  <c r="G242" i="81"/>
  <c r="H242" i="81"/>
  <c r="I242" i="81"/>
  <c r="F243" i="81"/>
  <c r="G243" i="81"/>
  <c r="H243" i="81"/>
  <c r="I243" i="81"/>
  <c r="F244" i="81"/>
  <c r="G244" i="81"/>
  <c r="H244" i="81"/>
  <c r="I244" i="81"/>
  <c r="F245" i="81"/>
  <c r="G245" i="81"/>
  <c r="H245" i="81"/>
  <c r="I245" i="81"/>
  <c r="F246" i="81"/>
  <c r="G246" i="81"/>
  <c r="H246" i="81"/>
  <c r="I246" i="81"/>
  <c r="F247" i="81"/>
  <c r="G247" i="81"/>
  <c r="H247" i="81"/>
  <c r="I247" i="81"/>
  <c r="F248" i="81"/>
  <c r="G248" i="81"/>
  <c r="H248" i="81"/>
  <c r="I248" i="81"/>
  <c r="F249" i="81"/>
  <c r="G249" i="81"/>
  <c r="H249" i="81"/>
  <c r="I249" i="81"/>
  <c r="F250" i="81"/>
  <c r="G250" i="81"/>
  <c r="H250" i="81"/>
  <c r="I250" i="81"/>
  <c r="F251" i="81"/>
  <c r="G251" i="81"/>
  <c r="H251" i="81"/>
  <c r="I251" i="81"/>
  <c r="F252" i="81"/>
  <c r="G252" i="81"/>
  <c r="H252" i="81"/>
  <c r="I252" i="81"/>
  <c r="F253" i="81"/>
  <c r="G253" i="81"/>
  <c r="H253" i="81"/>
  <c r="I253" i="81"/>
  <c r="F254" i="81"/>
  <c r="G254" i="81"/>
  <c r="H254" i="81"/>
  <c r="I254" i="81"/>
  <c r="F255" i="81"/>
  <c r="G255" i="81"/>
  <c r="H255" i="81"/>
  <c r="I255" i="81"/>
  <c r="F256" i="81"/>
  <c r="G256" i="81"/>
  <c r="H256" i="81"/>
  <c r="I256" i="81"/>
  <c r="F257" i="81"/>
  <c r="G257" i="81"/>
  <c r="H257" i="81"/>
  <c r="I257" i="81"/>
  <c r="F258" i="81"/>
  <c r="G258" i="81"/>
  <c r="H258" i="81"/>
  <c r="I258" i="81"/>
  <c r="F259" i="81"/>
  <c r="G259" i="81"/>
  <c r="H259" i="81"/>
  <c r="I259" i="81"/>
  <c r="F260" i="81"/>
  <c r="G260" i="81"/>
  <c r="H260" i="81"/>
  <c r="I260" i="81"/>
  <c r="F261" i="81"/>
  <c r="G261" i="81"/>
  <c r="H261" i="81"/>
  <c r="I261" i="81"/>
  <c r="F262" i="81"/>
  <c r="G262" i="81"/>
  <c r="H262" i="81"/>
  <c r="I262" i="81"/>
  <c r="F263" i="81"/>
  <c r="G263" i="81"/>
  <c r="H263" i="81"/>
  <c r="I263" i="81"/>
  <c r="F264" i="81"/>
  <c r="G264" i="81"/>
  <c r="H264" i="81"/>
  <c r="I264" i="81"/>
  <c r="F265" i="81"/>
  <c r="G265" i="81"/>
  <c r="H265" i="81"/>
  <c r="I265" i="81"/>
  <c r="F266" i="81"/>
  <c r="G266" i="81"/>
  <c r="H266" i="81"/>
  <c r="I266" i="81"/>
  <c r="F267" i="81"/>
  <c r="G267" i="81"/>
  <c r="H267" i="81"/>
  <c r="I267" i="81"/>
  <c r="F268" i="81"/>
  <c r="G268" i="81"/>
  <c r="H268" i="81"/>
  <c r="I268" i="81"/>
  <c r="F269" i="81"/>
  <c r="G269" i="81"/>
  <c r="H269" i="81"/>
  <c r="I269" i="81"/>
  <c r="F270" i="81"/>
  <c r="G270" i="81"/>
  <c r="H270" i="81"/>
  <c r="I270" i="81"/>
  <c r="F271" i="81"/>
  <c r="G271" i="81"/>
  <c r="H271" i="81"/>
  <c r="I271" i="81"/>
  <c r="F272" i="81"/>
  <c r="G272" i="81"/>
  <c r="H272" i="81"/>
  <c r="I272" i="81"/>
  <c r="F273" i="81"/>
  <c r="G273" i="81"/>
  <c r="H273" i="81"/>
  <c r="I273" i="81"/>
  <c r="F274" i="81"/>
  <c r="G274" i="81"/>
  <c r="H274" i="81"/>
  <c r="I274" i="81"/>
  <c r="F275" i="81"/>
  <c r="G275" i="81"/>
  <c r="H275" i="81"/>
  <c r="I275" i="81"/>
  <c r="F276" i="81"/>
  <c r="G276" i="81"/>
  <c r="H276" i="81"/>
  <c r="I276" i="81"/>
  <c r="F277" i="81"/>
  <c r="G277" i="81"/>
  <c r="H277" i="81"/>
  <c r="I277" i="81"/>
  <c r="F278" i="81"/>
  <c r="G278" i="81"/>
  <c r="H278" i="81"/>
  <c r="I278" i="81"/>
  <c r="F279" i="81"/>
  <c r="G279" i="81"/>
  <c r="H279" i="81"/>
  <c r="I279" i="81"/>
  <c r="F280" i="81"/>
  <c r="G280" i="81"/>
  <c r="H280" i="81"/>
  <c r="I280" i="81"/>
  <c r="F281" i="81"/>
  <c r="G281" i="81"/>
  <c r="H281" i="81"/>
  <c r="I281" i="81"/>
  <c r="F282" i="81"/>
  <c r="G282" i="81"/>
  <c r="H282" i="81"/>
  <c r="I282" i="81"/>
  <c r="F283" i="81"/>
  <c r="G283" i="81"/>
  <c r="H283" i="81"/>
  <c r="I283" i="81"/>
  <c r="F284" i="81"/>
  <c r="G284" i="81"/>
  <c r="H284" i="81"/>
  <c r="I284" i="81"/>
  <c r="F285" i="81"/>
  <c r="G285" i="81"/>
  <c r="H285" i="81"/>
  <c r="I285" i="81"/>
  <c r="F286" i="81"/>
  <c r="G286" i="81"/>
  <c r="H286" i="81"/>
  <c r="I286" i="81"/>
  <c r="F287" i="81"/>
  <c r="G287" i="81"/>
  <c r="H287" i="81"/>
  <c r="I287" i="81"/>
  <c r="F288" i="81"/>
  <c r="G288" i="81"/>
  <c r="H288" i="81"/>
  <c r="I288" i="81"/>
  <c r="F289" i="81"/>
  <c r="G289" i="81"/>
  <c r="H289" i="81"/>
  <c r="I289" i="81"/>
  <c r="F290" i="81"/>
  <c r="G290" i="81"/>
  <c r="H290" i="81"/>
  <c r="I290" i="81"/>
  <c r="F291" i="81"/>
  <c r="G291" i="81"/>
  <c r="H291" i="81"/>
  <c r="I291" i="81"/>
  <c r="F292" i="81"/>
  <c r="G292" i="81"/>
  <c r="H292" i="81"/>
  <c r="I292" i="81"/>
  <c r="F293" i="81"/>
  <c r="G293" i="81"/>
  <c r="H293" i="81"/>
  <c r="I293" i="81"/>
  <c r="F294" i="81"/>
  <c r="G294" i="81"/>
  <c r="H294" i="81"/>
  <c r="I294" i="81"/>
  <c r="F295" i="81"/>
  <c r="G295" i="81"/>
  <c r="H295" i="81"/>
  <c r="I295" i="81"/>
  <c r="F296" i="81"/>
  <c r="G296" i="81"/>
  <c r="H296" i="81"/>
  <c r="I296" i="81"/>
  <c r="F297" i="81"/>
  <c r="G297" i="81"/>
  <c r="H297" i="81"/>
  <c r="I297" i="81"/>
  <c r="F298" i="81"/>
  <c r="G298" i="81"/>
  <c r="H298" i="81"/>
  <c r="I298" i="81"/>
  <c r="F299" i="81"/>
  <c r="G299" i="81"/>
  <c r="H299" i="81"/>
  <c r="I299" i="81"/>
  <c r="F300" i="81"/>
  <c r="G300" i="81"/>
  <c r="H300" i="81"/>
  <c r="I300" i="81"/>
  <c r="F301" i="81"/>
  <c r="G301" i="81"/>
  <c r="H301" i="81"/>
  <c r="I301" i="81"/>
  <c r="F302" i="81"/>
  <c r="G302" i="81"/>
  <c r="H302" i="81"/>
  <c r="I302" i="81"/>
  <c r="F303" i="81"/>
  <c r="G303" i="81"/>
  <c r="H303" i="81"/>
  <c r="I303" i="81"/>
  <c r="F304" i="81"/>
  <c r="G304" i="81"/>
  <c r="H304" i="81"/>
  <c r="I304" i="81"/>
  <c r="F305" i="81"/>
  <c r="G305" i="81"/>
  <c r="H305" i="81"/>
  <c r="I305" i="81"/>
  <c r="F306" i="81"/>
  <c r="G306" i="81"/>
  <c r="H306" i="81"/>
  <c r="I306" i="81"/>
  <c r="F307" i="81"/>
  <c r="G307" i="81"/>
  <c r="H307" i="81"/>
  <c r="I307" i="81"/>
  <c r="F308" i="81"/>
  <c r="G308" i="81"/>
  <c r="H308" i="81"/>
  <c r="I308" i="81"/>
  <c r="F309" i="81"/>
  <c r="G309" i="81"/>
  <c r="H309" i="81"/>
  <c r="I309" i="81"/>
  <c r="F310" i="81"/>
  <c r="G310" i="81"/>
  <c r="H310" i="81"/>
  <c r="I310" i="81"/>
  <c r="F311" i="81"/>
  <c r="G311" i="81"/>
  <c r="H311" i="81"/>
  <c r="I311" i="81"/>
  <c r="F312" i="81"/>
  <c r="G312" i="81"/>
  <c r="H312" i="81"/>
  <c r="I312" i="81"/>
  <c r="F313" i="81"/>
  <c r="G313" i="81"/>
  <c r="H313" i="81"/>
  <c r="I313" i="81"/>
  <c r="F314" i="81"/>
  <c r="G314" i="81"/>
  <c r="H314" i="81"/>
  <c r="I314" i="81"/>
  <c r="F315" i="81"/>
  <c r="G315" i="81"/>
  <c r="H315" i="81"/>
  <c r="I315" i="81"/>
  <c r="F316" i="81"/>
  <c r="G316" i="81"/>
  <c r="H316" i="81"/>
  <c r="I316" i="81"/>
  <c r="F317" i="81"/>
  <c r="G317" i="81"/>
  <c r="H317" i="81"/>
  <c r="I317" i="81"/>
  <c r="F318" i="81"/>
  <c r="G318" i="81"/>
  <c r="H318" i="81"/>
  <c r="I318" i="81"/>
  <c r="F319" i="81"/>
  <c r="G319" i="81"/>
  <c r="H319" i="81"/>
  <c r="I319" i="81"/>
  <c r="F320" i="81"/>
  <c r="G320" i="81"/>
  <c r="H320" i="81"/>
  <c r="I320" i="81"/>
  <c r="F321" i="81"/>
  <c r="G321" i="81"/>
  <c r="H321" i="81"/>
  <c r="I321" i="81"/>
  <c r="F322" i="81"/>
  <c r="G322" i="81"/>
  <c r="H322" i="81"/>
  <c r="I322" i="81"/>
  <c r="F323" i="81"/>
  <c r="G323" i="81"/>
  <c r="H323" i="81"/>
  <c r="I323" i="81"/>
  <c r="F324" i="81"/>
  <c r="G324" i="81"/>
  <c r="H324" i="81"/>
  <c r="I324" i="81"/>
  <c r="F325" i="81"/>
  <c r="G325" i="81"/>
  <c r="H325" i="81"/>
  <c r="I325" i="81"/>
  <c r="F326" i="81"/>
  <c r="G326" i="81"/>
  <c r="H326" i="81"/>
  <c r="I326" i="81"/>
  <c r="F327" i="81"/>
  <c r="G327" i="81"/>
  <c r="H327" i="81"/>
  <c r="I327" i="81"/>
  <c r="F328" i="81"/>
  <c r="G328" i="81"/>
  <c r="H328" i="81"/>
  <c r="I328" i="81"/>
  <c r="F329" i="81"/>
  <c r="G329" i="81"/>
  <c r="H329" i="81"/>
  <c r="I329" i="81"/>
  <c r="F330" i="81"/>
  <c r="G330" i="81"/>
  <c r="H330" i="81"/>
  <c r="I330" i="81"/>
  <c r="F331" i="81"/>
  <c r="G331" i="81"/>
  <c r="H331" i="81"/>
  <c r="I331" i="81"/>
  <c r="F332" i="81"/>
  <c r="G332" i="81"/>
  <c r="H332" i="81"/>
  <c r="I332" i="81"/>
  <c r="F333" i="81"/>
  <c r="G333" i="81"/>
  <c r="H333" i="81"/>
  <c r="I333" i="81"/>
  <c r="F334" i="81"/>
  <c r="G334" i="81"/>
  <c r="H334" i="81"/>
  <c r="I334" i="81"/>
  <c r="F335" i="81"/>
  <c r="G335" i="81"/>
  <c r="H335" i="81"/>
  <c r="I335" i="81"/>
  <c r="F336" i="81"/>
  <c r="G336" i="81"/>
  <c r="H336" i="81"/>
  <c r="I336" i="81"/>
  <c r="F337" i="81"/>
  <c r="G337" i="81"/>
  <c r="H337" i="81"/>
  <c r="I337" i="81"/>
  <c r="F338" i="81"/>
  <c r="G338" i="81"/>
  <c r="H338" i="81"/>
  <c r="I338" i="81"/>
  <c r="F339" i="81"/>
  <c r="G339" i="81"/>
  <c r="H339" i="81"/>
  <c r="I339" i="81"/>
  <c r="F340" i="81"/>
  <c r="G340" i="81"/>
  <c r="H340" i="81"/>
  <c r="I340" i="81"/>
  <c r="F341" i="81"/>
  <c r="G341" i="81"/>
  <c r="H341" i="81"/>
  <c r="I341" i="81"/>
  <c r="F342" i="81"/>
  <c r="G342" i="81"/>
  <c r="H342" i="81"/>
  <c r="I342" i="81"/>
  <c r="F343" i="81"/>
  <c r="G343" i="81"/>
  <c r="H343" i="81"/>
  <c r="I343" i="81"/>
  <c r="F344" i="81"/>
  <c r="G344" i="81"/>
  <c r="H344" i="81"/>
  <c r="I344" i="81"/>
  <c r="F345" i="81"/>
  <c r="G345" i="81"/>
  <c r="H345" i="81"/>
  <c r="I345" i="81"/>
  <c r="F346" i="81"/>
  <c r="G346" i="81"/>
  <c r="H346" i="81"/>
  <c r="I346" i="81"/>
  <c r="F347" i="81"/>
  <c r="G347" i="81"/>
  <c r="H347" i="81"/>
  <c r="I347" i="81"/>
  <c r="F348" i="81"/>
  <c r="G348" i="81"/>
  <c r="H348" i="81"/>
  <c r="I348" i="81"/>
  <c r="F349" i="81"/>
  <c r="G349" i="81"/>
  <c r="H349" i="81"/>
  <c r="I349" i="81"/>
  <c r="F350" i="81"/>
  <c r="G350" i="81"/>
  <c r="H350" i="81"/>
  <c r="I350" i="81"/>
  <c r="F351" i="81"/>
  <c r="G351" i="81"/>
  <c r="H351" i="81"/>
  <c r="I351" i="81"/>
  <c r="F352" i="81"/>
  <c r="G352" i="81"/>
  <c r="H352" i="81"/>
  <c r="I352" i="81"/>
  <c r="F353" i="81"/>
  <c r="G353" i="81"/>
  <c r="H353" i="81"/>
  <c r="I353" i="81"/>
  <c r="F354" i="81"/>
  <c r="G354" i="81"/>
  <c r="H354" i="81"/>
  <c r="I354" i="81"/>
  <c r="F355" i="81"/>
  <c r="G355" i="81"/>
  <c r="H355" i="81"/>
  <c r="I355" i="81"/>
  <c r="F356" i="81"/>
  <c r="G356" i="81"/>
  <c r="H356" i="81"/>
  <c r="I356" i="81"/>
  <c r="F357" i="81"/>
  <c r="G357" i="81"/>
  <c r="H357" i="81"/>
  <c r="I357" i="81"/>
  <c r="F358" i="81"/>
  <c r="G358" i="81"/>
  <c r="H358" i="81"/>
  <c r="I358" i="81"/>
  <c r="F359" i="81"/>
  <c r="G359" i="81"/>
  <c r="H359" i="81"/>
  <c r="I359" i="81"/>
  <c r="F360" i="81"/>
  <c r="G360" i="81"/>
  <c r="H360" i="81"/>
  <c r="I360" i="81"/>
  <c r="F361" i="81"/>
  <c r="G361" i="81"/>
  <c r="H361" i="81"/>
  <c r="I361" i="81"/>
  <c r="F362" i="81"/>
  <c r="G362" i="81"/>
  <c r="H362" i="81"/>
  <c r="I362" i="81"/>
  <c r="F363" i="81"/>
  <c r="G363" i="81"/>
  <c r="H363" i="81"/>
  <c r="I363" i="81"/>
  <c r="F364" i="81"/>
  <c r="G364" i="81"/>
  <c r="H364" i="81"/>
  <c r="I364" i="81"/>
  <c r="F365" i="81"/>
  <c r="G365" i="81"/>
  <c r="H365" i="81"/>
  <c r="I365" i="81"/>
  <c r="F366" i="81"/>
  <c r="G366" i="81"/>
  <c r="H366" i="81"/>
  <c r="I366" i="81"/>
  <c r="F367" i="81"/>
  <c r="G367" i="81"/>
  <c r="H367" i="81"/>
  <c r="I367" i="81"/>
  <c r="F368" i="81"/>
  <c r="G368" i="81"/>
  <c r="H368" i="81"/>
  <c r="I368" i="81"/>
  <c r="F369" i="81"/>
  <c r="G369" i="81"/>
  <c r="H369" i="81"/>
  <c r="I369" i="81"/>
  <c r="F370" i="81"/>
  <c r="G370" i="81"/>
  <c r="H370" i="81"/>
  <c r="I370" i="81"/>
  <c r="F371" i="81"/>
  <c r="G371" i="81"/>
  <c r="H371" i="81"/>
  <c r="I371" i="81"/>
  <c r="F372" i="81"/>
  <c r="G372" i="81"/>
  <c r="H372" i="81"/>
  <c r="I372" i="81"/>
  <c r="F373" i="81"/>
  <c r="G373" i="81"/>
  <c r="H373" i="81"/>
  <c r="I373" i="81"/>
  <c r="F374" i="81"/>
  <c r="G374" i="81"/>
  <c r="H374" i="81"/>
  <c r="I374" i="81"/>
  <c r="F375" i="81"/>
  <c r="G375" i="81"/>
  <c r="H375" i="81"/>
  <c r="I375" i="81"/>
  <c r="F376" i="81"/>
  <c r="G376" i="81"/>
  <c r="H376" i="81"/>
  <c r="I376" i="81"/>
  <c r="F377" i="81"/>
  <c r="G377" i="81"/>
  <c r="H377" i="81"/>
  <c r="I377" i="81"/>
  <c r="F378" i="81"/>
  <c r="G378" i="81"/>
  <c r="H378" i="81"/>
  <c r="I378" i="81"/>
  <c r="F379" i="81"/>
  <c r="G379" i="81"/>
  <c r="H379" i="81"/>
  <c r="I379" i="81"/>
  <c r="F380" i="81"/>
  <c r="G380" i="81"/>
  <c r="H380" i="81"/>
  <c r="I380" i="81"/>
  <c r="F381" i="81"/>
  <c r="G381" i="81"/>
  <c r="H381" i="81"/>
  <c r="I381" i="81"/>
  <c r="F382" i="81"/>
  <c r="G382" i="81"/>
  <c r="H382" i="81"/>
  <c r="I382" i="81"/>
  <c r="F383" i="81"/>
  <c r="G383" i="81"/>
  <c r="H383" i="81"/>
  <c r="I383" i="81"/>
  <c r="F384" i="81"/>
  <c r="G384" i="81"/>
  <c r="H384" i="81"/>
  <c r="I384" i="81"/>
  <c r="F385" i="81"/>
  <c r="G385" i="81"/>
  <c r="H385" i="81"/>
  <c r="I385" i="81"/>
  <c r="F386" i="81"/>
  <c r="G386" i="81"/>
  <c r="H386" i="81"/>
  <c r="I386" i="81"/>
  <c r="F387" i="81"/>
  <c r="G387" i="81"/>
  <c r="H387" i="81"/>
  <c r="I387" i="81"/>
  <c r="F388" i="81"/>
  <c r="G388" i="81"/>
  <c r="H388" i="81"/>
  <c r="I388" i="81"/>
  <c r="F389" i="81"/>
  <c r="G389" i="81"/>
  <c r="H389" i="81"/>
  <c r="I389" i="81"/>
  <c r="F390" i="81"/>
  <c r="G390" i="81"/>
  <c r="H390" i="81"/>
  <c r="I390" i="81"/>
  <c r="F391" i="81"/>
  <c r="G391" i="81"/>
  <c r="H391" i="81"/>
  <c r="I391" i="81"/>
  <c r="F392" i="81"/>
  <c r="G392" i="81"/>
  <c r="H392" i="81"/>
  <c r="I392" i="81"/>
  <c r="F393" i="81"/>
  <c r="G393" i="81"/>
  <c r="H393" i="81"/>
  <c r="I393" i="81"/>
  <c r="F394" i="81"/>
  <c r="G394" i="81"/>
  <c r="H394" i="81"/>
  <c r="I394" i="81"/>
  <c r="F395" i="81"/>
  <c r="G395" i="81"/>
  <c r="H395" i="81"/>
  <c r="I395" i="81"/>
  <c r="F396" i="81"/>
  <c r="G396" i="81"/>
  <c r="H396" i="81"/>
  <c r="I396" i="81"/>
  <c r="F397" i="81"/>
  <c r="G397" i="81"/>
  <c r="H397" i="81"/>
  <c r="I397" i="81"/>
  <c r="F398" i="81"/>
  <c r="G398" i="81"/>
  <c r="H398" i="81"/>
  <c r="I398" i="81"/>
  <c r="F399" i="81"/>
  <c r="G399" i="81"/>
  <c r="H399" i="81"/>
  <c r="I399" i="81"/>
  <c r="F400" i="81"/>
  <c r="G400" i="81"/>
  <c r="H400" i="81"/>
  <c r="I400" i="81"/>
  <c r="F401" i="81"/>
  <c r="G401" i="81"/>
  <c r="H401" i="81"/>
  <c r="I401" i="81"/>
  <c r="F402" i="81"/>
  <c r="G402" i="81"/>
  <c r="H402" i="81"/>
  <c r="I402" i="81"/>
  <c r="F403" i="81"/>
  <c r="G403" i="81"/>
  <c r="H403" i="81"/>
  <c r="I403" i="81"/>
  <c r="F404" i="81"/>
  <c r="G404" i="81"/>
  <c r="H404" i="81"/>
  <c r="I404" i="81"/>
  <c r="F405" i="81"/>
  <c r="G405" i="81"/>
  <c r="H405" i="81"/>
  <c r="I405" i="81"/>
  <c r="F406" i="81"/>
  <c r="G406" i="81"/>
  <c r="H406" i="81"/>
  <c r="I406" i="81"/>
  <c r="F407" i="81"/>
  <c r="G407" i="81"/>
  <c r="H407" i="81"/>
  <c r="I407" i="81"/>
  <c r="F408" i="81"/>
  <c r="G408" i="81"/>
  <c r="H408" i="81"/>
  <c r="I408" i="81"/>
  <c r="F409" i="81"/>
  <c r="G409" i="81"/>
  <c r="H409" i="81"/>
  <c r="I409" i="81"/>
  <c r="F410" i="81"/>
  <c r="G410" i="81"/>
  <c r="H410" i="81"/>
  <c r="I410" i="81"/>
  <c r="F411" i="81"/>
  <c r="G411" i="81"/>
  <c r="H411" i="81"/>
  <c r="I411" i="81"/>
  <c r="F412" i="81"/>
  <c r="G412" i="81"/>
  <c r="H412" i="81"/>
  <c r="I412" i="81"/>
  <c r="F413" i="81"/>
  <c r="G413" i="81"/>
  <c r="H413" i="81"/>
  <c r="I413" i="81"/>
  <c r="F414" i="81"/>
  <c r="G414" i="81"/>
  <c r="H414" i="81"/>
  <c r="I414" i="81"/>
  <c r="F415" i="81"/>
  <c r="G415" i="81"/>
  <c r="H415" i="81"/>
  <c r="I415" i="81"/>
  <c r="F416" i="81"/>
  <c r="G416" i="81"/>
  <c r="H416" i="81"/>
  <c r="I416" i="81"/>
  <c r="F417" i="81"/>
  <c r="G417" i="81"/>
  <c r="H417" i="81"/>
  <c r="I417" i="81"/>
  <c r="F418" i="81"/>
  <c r="G418" i="81"/>
  <c r="H418" i="81"/>
  <c r="I418" i="81"/>
  <c r="F419" i="81"/>
  <c r="G419" i="81"/>
  <c r="H419" i="81"/>
  <c r="I419" i="81"/>
  <c r="F420" i="81"/>
  <c r="G420" i="81"/>
  <c r="H420" i="81"/>
  <c r="I420" i="81"/>
  <c r="F421" i="81"/>
  <c r="G421" i="81"/>
  <c r="H421" i="81"/>
  <c r="I421" i="81"/>
  <c r="F422" i="81"/>
  <c r="G422" i="81"/>
  <c r="H422" i="81"/>
  <c r="I422" i="81"/>
  <c r="F423" i="81"/>
  <c r="G423" i="81"/>
  <c r="H423" i="81"/>
  <c r="I423" i="81"/>
  <c r="F424" i="81"/>
  <c r="G424" i="81"/>
  <c r="H424" i="81"/>
  <c r="I424" i="81"/>
  <c r="F425" i="81"/>
  <c r="G425" i="81"/>
  <c r="H425" i="81"/>
  <c r="I425" i="81"/>
  <c r="F426" i="81"/>
  <c r="G426" i="81"/>
  <c r="H426" i="81"/>
  <c r="I426" i="81"/>
  <c r="F427" i="81"/>
  <c r="G427" i="81"/>
  <c r="H427" i="81"/>
  <c r="I427" i="81"/>
  <c r="F428" i="81"/>
  <c r="G428" i="81"/>
  <c r="H428" i="81"/>
  <c r="I428" i="81"/>
  <c r="F429" i="81"/>
  <c r="G429" i="81"/>
  <c r="H429" i="81"/>
  <c r="I429" i="81"/>
  <c r="F430" i="81"/>
  <c r="G430" i="81"/>
  <c r="H430" i="81"/>
  <c r="I430" i="81"/>
  <c r="F431" i="81"/>
  <c r="G431" i="81"/>
  <c r="H431" i="81"/>
  <c r="I431" i="81"/>
  <c r="F432" i="81"/>
  <c r="G432" i="81"/>
  <c r="H432" i="81"/>
  <c r="I432" i="81"/>
  <c r="F433" i="81"/>
  <c r="G433" i="81"/>
  <c r="H433" i="81"/>
  <c r="I433" i="81"/>
  <c r="F434" i="81"/>
  <c r="G434" i="81"/>
  <c r="H434" i="81"/>
  <c r="I434" i="81"/>
  <c r="F435" i="81"/>
  <c r="G435" i="81"/>
  <c r="H435" i="81"/>
  <c r="I435" i="81"/>
  <c r="F436" i="81"/>
  <c r="G436" i="81"/>
  <c r="H436" i="81"/>
  <c r="I436" i="81"/>
  <c r="F437" i="81"/>
  <c r="G437" i="81"/>
  <c r="H437" i="81"/>
  <c r="I437" i="81"/>
  <c r="F438" i="81"/>
  <c r="G438" i="81"/>
  <c r="H438" i="81"/>
  <c r="I438" i="81"/>
  <c r="F439" i="81"/>
  <c r="G439" i="81"/>
  <c r="H439" i="81"/>
  <c r="I439" i="81"/>
  <c r="F440" i="81"/>
  <c r="G440" i="81"/>
  <c r="H440" i="81"/>
  <c r="I440" i="81"/>
  <c r="F441" i="81"/>
  <c r="G441" i="81"/>
  <c r="H441" i="81"/>
  <c r="I441" i="81"/>
  <c r="F442" i="81"/>
  <c r="G442" i="81"/>
  <c r="H442" i="81"/>
  <c r="I442" i="81"/>
  <c r="F443" i="81"/>
  <c r="G443" i="81"/>
  <c r="H443" i="81"/>
  <c r="I443" i="81"/>
  <c r="F444" i="81"/>
  <c r="G444" i="81"/>
  <c r="H444" i="81"/>
  <c r="I444" i="81"/>
  <c r="F445" i="81"/>
  <c r="G445" i="81"/>
  <c r="H445" i="81"/>
  <c r="I445" i="81"/>
  <c r="F446" i="81"/>
  <c r="G446" i="81"/>
  <c r="H446" i="81"/>
  <c r="I446" i="81"/>
  <c r="F447" i="81"/>
  <c r="G447" i="81"/>
  <c r="H447" i="81"/>
  <c r="I447" i="81"/>
  <c r="F448" i="81"/>
  <c r="G448" i="81"/>
  <c r="H448" i="81"/>
  <c r="I448" i="81"/>
  <c r="F449" i="81"/>
  <c r="G449" i="81"/>
  <c r="H449" i="81"/>
  <c r="I449" i="81"/>
  <c r="F450" i="81"/>
  <c r="G450" i="81"/>
  <c r="H450" i="81"/>
  <c r="I450" i="81"/>
  <c r="F451" i="81"/>
  <c r="G451" i="81"/>
  <c r="H451" i="81"/>
  <c r="I451" i="81"/>
  <c r="F452" i="81"/>
  <c r="G452" i="81"/>
  <c r="H452" i="81"/>
  <c r="I452" i="81"/>
  <c r="F453" i="81"/>
  <c r="G453" i="81"/>
  <c r="H453" i="81"/>
  <c r="I453" i="81"/>
  <c r="F454" i="81"/>
  <c r="G454" i="81"/>
  <c r="H454" i="81"/>
  <c r="I454" i="81"/>
  <c r="F455" i="81"/>
  <c r="G455" i="81"/>
  <c r="H455" i="81"/>
  <c r="I455" i="81"/>
  <c r="F456" i="81"/>
  <c r="G456" i="81"/>
  <c r="H456" i="81"/>
  <c r="I456" i="81"/>
  <c r="F457" i="81"/>
  <c r="G457" i="81"/>
  <c r="H457" i="81"/>
  <c r="I457" i="81"/>
  <c r="F458" i="81"/>
  <c r="G458" i="81"/>
  <c r="H458" i="81"/>
  <c r="I458" i="81"/>
  <c r="F459" i="81"/>
  <c r="G459" i="81"/>
  <c r="H459" i="81"/>
  <c r="I459" i="81"/>
  <c r="F460" i="81"/>
  <c r="G460" i="81"/>
  <c r="H460" i="81"/>
  <c r="I460" i="81"/>
  <c r="F461" i="81"/>
  <c r="G461" i="81"/>
  <c r="H461" i="81"/>
  <c r="I461" i="81"/>
  <c r="F462" i="81"/>
  <c r="G462" i="81"/>
  <c r="H462" i="81"/>
  <c r="I462" i="81"/>
  <c r="F463" i="81"/>
  <c r="G463" i="81"/>
  <c r="H463" i="81"/>
  <c r="I463" i="81"/>
  <c r="F464" i="81"/>
  <c r="G464" i="81"/>
  <c r="H464" i="81"/>
  <c r="I464" i="81"/>
  <c r="F465" i="81"/>
  <c r="G465" i="81"/>
  <c r="H465" i="81"/>
  <c r="I465" i="81"/>
  <c r="F466" i="81"/>
  <c r="G466" i="81"/>
  <c r="H466" i="81"/>
  <c r="I466" i="81"/>
  <c r="F467" i="81"/>
  <c r="G467" i="81"/>
  <c r="H467" i="81"/>
  <c r="I467" i="81"/>
  <c r="F468" i="81"/>
  <c r="G468" i="81"/>
  <c r="H468" i="81"/>
  <c r="I468" i="81"/>
  <c r="F469" i="81"/>
  <c r="G469" i="81"/>
  <c r="H469" i="81"/>
  <c r="I469" i="81"/>
  <c r="F470" i="81"/>
  <c r="G470" i="81"/>
  <c r="H470" i="81"/>
  <c r="I470" i="81"/>
  <c r="F471" i="81"/>
  <c r="G471" i="81"/>
  <c r="H471" i="81"/>
  <c r="I471" i="81"/>
  <c r="F472" i="81"/>
  <c r="G472" i="81"/>
  <c r="H472" i="81"/>
  <c r="I472" i="81"/>
  <c r="F473" i="81"/>
  <c r="G473" i="81"/>
  <c r="H473" i="81"/>
  <c r="I473" i="81"/>
  <c r="F474" i="81"/>
  <c r="G474" i="81"/>
  <c r="H474" i="81"/>
  <c r="I474" i="81"/>
  <c r="F475" i="81"/>
  <c r="G475" i="81"/>
  <c r="H475" i="81"/>
  <c r="I475" i="81"/>
  <c r="F476" i="81"/>
  <c r="G476" i="81"/>
  <c r="H476" i="81"/>
  <c r="I476" i="81"/>
  <c r="F477" i="81"/>
  <c r="G477" i="81"/>
  <c r="H477" i="81"/>
  <c r="I477" i="81"/>
  <c r="F478" i="81"/>
  <c r="G478" i="81"/>
  <c r="H478" i="81"/>
  <c r="I478" i="81"/>
  <c r="F479" i="81"/>
  <c r="G479" i="81"/>
  <c r="H479" i="81"/>
  <c r="I479" i="81"/>
  <c r="F480" i="81"/>
  <c r="G480" i="81"/>
  <c r="H480" i="81"/>
  <c r="I480" i="81"/>
  <c r="F481" i="81"/>
  <c r="G481" i="81"/>
  <c r="H481" i="81"/>
  <c r="I481" i="81"/>
  <c r="F482" i="81"/>
  <c r="G482" i="81"/>
  <c r="H482" i="81"/>
  <c r="I482" i="81"/>
  <c r="F483" i="81"/>
  <c r="G483" i="81"/>
  <c r="H483" i="81"/>
  <c r="I483" i="81"/>
  <c r="F484" i="81"/>
  <c r="G484" i="81"/>
  <c r="H484" i="81"/>
  <c r="I484" i="81"/>
  <c r="F485" i="81"/>
  <c r="G485" i="81"/>
  <c r="H485" i="81"/>
  <c r="I485" i="81"/>
  <c r="F486" i="81"/>
  <c r="G486" i="81"/>
  <c r="H486" i="81"/>
  <c r="I486" i="81"/>
  <c r="F487" i="81"/>
  <c r="G487" i="81"/>
  <c r="H487" i="81"/>
  <c r="I487" i="81"/>
  <c r="F488" i="81"/>
  <c r="G488" i="81"/>
  <c r="H488" i="81"/>
  <c r="I488" i="81"/>
  <c r="F489" i="81"/>
  <c r="G489" i="81"/>
  <c r="H489" i="81"/>
  <c r="I489" i="81"/>
  <c r="F490" i="81"/>
  <c r="G490" i="81"/>
  <c r="H490" i="81"/>
  <c r="I490" i="81"/>
  <c r="F491" i="81"/>
  <c r="G491" i="81"/>
  <c r="H491" i="81"/>
  <c r="I491" i="81"/>
  <c r="F492" i="81"/>
  <c r="G492" i="81"/>
  <c r="H492" i="81"/>
  <c r="I492" i="81"/>
  <c r="F493" i="81"/>
  <c r="G493" i="81"/>
  <c r="H493" i="81"/>
  <c r="I493" i="81"/>
  <c r="F494" i="81"/>
  <c r="G494" i="81"/>
  <c r="H494" i="81"/>
  <c r="I494" i="81"/>
  <c r="F495" i="81"/>
  <c r="G495" i="81"/>
  <c r="H495" i="81"/>
  <c r="I495" i="81"/>
  <c r="F496" i="81"/>
  <c r="G496" i="81"/>
  <c r="H496" i="81"/>
  <c r="I496" i="81"/>
  <c r="F497" i="81"/>
  <c r="G497" i="81"/>
  <c r="H497" i="81"/>
  <c r="I497" i="81"/>
  <c r="F498" i="81"/>
  <c r="G498" i="81"/>
  <c r="H498" i="81"/>
  <c r="I498" i="81"/>
  <c r="F499" i="81"/>
  <c r="G499" i="81"/>
  <c r="H499" i="81"/>
  <c r="I499" i="81"/>
  <c r="F500" i="81"/>
  <c r="G500" i="81"/>
  <c r="H500" i="81"/>
  <c r="I500" i="81"/>
  <c r="F501" i="81"/>
  <c r="G501" i="81"/>
  <c r="H501" i="81"/>
  <c r="I501" i="81"/>
  <c r="F502" i="81"/>
  <c r="G502" i="81"/>
  <c r="H502" i="81"/>
  <c r="I502" i="81"/>
  <c r="F503" i="81"/>
  <c r="G503" i="81"/>
  <c r="H503" i="81"/>
  <c r="I503" i="81"/>
  <c r="F504" i="81"/>
  <c r="G504" i="81"/>
  <c r="H504" i="81"/>
  <c r="I504" i="81"/>
  <c r="F505" i="81"/>
  <c r="G505" i="81"/>
  <c r="H505" i="81"/>
  <c r="I505" i="81"/>
  <c r="F506" i="81"/>
  <c r="G506" i="81"/>
  <c r="H506" i="81"/>
  <c r="I506" i="81"/>
  <c r="F507" i="81"/>
  <c r="G507" i="81"/>
  <c r="H507" i="81"/>
  <c r="I507" i="81"/>
  <c r="F508" i="81"/>
  <c r="G508" i="81"/>
  <c r="H508" i="81"/>
  <c r="I508" i="81"/>
  <c r="F509" i="81"/>
  <c r="G509" i="81"/>
  <c r="H509" i="81"/>
  <c r="I509" i="81"/>
  <c r="F510" i="81"/>
  <c r="G510" i="81"/>
  <c r="H510" i="81"/>
  <c r="I510" i="81"/>
  <c r="F511" i="81"/>
  <c r="G511" i="81"/>
  <c r="H511" i="81"/>
  <c r="I511" i="81"/>
  <c r="F512" i="81"/>
  <c r="G512" i="81"/>
  <c r="H512" i="81"/>
  <c r="I512" i="81"/>
  <c r="F513" i="81"/>
  <c r="G513" i="81"/>
  <c r="H513" i="81"/>
  <c r="I513" i="81"/>
  <c r="F514" i="81"/>
  <c r="G514" i="81"/>
  <c r="H514" i="81"/>
  <c r="I514" i="81"/>
  <c r="F515" i="81"/>
  <c r="G515" i="81"/>
  <c r="H515" i="81"/>
  <c r="I515" i="81"/>
  <c r="F516" i="81"/>
  <c r="G516" i="81"/>
  <c r="H516" i="81"/>
  <c r="I516" i="81"/>
  <c r="F517" i="81"/>
  <c r="G517" i="81"/>
  <c r="H517" i="81"/>
  <c r="I517" i="81"/>
  <c r="F518" i="81"/>
  <c r="G518" i="81"/>
  <c r="H518" i="81"/>
  <c r="I518" i="81"/>
  <c r="F519" i="81"/>
  <c r="G519" i="81"/>
  <c r="H519" i="81"/>
  <c r="I519" i="81"/>
  <c r="F520" i="81"/>
  <c r="G520" i="81"/>
  <c r="H520" i="81"/>
  <c r="I520" i="81"/>
  <c r="F521" i="81"/>
  <c r="G521" i="81"/>
  <c r="H521" i="81"/>
  <c r="I521" i="81"/>
  <c r="F522" i="81"/>
  <c r="G522" i="81"/>
  <c r="H522" i="81"/>
  <c r="I522" i="81"/>
  <c r="F523" i="81"/>
  <c r="G523" i="81"/>
  <c r="H523" i="81"/>
  <c r="I523" i="81"/>
  <c r="F524" i="81"/>
  <c r="G524" i="81"/>
  <c r="H524" i="81"/>
  <c r="I524" i="81"/>
  <c r="F525" i="81"/>
  <c r="G525" i="81"/>
  <c r="H525" i="81"/>
  <c r="I525" i="81"/>
  <c r="F526" i="81"/>
  <c r="G526" i="81"/>
  <c r="H526" i="81"/>
  <c r="I526" i="81"/>
  <c r="F527" i="81"/>
  <c r="G527" i="81"/>
  <c r="H527" i="81"/>
  <c r="I527" i="81"/>
  <c r="F528" i="81"/>
  <c r="G528" i="81"/>
  <c r="H528" i="81"/>
  <c r="I528" i="81"/>
  <c r="F529" i="81"/>
  <c r="G529" i="81"/>
  <c r="H529" i="81"/>
  <c r="I529" i="81"/>
  <c r="F530" i="81"/>
  <c r="G530" i="81"/>
  <c r="H530" i="81"/>
  <c r="I530" i="81"/>
  <c r="F531" i="81"/>
  <c r="G531" i="81"/>
  <c r="H531" i="81"/>
  <c r="I531" i="81"/>
  <c r="F532" i="81"/>
  <c r="G532" i="81"/>
  <c r="H532" i="81"/>
  <c r="I532" i="81"/>
  <c r="F533" i="81"/>
  <c r="G533" i="81"/>
  <c r="H533" i="81"/>
  <c r="I533" i="81"/>
  <c r="F534" i="81"/>
  <c r="G534" i="81"/>
  <c r="H534" i="81"/>
  <c r="I534" i="81"/>
  <c r="F535" i="81"/>
  <c r="G535" i="81"/>
  <c r="H535" i="81"/>
  <c r="I535" i="81"/>
  <c r="F536" i="81"/>
  <c r="G536" i="81"/>
  <c r="H536" i="81"/>
  <c r="I536" i="81"/>
  <c r="F537" i="81"/>
  <c r="G537" i="81"/>
  <c r="H537" i="81"/>
  <c r="I537" i="81"/>
  <c r="F538" i="81"/>
  <c r="G538" i="81"/>
  <c r="H538" i="81"/>
  <c r="I538" i="81"/>
  <c r="F539" i="81"/>
  <c r="G539" i="81"/>
  <c r="H539" i="81"/>
  <c r="I539" i="81"/>
  <c r="F540" i="81"/>
  <c r="G540" i="81"/>
  <c r="H540" i="81"/>
  <c r="I540" i="81"/>
  <c r="F541" i="81"/>
  <c r="G541" i="81"/>
  <c r="H541" i="81"/>
  <c r="I541" i="81"/>
  <c r="F542" i="81"/>
  <c r="G542" i="81"/>
  <c r="H542" i="81"/>
  <c r="I542" i="81"/>
  <c r="F543" i="81"/>
  <c r="G543" i="81"/>
  <c r="H543" i="81"/>
  <c r="I543" i="81"/>
  <c r="F544" i="81"/>
  <c r="G544" i="81"/>
  <c r="H544" i="81"/>
  <c r="I544" i="81"/>
  <c r="F545" i="81"/>
  <c r="G545" i="81"/>
  <c r="H545" i="81"/>
  <c r="I545" i="81"/>
  <c r="F546" i="81"/>
  <c r="G546" i="81"/>
  <c r="H546" i="81"/>
  <c r="I546" i="81"/>
  <c r="F547" i="81"/>
  <c r="G547" i="81"/>
  <c r="H547" i="81"/>
  <c r="I547" i="81"/>
  <c r="F548" i="81"/>
  <c r="G548" i="81"/>
  <c r="H548" i="81"/>
  <c r="I548" i="81"/>
  <c r="F549" i="81"/>
  <c r="G549" i="81"/>
  <c r="H549" i="81"/>
  <c r="I549" i="81"/>
  <c r="F550" i="81"/>
  <c r="G550" i="81"/>
  <c r="H550" i="81"/>
  <c r="I550" i="81"/>
  <c r="F551" i="81"/>
  <c r="G551" i="81"/>
  <c r="H551" i="81"/>
  <c r="I551" i="81"/>
  <c r="F552" i="81"/>
  <c r="G552" i="81"/>
  <c r="H552" i="81"/>
  <c r="I552" i="81"/>
  <c r="F553" i="81"/>
  <c r="G553" i="81"/>
  <c r="H553" i="81"/>
  <c r="I553" i="81"/>
  <c r="F554" i="81"/>
  <c r="G554" i="81"/>
  <c r="H554" i="81"/>
  <c r="I554" i="81"/>
  <c r="F555" i="81"/>
  <c r="G555" i="81"/>
  <c r="H555" i="81"/>
  <c r="I555" i="81"/>
  <c r="F556" i="81"/>
  <c r="G556" i="81"/>
  <c r="H556" i="81"/>
  <c r="I556" i="81"/>
  <c r="F557" i="81"/>
  <c r="G557" i="81"/>
  <c r="H557" i="81"/>
  <c r="I557" i="81"/>
  <c r="F558" i="81"/>
  <c r="G558" i="81"/>
  <c r="H558" i="81"/>
  <c r="I558" i="81"/>
  <c r="F559" i="81"/>
  <c r="G559" i="81"/>
  <c r="H559" i="81"/>
  <c r="I559" i="81"/>
  <c r="F560" i="81"/>
  <c r="G560" i="81"/>
  <c r="H560" i="81"/>
  <c r="I560" i="81"/>
  <c r="F561" i="81"/>
  <c r="G561" i="81"/>
  <c r="H561" i="81"/>
  <c r="I561" i="81"/>
  <c r="F562" i="81"/>
  <c r="G562" i="81"/>
  <c r="H562" i="81"/>
  <c r="I562" i="81"/>
  <c r="F563" i="81"/>
  <c r="G563" i="81"/>
  <c r="H563" i="81"/>
  <c r="I563" i="81"/>
  <c r="F564" i="81"/>
  <c r="G564" i="81"/>
  <c r="H564" i="81"/>
  <c r="I564" i="81"/>
  <c r="F565" i="81"/>
  <c r="G565" i="81"/>
  <c r="H565" i="81"/>
  <c r="I565" i="81"/>
  <c r="F566" i="81"/>
  <c r="G566" i="81"/>
  <c r="H566" i="81"/>
  <c r="I566" i="81"/>
  <c r="F567" i="81"/>
  <c r="G567" i="81"/>
  <c r="H567" i="81"/>
  <c r="I567" i="81"/>
  <c r="F568" i="81"/>
  <c r="G568" i="81"/>
  <c r="H568" i="81"/>
  <c r="I568" i="81"/>
  <c r="F569" i="81"/>
  <c r="G569" i="81"/>
  <c r="H569" i="81"/>
  <c r="I569" i="81"/>
  <c r="F570" i="81"/>
  <c r="G570" i="81"/>
  <c r="H570" i="81"/>
  <c r="I570" i="81"/>
  <c r="F571" i="81"/>
  <c r="G571" i="81"/>
  <c r="H571" i="81"/>
  <c r="I571" i="81"/>
  <c r="F572" i="81"/>
  <c r="G572" i="81"/>
  <c r="H572" i="81"/>
  <c r="I572" i="81"/>
  <c r="F573" i="81"/>
  <c r="G573" i="81"/>
  <c r="H573" i="81"/>
  <c r="I573" i="81"/>
  <c r="F574" i="81"/>
  <c r="G574" i="81"/>
  <c r="H574" i="81"/>
  <c r="I574" i="81"/>
  <c r="F575" i="81"/>
  <c r="G575" i="81"/>
  <c r="H575" i="81"/>
  <c r="I575" i="81"/>
  <c r="F576" i="81"/>
  <c r="G576" i="81"/>
  <c r="H576" i="81"/>
  <c r="I576" i="81"/>
  <c r="F577" i="81"/>
  <c r="G577" i="81"/>
  <c r="H577" i="81"/>
  <c r="I577" i="81"/>
  <c r="F578" i="81"/>
  <c r="G578" i="81"/>
  <c r="H578" i="81"/>
  <c r="I578" i="81"/>
  <c r="F579" i="81"/>
  <c r="G579" i="81"/>
  <c r="H579" i="81"/>
  <c r="I579" i="81"/>
  <c r="F580" i="81"/>
  <c r="G580" i="81"/>
  <c r="H580" i="81"/>
  <c r="I580" i="81"/>
  <c r="F581" i="81"/>
  <c r="G581" i="81"/>
  <c r="H581" i="81"/>
  <c r="I581" i="81"/>
  <c r="F582" i="81"/>
  <c r="G582" i="81"/>
  <c r="H582" i="81"/>
  <c r="I582" i="81"/>
  <c r="F583" i="81"/>
  <c r="G583" i="81"/>
  <c r="H583" i="81"/>
  <c r="I583" i="81"/>
  <c r="F584" i="81"/>
  <c r="G584" i="81"/>
  <c r="H584" i="81"/>
  <c r="I584" i="81"/>
  <c r="F585" i="81"/>
  <c r="G585" i="81"/>
  <c r="H585" i="81"/>
  <c r="I585" i="81"/>
  <c r="F586" i="81"/>
  <c r="G586" i="81"/>
  <c r="H586" i="81"/>
  <c r="I586" i="81"/>
  <c r="F587" i="81"/>
  <c r="G587" i="81"/>
  <c r="H587" i="81"/>
  <c r="I587" i="81"/>
  <c r="F588" i="81"/>
  <c r="G588" i="81"/>
  <c r="H588" i="81"/>
  <c r="I588" i="81"/>
  <c r="F589" i="81"/>
  <c r="G589" i="81"/>
  <c r="H589" i="81"/>
  <c r="I589" i="81"/>
  <c r="F590" i="81"/>
  <c r="G590" i="81"/>
  <c r="H590" i="81"/>
  <c r="I590" i="81"/>
  <c r="F591" i="81"/>
  <c r="G591" i="81"/>
  <c r="H591" i="81"/>
  <c r="I591" i="81"/>
  <c r="F592" i="81"/>
  <c r="G592" i="81"/>
  <c r="H592" i="81"/>
  <c r="I592" i="81"/>
  <c r="F593" i="81"/>
  <c r="G593" i="81"/>
  <c r="H593" i="81"/>
  <c r="I593" i="81"/>
  <c r="F594" i="81"/>
  <c r="G594" i="81"/>
  <c r="H594" i="81"/>
  <c r="I594" i="81"/>
  <c r="F595" i="81"/>
  <c r="G595" i="81"/>
  <c r="H595" i="81"/>
  <c r="I595" i="81"/>
  <c r="F596" i="81"/>
  <c r="G596" i="81"/>
  <c r="H596" i="81"/>
  <c r="I596" i="81"/>
  <c r="F597" i="81"/>
  <c r="G597" i="81"/>
  <c r="H597" i="81"/>
  <c r="I597" i="81"/>
  <c r="F598" i="81"/>
  <c r="G598" i="81"/>
  <c r="H598" i="81"/>
  <c r="I598" i="81"/>
  <c r="F599" i="81"/>
  <c r="G599" i="81"/>
  <c r="H599" i="81"/>
  <c r="I599" i="81"/>
  <c r="F600" i="81"/>
  <c r="G600" i="81"/>
  <c r="H600" i="81"/>
  <c r="I600" i="81"/>
  <c r="F601" i="81"/>
  <c r="G601" i="81"/>
  <c r="H601" i="81"/>
  <c r="I601" i="81"/>
  <c r="F602" i="81"/>
  <c r="G602" i="81"/>
  <c r="H602" i="81"/>
  <c r="I602" i="81"/>
  <c r="F603" i="81"/>
  <c r="G603" i="81"/>
  <c r="H603" i="81"/>
  <c r="I603" i="81"/>
  <c r="F604" i="81"/>
  <c r="G604" i="81"/>
  <c r="H604" i="81"/>
  <c r="I604" i="81"/>
  <c r="F605" i="81"/>
  <c r="G605" i="81"/>
  <c r="H605" i="81"/>
  <c r="I605" i="81"/>
  <c r="F606" i="81"/>
  <c r="G606" i="81"/>
  <c r="H606" i="81"/>
  <c r="I606" i="81"/>
  <c r="F607" i="81"/>
  <c r="G607" i="81"/>
  <c r="H607" i="81"/>
  <c r="I607" i="81"/>
  <c r="F608" i="81"/>
  <c r="G608" i="81"/>
  <c r="H608" i="81"/>
  <c r="I608" i="81"/>
  <c r="F609" i="81"/>
  <c r="G609" i="81"/>
  <c r="H609" i="81"/>
  <c r="I609" i="81"/>
  <c r="F610" i="81"/>
  <c r="G610" i="81"/>
  <c r="H610" i="81"/>
  <c r="I610" i="81"/>
  <c r="F611" i="81"/>
  <c r="G611" i="81"/>
  <c r="H611" i="81"/>
  <c r="I611" i="81"/>
  <c r="F612" i="81"/>
  <c r="G612" i="81"/>
  <c r="H612" i="81"/>
  <c r="I612" i="81"/>
  <c r="F613" i="81"/>
  <c r="G613" i="81"/>
  <c r="H613" i="81"/>
  <c r="I613" i="81"/>
  <c r="F614" i="81"/>
  <c r="G614" i="81"/>
  <c r="H614" i="81"/>
  <c r="I614" i="81"/>
  <c r="F615" i="81"/>
  <c r="G615" i="81"/>
  <c r="H615" i="81"/>
  <c r="I615" i="81"/>
  <c r="F616" i="81"/>
  <c r="G616" i="81"/>
  <c r="H616" i="81"/>
  <c r="I616" i="81"/>
  <c r="F617" i="81"/>
  <c r="G617" i="81"/>
  <c r="H617" i="81"/>
  <c r="I617" i="81"/>
  <c r="F618" i="81"/>
  <c r="G618" i="81"/>
  <c r="H618" i="81"/>
  <c r="I618" i="81"/>
  <c r="F619" i="81"/>
  <c r="G619" i="81"/>
  <c r="H619" i="81"/>
  <c r="I619" i="81"/>
  <c r="F620" i="81"/>
  <c r="G620" i="81"/>
  <c r="H620" i="81"/>
  <c r="I620" i="81"/>
  <c r="F621" i="81"/>
  <c r="G621" i="81"/>
  <c r="H621" i="81"/>
  <c r="I621" i="81"/>
  <c r="F622" i="81"/>
  <c r="G622" i="81"/>
  <c r="H622" i="81"/>
  <c r="I622" i="81"/>
  <c r="F623" i="81"/>
  <c r="G623" i="81"/>
  <c r="H623" i="81"/>
  <c r="I623" i="81"/>
  <c r="F624" i="81"/>
  <c r="G624" i="81"/>
  <c r="H624" i="81"/>
  <c r="I624" i="81"/>
  <c r="F625" i="81"/>
  <c r="G625" i="81"/>
  <c r="H625" i="81"/>
  <c r="I625" i="81"/>
  <c r="F626" i="81"/>
  <c r="G626" i="81"/>
  <c r="H626" i="81"/>
  <c r="I626" i="81"/>
  <c r="F627" i="81"/>
  <c r="G627" i="81"/>
  <c r="H627" i="81"/>
  <c r="I627" i="81"/>
  <c r="F628" i="81"/>
  <c r="G628" i="81"/>
  <c r="H628" i="81"/>
  <c r="I628" i="81"/>
  <c r="F629" i="81"/>
  <c r="G629" i="81"/>
  <c r="H629" i="81"/>
  <c r="I629" i="81"/>
  <c r="F630" i="81"/>
  <c r="G630" i="81"/>
  <c r="H630" i="81"/>
  <c r="I630" i="81"/>
  <c r="F631" i="81"/>
  <c r="G631" i="81"/>
  <c r="H631" i="81"/>
  <c r="I631" i="81"/>
  <c r="F632" i="81"/>
  <c r="G632" i="81"/>
  <c r="H632" i="81"/>
  <c r="I632" i="81"/>
  <c r="F633" i="81"/>
  <c r="G633" i="81"/>
  <c r="H633" i="81"/>
  <c r="I633" i="81"/>
  <c r="F634" i="81"/>
  <c r="G634" i="81"/>
  <c r="H634" i="81"/>
  <c r="I634" i="81"/>
  <c r="F635" i="81"/>
  <c r="G635" i="81"/>
  <c r="H635" i="81"/>
  <c r="I635" i="81"/>
  <c r="F636" i="81"/>
  <c r="G636" i="81"/>
  <c r="H636" i="81"/>
  <c r="I636" i="81"/>
  <c r="F637" i="81"/>
  <c r="G637" i="81"/>
  <c r="H637" i="81"/>
  <c r="I637" i="81"/>
  <c r="F638" i="81"/>
  <c r="G638" i="81"/>
  <c r="H638" i="81"/>
  <c r="I638" i="81"/>
  <c r="F639" i="81"/>
  <c r="G639" i="81"/>
  <c r="H639" i="81"/>
  <c r="I639" i="81"/>
  <c r="F640" i="81"/>
  <c r="G640" i="81"/>
  <c r="H640" i="81"/>
  <c r="I640" i="81"/>
  <c r="F641" i="81"/>
  <c r="G641" i="81"/>
  <c r="H641" i="81"/>
  <c r="I641" i="81"/>
  <c r="F642" i="81"/>
  <c r="G642" i="81"/>
  <c r="H642" i="81"/>
  <c r="I642" i="81"/>
  <c r="F643" i="81"/>
  <c r="G643" i="81"/>
  <c r="H643" i="81"/>
  <c r="I643" i="81"/>
  <c r="F644" i="81"/>
  <c r="G644" i="81"/>
  <c r="H644" i="81"/>
  <c r="I644" i="81"/>
  <c r="F645" i="81"/>
  <c r="G645" i="81"/>
  <c r="H645" i="81"/>
  <c r="I645" i="81"/>
  <c r="F646" i="81"/>
  <c r="G646" i="81"/>
  <c r="H646" i="81"/>
  <c r="I646" i="81"/>
  <c r="F647" i="81"/>
  <c r="G647" i="81"/>
  <c r="H647" i="81"/>
  <c r="I647" i="81"/>
  <c r="F648" i="81"/>
  <c r="G648" i="81"/>
  <c r="H648" i="81"/>
  <c r="I648" i="81"/>
  <c r="F649" i="81"/>
  <c r="G649" i="81"/>
  <c r="H649" i="81"/>
  <c r="I649" i="81"/>
  <c r="F650" i="81"/>
  <c r="G650" i="81"/>
  <c r="H650" i="81"/>
  <c r="I650" i="81"/>
  <c r="F651" i="81"/>
  <c r="G651" i="81"/>
  <c r="H651" i="81"/>
  <c r="I651" i="81"/>
  <c r="F652" i="81"/>
  <c r="G652" i="81"/>
  <c r="H652" i="81"/>
  <c r="I652" i="81"/>
  <c r="F653" i="81"/>
  <c r="G653" i="81"/>
  <c r="H653" i="81"/>
  <c r="I653" i="81"/>
  <c r="F654" i="81"/>
  <c r="G654" i="81"/>
  <c r="H654" i="81"/>
  <c r="I654" i="81"/>
  <c r="F655" i="81"/>
  <c r="G655" i="81"/>
  <c r="H655" i="81"/>
  <c r="I655" i="81"/>
  <c r="F656" i="81"/>
  <c r="G656" i="81"/>
  <c r="H656" i="81"/>
  <c r="I656" i="81"/>
  <c r="F657" i="81"/>
  <c r="G657" i="81"/>
  <c r="H657" i="81"/>
  <c r="I657" i="81"/>
  <c r="F658" i="81"/>
  <c r="G658" i="81"/>
  <c r="H658" i="81"/>
  <c r="I658" i="81"/>
  <c r="F659" i="81"/>
  <c r="G659" i="81"/>
  <c r="H659" i="81"/>
  <c r="I659" i="81"/>
  <c r="F660" i="81"/>
  <c r="G660" i="81"/>
  <c r="H660" i="81"/>
  <c r="I660" i="81"/>
  <c r="F661" i="81"/>
  <c r="G661" i="81"/>
  <c r="H661" i="81"/>
  <c r="I661" i="81"/>
  <c r="F662" i="81"/>
  <c r="G662" i="81"/>
  <c r="H662" i="81"/>
  <c r="I662" i="81"/>
  <c r="F663" i="81"/>
  <c r="G663" i="81"/>
  <c r="H663" i="81"/>
  <c r="I663" i="81"/>
  <c r="F664" i="81"/>
  <c r="G664" i="81"/>
  <c r="H664" i="81"/>
  <c r="I664" i="81"/>
  <c r="F665" i="81"/>
  <c r="G665" i="81"/>
  <c r="H665" i="81"/>
  <c r="I665" i="81"/>
  <c r="F666" i="81"/>
  <c r="G666" i="81"/>
  <c r="H666" i="81"/>
  <c r="I666" i="81"/>
  <c r="F667" i="81"/>
  <c r="G667" i="81"/>
  <c r="H667" i="81"/>
  <c r="I667" i="81"/>
  <c r="F668" i="81"/>
  <c r="G668" i="81"/>
  <c r="H668" i="81"/>
  <c r="I668" i="81"/>
  <c r="F669" i="81"/>
  <c r="G669" i="81"/>
  <c r="H669" i="81"/>
  <c r="I669" i="81"/>
  <c r="F670" i="81"/>
  <c r="G670" i="81"/>
  <c r="H670" i="81"/>
  <c r="I670" i="81"/>
  <c r="F671" i="81"/>
  <c r="G671" i="81"/>
  <c r="H671" i="81"/>
  <c r="I671" i="81"/>
  <c r="F672" i="81"/>
  <c r="G672" i="81"/>
  <c r="H672" i="81"/>
  <c r="I672" i="81"/>
  <c r="F673" i="81"/>
  <c r="G673" i="81"/>
  <c r="H673" i="81"/>
  <c r="I673" i="81"/>
  <c r="F674" i="81"/>
  <c r="G674" i="81"/>
  <c r="H674" i="81"/>
  <c r="I674" i="81"/>
  <c r="F675" i="81"/>
  <c r="G675" i="81"/>
  <c r="H675" i="81"/>
  <c r="I675" i="81"/>
  <c r="F676" i="81"/>
  <c r="G676" i="81"/>
  <c r="H676" i="81"/>
  <c r="I676" i="81"/>
  <c r="F677" i="81"/>
  <c r="G677" i="81"/>
  <c r="H677" i="81"/>
  <c r="I677" i="81"/>
  <c r="F678" i="81"/>
  <c r="G678" i="81"/>
  <c r="H678" i="81"/>
  <c r="I678" i="81"/>
  <c r="F679" i="81"/>
  <c r="G679" i="81"/>
  <c r="H679" i="81"/>
  <c r="I679" i="81"/>
  <c r="F680" i="81"/>
  <c r="G680" i="81"/>
  <c r="H680" i="81"/>
  <c r="I680" i="81"/>
  <c r="F681" i="81"/>
  <c r="G681" i="81"/>
  <c r="H681" i="81"/>
  <c r="I681" i="81"/>
  <c r="F8" i="81"/>
  <c r="G8" i="81"/>
  <c r="H8" i="81"/>
  <c r="I8" i="81"/>
  <c r="AP7" i="81"/>
  <c r="I7" i="81"/>
  <c r="H7" i="81"/>
  <c r="G7" i="81"/>
  <c r="F7" i="81"/>
  <c r="U51" i="85" l="1"/>
  <c r="P51" i="85"/>
  <c r="K51" i="85"/>
  <c r="U50" i="85"/>
  <c r="P50" i="85"/>
  <c r="K50" i="85"/>
  <c r="U49" i="85"/>
  <c r="P49" i="85"/>
  <c r="K49" i="85"/>
  <c r="K48" i="85"/>
  <c r="U47" i="85"/>
  <c r="P47" i="85"/>
  <c r="K47" i="85"/>
  <c r="U46" i="85"/>
  <c r="P46" i="85"/>
  <c r="K46" i="85"/>
  <c r="U45" i="85"/>
  <c r="P45" i="85"/>
  <c r="K45" i="85"/>
  <c r="U44" i="85"/>
  <c r="P44" i="85"/>
  <c r="K44" i="85"/>
  <c r="U43" i="85"/>
  <c r="P43" i="85"/>
  <c r="K43" i="85"/>
  <c r="K42" i="85"/>
  <c r="U41" i="85"/>
  <c r="P41" i="85"/>
  <c r="K41" i="85"/>
  <c r="U40" i="85"/>
  <c r="P40" i="85"/>
  <c r="K40" i="85"/>
  <c r="U39" i="85"/>
  <c r="P39" i="85"/>
  <c r="K39" i="85"/>
  <c r="U38" i="85"/>
  <c r="P38" i="85"/>
  <c r="K38" i="85"/>
  <c r="AM31" i="85"/>
  <c r="AH31" i="85"/>
  <c r="AC31" i="85"/>
  <c r="X31" i="85"/>
  <c r="S31" i="85"/>
  <c r="N31" i="85"/>
  <c r="AM23" i="85"/>
  <c r="AH23" i="85"/>
  <c r="AC23" i="85"/>
  <c r="X23" i="85"/>
  <c r="S23" i="85"/>
  <c r="N23" i="85"/>
  <c r="AM22" i="85"/>
  <c r="AH22" i="85"/>
  <c r="AC22" i="85"/>
  <c r="X22" i="85"/>
  <c r="S22" i="85"/>
  <c r="N22" i="85"/>
  <c r="AM19" i="85"/>
  <c r="AH19" i="85"/>
  <c r="AC19" i="85"/>
  <c r="X19" i="85"/>
  <c r="S19" i="85"/>
  <c r="N19" i="85"/>
  <c r="AM17" i="85"/>
  <c r="AH17" i="85"/>
  <c r="AC17" i="85"/>
  <c r="X17" i="85"/>
  <c r="S17" i="85"/>
  <c r="N17" i="85"/>
  <c r="AM15" i="85"/>
  <c r="AH15" i="85"/>
  <c r="AC15" i="85"/>
  <c r="X15" i="85"/>
  <c r="S15" i="85"/>
  <c r="N15" i="85"/>
  <c r="AM14" i="85"/>
  <c r="AH14" i="85"/>
  <c r="AC14" i="85"/>
  <c r="X14" i="85"/>
  <c r="S14" i="85"/>
  <c r="N14" i="85"/>
  <c r="B38" i="80"/>
  <c r="B39" i="80"/>
  <c r="B40" i="80"/>
  <c r="B41" i="80"/>
  <c r="B42" i="80"/>
  <c r="B43" i="80"/>
  <c r="B44" i="80"/>
  <c r="B45" i="80"/>
  <c r="B46" i="80"/>
  <c r="B47" i="80"/>
  <c r="B48" i="80"/>
  <c r="B49" i="80"/>
  <c r="B50" i="80"/>
  <c r="B51" i="80"/>
  <c r="B52" i="80"/>
  <c r="B53" i="80"/>
  <c r="B54" i="80"/>
  <c r="B55" i="80"/>
  <c r="B56" i="80"/>
  <c r="B57" i="80"/>
  <c r="B58" i="80"/>
  <c r="B59" i="80"/>
  <c r="B60" i="80"/>
  <c r="B61" i="80"/>
  <c r="B62" i="80"/>
  <c r="B63" i="80"/>
  <c r="B64" i="80"/>
  <c r="B65" i="80"/>
  <c r="B66" i="80"/>
  <c r="B67" i="80"/>
  <c r="B68" i="80"/>
  <c r="B69" i="80"/>
  <c r="B70" i="80"/>
  <c r="B71" i="80"/>
  <c r="B72" i="80"/>
  <c r="B73" i="80"/>
  <c r="B74" i="80"/>
  <c r="B75" i="80"/>
  <c r="B76" i="80"/>
  <c r="B77" i="80"/>
  <c r="B78" i="80"/>
  <c r="B79" i="80"/>
  <c r="B80" i="80"/>
  <c r="B81" i="80"/>
  <c r="B82" i="80"/>
  <c r="B83" i="80"/>
  <c r="B84" i="80"/>
  <c r="B85" i="80"/>
  <c r="B86" i="80"/>
  <c r="B87" i="80"/>
  <c r="B88" i="80"/>
  <c r="B89" i="80"/>
  <c r="B90" i="80"/>
  <c r="B91" i="80"/>
  <c r="B92" i="80"/>
  <c r="B93" i="80"/>
  <c r="B94" i="80"/>
  <c r="B95" i="80"/>
  <c r="B96" i="80"/>
  <c r="B97" i="80"/>
  <c r="B98" i="80"/>
  <c r="B99" i="80"/>
  <c r="B100" i="80"/>
  <c r="B101" i="80"/>
  <c r="B102" i="80"/>
  <c r="B103" i="80"/>
  <c r="B104" i="80"/>
  <c r="B105" i="80"/>
  <c r="B106" i="80"/>
  <c r="B107" i="80"/>
  <c r="B108" i="80"/>
  <c r="P25" i="79"/>
  <c r="V25" i="79"/>
  <c r="J41" i="80" l="1"/>
  <c r="K41" i="80"/>
  <c r="L41" i="80"/>
  <c r="M41" i="80"/>
  <c r="N41" i="80"/>
  <c r="J42" i="80"/>
  <c r="K42" i="80"/>
  <c r="L42" i="80"/>
  <c r="M42" i="80"/>
  <c r="N42" i="80"/>
  <c r="J43" i="80"/>
  <c r="K43" i="80"/>
  <c r="L43" i="80"/>
  <c r="M43" i="80"/>
  <c r="N43" i="80"/>
  <c r="J44" i="80"/>
  <c r="K44" i="80"/>
  <c r="L44" i="80"/>
  <c r="M44" i="80"/>
  <c r="N44" i="80"/>
  <c r="J45" i="80"/>
  <c r="K45" i="80"/>
  <c r="L45" i="80"/>
  <c r="M45" i="80"/>
  <c r="N45" i="80"/>
  <c r="J46" i="80"/>
  <c r="K46" i="80"/>
  <c r="L46" i="80"/>
  <c r="M46" i="80"/>
  <c r="N46" i="80"/>
  <c r="J47" i="80"/>
  <c r="K47" i="80"/>
  <c r="L47" i="80"/>
  <c r="M47" i="80"/>
  <c r="N47" i="80"/>
  <c r="J48" i="80"/>
  <c r="K48" i="80"/>
  <c r="L48" i="80"/>
  <c r="M48" i="80"/>
  <c r="N48" i="80"/>
  <c r="J49" i="80"/>
  <c r="K49" i="80"/>
  <c r="L49" i="80"/>
  <c r="M49" i="80"/>
  <c r="N49" i="80"/>
  <c r="J50" i="80"/>
  <c r="K50" i="80"/>
  <c r="L50" i="80"/>
  <c r="M50" i="80"/>
  <c r="N50" i="80"/>
  <c r="J51" i="80"/>
  <c r="K51" i="80"/>
  <c r="L51" i="80"/>
  <c r="M51" i="80"/>
  <c r="N51" i="80"/>
  <c r="J52" i="80"/>
  <c r="K52" i="80"/>
  <c r="L52" i="80"/>
  <c r="M52" i="80"/>
  <c r="N52" i="80"/>
  <c r="J53" i="80"/>
  <c r="K53" i="80"/>
  <c r="L53" i="80"/>
  <c r="M53" i="80"/>
  <c r="N53" i="80"/>
  <c r="J54" i="80"/>
  <c r="K54" i="80"/>
  <c r="L54" i="80"/>
  <c r="M54" i="80"/>
  <c r="N54" i="80"/>
  <c r="J55" i="80"/>
  <c r="K55" i="80"/>
  <c r="L55" i="80"/>
  <c r="M55" i="80"/>
  <c r="N55" i="80"/>
  <c r="J56" i="80"/>
  <c r="K56" i="80"/>
  <c r="L56" i="80"/>
  <c r="M56" i="80"/>
  <c r="N56" i="80"/>
  <c r="J57" i="80"/>
  <c r="K57" i="80"/>
  <c r="L57" i="80"/>
  <c r="M57" i="80"/>
  <c r="N57" i="80"/>
  <c r="J58" i="80"/>
  <c r="K58" i="80"/>
  <c r="L58" i="80"/>
  <c r="M58" i="80"/>
  <c r="N58" i="80"/>
  <c r="J59" i="80"/>
  <c r="K59" i="80"/>
  <c r="L59" i="80"/>
  <c r="M59" i="80"/>
  <c r="N59" i="80"/>
  <c r="J60" i="80"/>
  <c r="K60" i="80"/>
  <c r="L60" i="80"/>
  <c r="M60" i="80"/>
  <c r="N60" i="80"/>
  <c r="J61" i="80"/>
  <c r="K61" i="80"/>
  <c r="L61" i="80"/>
  <c r="M61" i="80"/>
  <c r="N61" i="80"/>
  <c r="J62" i="80"/>
  <c r="K62" i="80"/>
  <c r="L62" i="80"/>
  <c r="M62" i="80"/>
  <c r="N62" i="80"/>
  <c r="J63" i="80"/>
  <c r="K63" i="80"/>
  <c r="L63" i="80"/>
  <c r="M63" i="80"/>
  <c r="N63" i="80"/>
  <c r="J64" i="80"/>
  <c r="K64" i="80"/>
  <c r="L64" i="80"/>
  <c r="M64" i="80"/>
  <c r="N64" i="80"/>
  <c r="J65" i="80"/>
  <c r="K65" i="80"/>
  <c r="L65" i="80"/>
  <c r="M65" i="80"/>
  <c r="N65" i="80"/>
  <c r="J66" i="80"/>
  <c r="K66" i="80"/>
  <c r="L66" i="80"/>
  <c r="M66" i="80"/>
  <c r="N66" i="80"/>
  <c r="J67" i="80"/>
  <c r="K67" i="80"/>
  <c r="L67" i="80"/>
  <c r="M67" i="80"/>
  <c r="N67" i="80"/>
  <c r="J68" i="80"/>
  <c r="K68" i="80"/>
  <c r="L68" i="80"/>
  <c r="M68" i="80"/>
  <c r="N68" i="80"/>
  <c r="J69" i="80"/>
  <c r="K69" i="80"/>
  <c r="L69" i="80"/>
  <c r="M69" i="80"/>
  <c r="N69" i="80"/>
  <c r="J70" i="80"/>
  <c r="K70" i="80"/>
  <c r="L70" i="80"/>
  <c r="M70" i="80"/>
  <c r="N70" i="80"/>
  <c r="J71" i="80"/>
  <c r="K71" i="80"/>
  <c r="L71" i="80"/>
  <c r="M71" i="80"/>
  <c r="N71" i="80"/>
  <c r="J72" i="80"/>
  <c r="K72" i="80"/>
  <c r="L72" i="80"/>
  <c r="M72" i="80"/>
  <c r="N72" i="80"/>
  <c r="J73" i="80"/>
  <c r="K73" i="80"/>
  <c r="L73" i="80"/>
  <c r="M73" i="80"/>
  <c r="N73" i="80"/>
  <c r="J74" i="80"/>
  <c r="K74" i="80"/>
  <c r="L74" i="80"/>
  <c r="M74" i="80"/>
  <c r="N74" i="80"/>
  <c r="J75" i="80"/>
  <c r="K75" i="80"/>
  <c r="L75" i="80"/>
  <c r="M75" i="80"/>
  <c r="N75" i="80"/>
  <c r="J76" i="80"/>
  <c r="K76" i="80"/>
  <c r="L76" i="80"/>
  <c r="M76" i="80"/>
  <c r="N76" i="80"/>
  <c r="J77" i="80"/>
  <c r="K77" i="80"/>
  <c r="L77" i="80"/>
  <c r="M77" i="80"/>
  <c r="N77" i="80"/>
  <c r="J78" i="80"/>
  <c r="K78" i="80"/>
  <c r="L78" i="80"/>
  <c r="M78" i="80"/>
  <c r="N78" i="80"/>
  <c r="J79" i="80"/>
  <c r="K79" i="80"/>
  <c r="L79" i="80"/>
  <c r="M79" i="80"/>
  <c r="N79" i="80"/>
  <c r="J80" i="80"/>
  <c r="K80" i="80"/>
  <c r="L80" i="80"/>
  <c r="M80" i="80"/>
  <c r="N80" i="80"/>
  <c r="J81" i="80"/>
  <c r="K81" i="80"/>
  <c r="L81" i="80"/>
  <c r="M81" i="80"/>
  <c r="N81" i="80"/>
  <c r="J82" i="80"/>
  <c r="K82" i="80"/>
  <c r="L82" i="80"/>
  <c r="M82" i="80"/>
  <c r="N82" i="80"/>
  <c r="J83" i="80"/>
  <c r="K83" i="80"/>
  <c r="L83" i="80"/>
  <c r="M83" i="80"/>
  <c r="N83" i="80"/>
  <c r="J84" i="80"/>
  <c r="K84" i="80"/>
  <c r="L84" i="80"/>
  <c r="M84" i="80"/>
  <c r="N84" i="80"/>
  <c r="J85" i="80"/>
  <c r="K85" i="80"/>
  <c r="L85" i="80"/>
  <c r="M85" i="80"/>
  <c r="N85" i="80"/>
  <c r="J86" i="80"/>
  <c r="K86" i="80"/>
  <c r="L86" i="80"/>
  <c r="M86" i="80"/>
  <c r="N86" i="80"/>
  <c r="J87" i="80"/>
  <c r="K87" i="80"/>
  <c r="L87" i="80"/>
  <c r="M87" i="80"/>
  <c r="N87" i="80"/>
  <c r="J88" i="80"/>
  <c r="K88" i="80"/>
  <c r="L88" i="80"/>
  <c r="M88" i="80"/>
  <c r="N88" i="80"/>
  <c r="J89" i="80"/>
  <c r="K89" i="80"/>
  <c r="L89" i="80"/>
  <c r="M89" i="80"/>
  <c r="N89" i="80"/>
  <c r="J90" i="80"/>
  <c r="K90" i="80"/>
  <c r="L90" i="80"/>
  <c r="M90" i="80"/>
  <c r="N90" i="80"/>
  <c r="J91" i="80"/>
  <c r="K91" i="80"/>
  <c r="L91" i="80"/>
  <c r="M91" i="80"/>
  <c r="N91" i="80"/>
  <c r="J92" i="80"/>
  <c r="K92" i="80"/>
  <c r="L92" i="80"/>
  <c r="M92" i="80"/>
  <c r="N92" i="80"/>
  <c r="J93" i="80"/>
  <c r="K93" i="80"/>
  <c r="L93" i="80"/>
  <c r="M93" i="80"/>
  <c r="N93" i="80"/>
  <c r="J94" i="80"/>
  <c r="K94" i="80"/>
  <c r="L94" i="80"/>
  <c r="M94" i="80"/>
  <c r="N94" i="80"/>
  <c r="J95" i="80"/>
  <c r="K95" i="80"/>
  <c r="L95" i="80"/>
  <c r="M95" i="80"/>
  <c r="N95" i="80"/>
  <c r="J96" i="80"/>
  <c r="K96" i="80"/>
  <c r="L96" i="80"/>
  <c r="M96" i="80"/>
  <c r="N96" i="80"/>
  <c r="J97" i="80"/>
  <c r="K97" i="80"/>
  <c r="L97" i="80"/>
  <c r="M97" i="80"/>
  <c r="N97" i="80"/>
  <c r="J98" i="80"/>
  <c r="K98" i="80"/>
  <c r="L98" i="80"/>
  <c r="M98" i="80"/>
  <c r="N98" i="80"/>
  <c r="J99" i="80"/>
  <c r="K99" i="80"/>
  <c r="L99" i="80"/>
  <c r="M99" i="80"/>
  <c r="N99" i="80"/>
  <c r="J100" i="80"/>
  <c r="K100" i="80"/>
  <c r="L100" i="80"/>
  <c r="M100" i="80"/>
  <c r="N100" i="80"/>
  <c r="J101" i="80"/>
  <c r="K101" i="80"/>
  <c r="L101" i="80"/>
  <c r="M101" i="80"/>
  <c r="N101" i="80"/>
  <c r="J102" i="80"/>
  <c r="K102" i="80"/>
  <c r="L102" i="80"/>
  <c r="M102" i="80"/>
  <c r="N102" i="80"/>
  <c r="J103" i="80"/>
  <c r="K103" i="80"/>
  <c r="L103" i="80"/>
  <c r="M103" i="80"/>
  <c r="N103" i="80"/>
  <c r="J104" i="80"/>
  <c r="K104" i="80"/>
  <c r="L104" i="80"/>
  <c r="M104" i="80"/>
  <c r="N104" i="80"/>
  <c r="J105" i="80"/>
  <c r="K105" i="80"/>
  <c r="L105" i="80"/>
  <c r="M105" i="80"/>
  <c r="N105" i="80"/>
  <c r="J106" i="80"/>
  <c r="K106" i="80"/>
  <c r="L106" i="80"/>
  <c r="M106" i="80"/>
  <c r="N106" i="80"/>
  <c r="J107" i="80"/>
  <c r="K107" i="80"/>
  <c r="L107" i="80"/>
  <c r="M107" i="80"/>
  <c r="N107" i="80"/>
  <c r="J108" i="80"/>
  <c r="K108" i="80"/>
  <c r="L108" i="80"/>
  <c r="M108" i="80"/>
  <c r="N108" i="80"/>
  <c r="J38" i="80"/>
  <c r="K38" i="80"/>
  <c r="L38" i="80"/>
  <c r="M38" i="80"/>
  <c r="N38" i="80"/>
  <c r="J39" i="80"/>
  <c r="K39" i="80"/>
  <c r="L39" i="80"/>
  <c r="M39" i="80"/>
  <c r="N39" i="80"/>
  <c r="J40" i="80"/>
  <c r="K40" i="80"/>
  <c r="L40" i="80"/>
  <c r="M40" i="80"/>
  <c r="N40" i="80"/>
  <c r="I76" i="80" l="1"/>
  <c r="H76" i="80" s="1"/>
  <c r="I74" i="80"/>
  <c r="H74" i="80" s="1"/>
  <c r="I72" i="80"/>
  <c r="H72" i="80" s="1"/>
  <c r="I68" i="80"/>
  <c r="H68" i="80" s="1"/>
  <c r="I66" i="80"/>
  <c r="H66" i="80" s="1"/>
  <c r="I52" i="80"/>
  <c r="H52" i="80" s="1"/>
  <c r="I50" i="80"/>
  <c r="H50" i="80" s="1"/>
  <c r="I48" i="80"/>
  <c r="H48" i="80" s="1"/>
  <c r="I46" i="80"/>
  <c r="H46" i="80" s="1"/>
  <c r="I44" i="80"/>
  <c r="H44" i="80" s="1"/>
  <c r="I42" i="80"/>
  <c r="H42" i="80" s="1"/>
  <c r="I108" i="80"/>
  <c r="H108" i="80" s="1"/>
  <c r="I107" i="80"/>
  <c r="H107" i="80" s="1"/>
  <c r="I106" i="80"/>
  <c r="H106" i="80" s="1"/>
  <c r="I105" i="80"/>
  <c r="H105" i="80" s="1"/>
  <c r="I104" i="80"/>
  <c r="H104" i="80" s="1"/>
  <c r="I103" i="80"/>
  <c r="H103" i="80" s="1"/>
  <c r="I102" i="80"/>
  <c r="H102" i="80" s="1"/>
  <c r="I101" i="80"/>
  <c r="H101" i="80" s="1"/>
  <c r="I100" i="80"/>
  <c r="H100" i="80" s="1"/>
  <c r="I99" i="80"/>
  <c r="H99" i="80" s="1"/>
  <c r="I98" i="80"/>
  <c r="H98" i="80" s="1"/>
  <c r="I97" i="80"/>
  <c r="H97" i="80" s="1"/>
  <c r="I96" i="80"/>
  <c r="H96" i="80" s="1"/>
  <c r="I95" i="80"/>
  <c r="H95" i="80" s="1"/>
  <c r="I94" i="80"/>
  <c r="H94" i="80" s="1"/>
  <c r="I93" i="80"/>
  <c r="H93" i="80" s="1"/>
  <c r="I92" i="80"/>
  <c r="H92" i="80" s="1"/>
  <c r="I91" i="80"/>
  <c r="H91" i="80" s="1"/>
  <c r="I90" i="80"/>
  <c r="H90" i="80" s="1"/>
  <c r="I89" i="80"/>
  <c r="H89" i="80" s="1"/>
  <c r="I88" i="80"/>
  <c r="H88" i="80" s="1"/>
  <c r="I87" i="80"/>
  <c r="H87" i="80" s="1"/>
  <c r="I86" i="80"/>
  <c r="H86" i="80" s="1"/>
  <c r="I85" i="80"/>
  <c r="H85" i="80" s="1"/>
  <c r="I84" i="80"/>
  <c r="H84" i="80" s="1"/>
  <c r="I83" i="80"/>
  <c r="H83" i="80" s="1"/>
  <c r="I82" i="80"/>
  <c r="H82" i="80" s="1"/>
  <c r="I81" i="80"/>
  <c r="H81" i="80" s="1"/>
  <c r="I80" i="80"/>
  <c r="H80" i="80" s="1"/>
  <c r="I79" i="80"/>
  <c r="H79" i="80" s="1"/>
  <c r="I78" i="80"/>
  <c r="H78" i="80" s="1"/>
  <c r="I77" i="80"/>
  <c r="H77" i="80" s="1"/>
  <c r="I75" i="80"/>
  <c r="H75" i="80" s="1"/>
  <c r="I73" i="80"/>
  <c r="H73" i="80" s="1"/>
  <c r="I71" i="80"/>
  <c r="H71" i="80" s="1"/>
  <c r="I70" i="80"/>
  <c r="H70" i="80" s="1"/>
  <c r="I69" i="80"/>
  <c r="H69" i="80" s="1"/>
  <c r="I67" i="80"/>
  <c r="H67" i="80" s="1"/>
  <c r="I65" i="80"/>
  <c r="H65" i="80" s="1"/>
  <c r="I64" i="80"/>
  <c r="H64" i="80" s="1"/>
  <c r="I63" i="80"/>
  <c r="H63" i="80" s="1"/>
  <c r="I62" i="80"/>
  <c r="H62" i="80" s="1"/>
  <c r="I61" i="80"/>
  <c r="H61" i="80" s="1"/>
  <c r="I60" i="80"/>
  <c r="H60" i="80" s="1"/>
  <c r="I59" i="80"/>
  <c r="H59" i="80" s="1"/>
  <c r="I58" i="80"/>
  <c r="H58" i="80" s="1"/>
  <c r="I57" i="80"/>
  <c r="H57" i="80" s="1"/>
  <c r="I56" i="80"/>
  <c r="H56" i="80" s="1"/>
  <c r="I55" i="80"/>
  <c r="H55" i="80" s="1"/>
  <c r="I54" i="80"/>
  <c r="H54" i="80" s="1"/>
  <c r="I53" i="80"/>
  <c r="H53" i="80" s="1"/>
  <c r="I51" i="80"/>
  <c r="H51" i="80" s="1"/>
  <c r="I49" i="80"/>
  <c r="H49" i="80" s="1"/>
  <c r="I47" i="80"/>
  <c r="H47" i="80" s="1"/>
  <c r="I45" i="80"/>
  <c r="H45" i="80" s="1"/>
  <c r="I43" i="80"/>
  <c r="H43" i="80" s="1"/>
  <c r="I41" i="80"/>
  <c r="H41" i="80" s="1"/>
  <c r="N9" i="80"/>
  <c r="K9" i="80"/>
  <c r="AC18" i="85" l="1"/>
  <c r="AC30" i="85"/>
  <c r="AC16" i="85"/>
  <c r="J9" i="80"/>
  <c r="L9" i="80"/>
  <c r="M9" i="80"/>
  <c r="B37" i="80"/>
  <c r="B36" i="80"/>
  <c r="B35" i="80"/>
  <c r="B34" i="80"/>
  <c r="B33" i="80"/>
  <c r="B32" i="80"/>
  <c r="B31" i="80"/>
  <c r="B30" i="80"/>
  <c r="B29" i="80"/>
  <c r="B28" i="80"/>
  <c r="B27" i="80"/>
  <c r="B26" i="80"/>
  <c r="B25" i="80"/>
  <c r="B24" i="80"/>
  <c r="B23" i="80"/>
  <c r="B22" i="80"/>
  <c r="B21" i="80"/>
  <c r="B20" i="80"/>
  <c r="B19" i="80"/>
  <c r="B18" i="80"/>
  <c r="B17" i="80"/>
  <c r="B16" i="80"/>
  <c r="B15" i="80"/>
  <c r="B14" i="80"/>
  <c r="B13" i="80"/>
  <c r="B12" i="80"/>
  <c r="B11" i="80"/>
  <c r="B10" i="80"/>
  <c r="AH18" i="85" l="1"/>
  <c r="AH16" i="85"/>
  <c r="AH30" i="85"/>
  <c r="AM30" i="85"/>
  <c r="AM16" i="85"/>
  <c r="AM18" i="85"/>
  <c r="X18" i="85"/>
  <c r="X30" i="85"/>
  <c r="X16" i="85"/>
  <c r="J10" i="80"/>
  <c r="L10" i="80"/>
  <c r="N10" i="80"/>
  <c r="K10" i="80"/>
  <c r="M10" i="80"/>
  <c r="J12" i="80"/>
  <c r="L12" i="80"/>
  <c r="N12" i="80"/>
  <c r="K12" i="80"/>
  <c r="M12" i="80"/>
  <c r="J14" i="80"/>
  <c r="L14" i="80"/>
  <c r="N14" i="80"/>
  <c r="K14" i="80"/>
  <c r="M14" i="80"/>
  <c r="J16" i="80"/>
  <c r="L16" i="80"/>
  <c r="N16" i="80"/>
  <c r="M16" i="80"/>
  <c r="K16" i="80"/>
  <c r="J18" i="80"/>
  <c r="L18" i="80"/>
  <c r="N18" i="80"/>
  <c r="K18" i="80"/>
  <c r="M18" i="80"/>
  <c r="J20" i="80"/>
  <c r="L20" i="80"/>
  <c r="N20" i="80"/>
  <c r="M20" i="80"/>
  <c r="K20" i="80"/>
  <c r="J22" i="80"/>
  <c r="L22" i="80"/>
  <c r="N22" i="80"/>
  <c r="K22" i="80"/>
  <c r="M22" i="80"/>
  <c r="J24" i="80"/>
  <c r="L24" i="80"/>
  <c r="N24" i="80"/>
  <c r="M24" i="80"/>
  <c r="K24" i="80"/>
  <c r="J26" i="80"/>
  <c r="L26" i="80"/>
  <c r="N26" i="80"/>
  <c r="K26" i="80"/>
  <c r="M26" i="80"/>
  <c r="J28" i="80"/>
  <c r="L28" i="80"/>
  <c r="N28" i="80"/>
  <c r="M28" i="80"/>
  <c r="K28" i="80"/>
  <c r="J30" i="80"/>
  <c r="L30" i="80"/>
  <c r="N30" i="80"/>
  <c r="K30" i="80"/>
  <c r="M30" i="80"/>
  <c r="J32" i="80"/>
  <c r="L32" i="80"/>
  <c r="N32" i="80"/>
  <c r="M32" i="80"/>
  <c r="K32" i="80"/>
  <c r="J34" i="80"/>
  <c r="L34" i="80"/>
  <c r="N34" i="80"/>
  <c r="K34" i="80"/>
  <c r="M34" i="80"/>
  <c r="J36" i="80"/>
  <c r="L36" i="80"/>
  <c r="N36" i="80"/>
  <c r="M36" i="80"/>
  <c r="K36" i="80"/>
  <c r="K11" i="80"/>
  <c r="M11" i="80"/>
  <c r="J11" i="80"/>
  <c r="L11" i="80"/>
  <c r="N11" i="80"/>
  <c r="K13" i="80"/>
  <c r="M13" i="80"/>
  <c r="J13" i="80"/>
  <c r="L13" i="80"/>
  <c r="N13" i="80"/>
  <c r="K15" i="80"/>
  <c r="M15" i="80"/>
  <c r="J15" i="80"/>
  <c r="L15" i="80"/>
  <c r="N15" i="80"/>
  <c r="K17" i="80"/>
  <c r="M17" i="80"/>
  <c r="L17" i="80"/>
  <c r="J17" i="80"/>
  <c r="N17" i="80"/>
  <c r="K19" i="80"/>
  <c r="M19" i="80"/>
  <c r="J19" i="80"/>
  <c r="N19" i="80"/>
  <c r="L19" i="80"/>
  <c r="K21" i="80"/>
  <c r="M21" i="80"/>
  <c r="L21" i="80"/>
  <c r="J21" i="80"/>
  <c r="N21" i="80"/>
  <c r="K23" i="80"/>
  <c r="M23" i="80"/>
  <c r="J23" i="80"/>
  <c r="N23" i="80"/>
  <c r="L23" i="80"/>
  <c r="K25" i="80"/>
  <c r="M25" i="80"/>
  <c r="L25" i="80"/>
  <c r="J25" i="80"/>
  <c r="N25" i="80"/>
  <c r="K27" i="80"/>
  <c r="M27" i="80"/>
  <c r="J27" i="80"/>
  <c r="N27" i="80"/>
  <c r="L27" i="80"/>
  <c r="K29" i="80"/>
  <c r="M29" i="80"/>
  <c r="L29" i="80"/>
  <c r="J29" i="80"/>
  <c r="N29" i="80"/>
  <c r="K31" i="80"/>
  <c r="M31" i="80"/>
  <c r="J31" i="80"/>
  <c r="N31" i="80"/>
  <c r="L31" i="80"/>
  <c r="K33" i="80"/>
  <c r="M33" i="80"/>
  <c r="L33" i="80"/>
  <c r="J33" i="80"/>
  <c r="N33" i="80"/>
  <c r="K35" i="80"/>
  <c r="M35" i="80"/>
  <c r="J35" i="80"/>
  <c r="N35" i="80"/>
  <c r="L35" i="80"/>
  <c r="K37" i="80"/>
  <c r="M37" i="80"/>
  <c r="L37" i="80"/>
  <c r="J37" i="80"/>
  <c r="N37" i="80"/>
  <c r="I40" i="80"/>
  <c r="H40" i="80" s="1"/>
  <c r="I39" i="80"/>
  <c r="H39" i="80" s="1"/>
  <c r="AM20" i="85" l="1"/>
  <c r="AM21" i="85"/>
  <c r="AM32" i="85"/>
  <c r="AC32" i="85"/>
  <c r="AC20" i="85"/>
  <c r="AC21" i="85"/>
  <c r="AH20" i="85"/>
  <c r="AH21" i="85"/>
  <c r="AH32" i="85"/>
  <c r="X32" i="85"/>
  <c r="X21" i="85"/>
  <c r="X20" i="85"/>
  <c r="V18" i="79"/>
  <c r="V16" i="79"/>
  <c r="V14" i="79"/>
  <c r="V12" i="79"/>
  <c r="V10" i="79"/>
  <c r="P18" i="79"/>
  <c r="P16" i="79"/>
  <c r="P14" i="79"/>
  <c r="P12" i="79"/>
  <c r="P10" i="79"/>
  <c r="I11" i="80" l="1"/>
  <c r="I13" i="80"/>
  <c r="I15" i="80"/>
  <c r="I17" i="80"/>
  <c r="H17" i="80" s="1"/>
  <c r="I21" i="80"/>
  <c r="H21" i="80" s="1"/>
  <c r="I23" i="80"/>
  <c r="I25" i="80"/>
  <c r="H25" i="80" s="1"/>
  <c r="I27" i="80"/>
  <c r="H27" i="80" s="1"/>
  <c r="I29" i="80"/>
  <c r="I31" i="80"/>
  <c r="I33" i="80"/>
  <c r="I35" i="80"/>
  <c r="I37" i="80"/>
  <c r="I10" i="80"/>
  <c r="I12" i="80"/>
  <c r="I14" i="80"/>
  <c r="I16" i="80"/>
  <c r="I18" i="80"/>
  <c r="H18" i="80" s="1"/>
  <c r="I20" i="80"/>
  <c r="H20" i="80" s="1"/>
  <c r="I22" i="80"/>
  <c r="H22" i="80" s="1"/>
  <c r="I24" i="80"/>
  <c r="H24" i="80" s="1"/>
  <c r="I26" i="80"/>
  <c r="I28" i="80"/>
  <c r="I30" i="80"/>
  <c r="I32" i="80"/>
  <c r="I34" i="80"/>
  <c r="I36" i="80"/>
  <c r="I38" i="80"/>
  <c r="H38" i="80" s="1"/>
  <c r="I9" i="80"/>
  <c r="I19" i="80"/>
  <c r="S21" i="85" l="1"/>
  <c r="U48" i="85"/>
  <c r="P48" i="85"/>
  <c r="S32" i="85"/>
  <c r="V26" i="79"/>
  <c r="S20" i="85"/>
  <c r="P26" i="79"/>
  <c r="U42" i="85"/>
  <c r="P42" i="85"/>
  <c r="S18" i="85"/>
  <c r="S30" i="85"/>
  <c r="S16" i="85"/>
  <c r="H13" i="80"/>
  <c r="H28" i="80"/>
  <c r="H15" i="80"/>
  <c r="H30" i="80"/>
  <c r="H26" i="80"/>
  <c r="H35" i="80"/>
  <c r="H31" i="80"/>
  <c r="H36" i="80"/>
  <c r="H32" i="80"/>
  <c r="H37" i="80"/>
  <c r="H33" i="80"/>
  <c r="H34" i="80"/>
  <c r="H19" i="80"/>
  <c r="H16" i="80"/>
  <c r="H29" i="80"/>
  <c r="H11" i="80"/>
  <c r="H10" i="80"/>
  <c r="H23" i="80"/>
  <c r="P19" i="79"/>
  <c r="V11" i="79"/>
  <c r="P11" i="79"/>
  <c r="H9" i="80"/>
  <c r="V17" i="79"/>
  <c r="V13" i="79"/>
  <c r="P17" i="79"/>
  <c r="P13" i="79"/>
  <c r="H12" i="80"/>
  <c r="V19" i="79"/>
  <c r="V15" i="79"/>
  <c r="P15" i="79"/>
  <c r="H14" i="80"/>
  <c r="N30" i="85" l="1"/>
  <c r="N18" i="85"/>
  <c r="N16" i="85"/>
  <c r="N21" i="85"/>
  <c r="N32" i="85"/>
  <c r="N20" i="8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B9" authorId="0" shapeId="0" xr:uid="{2AF1CEF1-14BA-4613-8FF8-134A5E380B0F}">
      <text>
        <r>
          <rPr>
            <sz val="9"/>
            <color indexed="81"/>
            <rFont val="ＭＳ 明朝"/>
            <family val="1"/>
            <charset val="128"/>
          </rPr>
          <t>「&lt;=12」は年計
「1」～「12」は各月の計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K5" authorId="0" shapeId="0" xr:uid="{CD804F32-0DAC-4445-AFAE-09AD255CC4A1}">
      <text>
        <r>
          <rPr>
            <sz val="9"/>
            <color indexed="81"/>
            <rFont val="ＭＳ 明朝"/>
            <family val="1"/>
            <charset val="128"/>
          </rPr>
          <t>【記入方法１】標準時間×作業の有無
・標準時間を入力
・作業を行った日に「1」を入力
【記入方法２】実際の作業時間
・標準時間に「1」を入力
・作業を行った日に作業時間を入力</t>
        </r>
      </text>
    </comment>
  </commentList>
</comments>
</file>

<file path=xl/sharedStrings.xml><?xml version="1.0" encoding="utf-8"?>
<sst xmlns="http://schemas.openxmlformats.org/spreadsheetml/2006/main" count="439" uniqueCount="94">
  <si>
    <t>時間</t>
    <rPh sb="0" eb="2">
      <t>ジカン</t>
    </rPh>
    <phoneticPr fontId="2"/>
  </si>
  <si>
    <t>性別</t>
    <rPh sb="0" eb="2">
      <t>セイベツ</t>
    </rPh>
    <phoneticPr fontId="2"/>
  </si>
  <si>
    <t>年齢</t>
    <rPh sb="0" eb="2">
      <t>ネンレイ</t>
    </rPh>
    <phoneticPr fontId="2"/>
  </si>
  <si>
    <t>雇用形態</t>
    <rPh sb="0" eb="2">
      <t>コヨウ</t>
    </rPh>
    <rPh sb="2" eb="4">
      <t>ケイタイ</t>
    </rPh>
    <phoneticPr fontId="2"/>
  </si>
  <si>
    <t>総労働時間</t>
    <rPh sb="0" eb="1">
      <t>ソウ</t>
    </rPh>
    <rPh sb="1" eb="3">
      <t>ロウドウ</t>
    </rPh>
    <rPh sb="3" eb="5">
      <t>ジカン</t>
    </rPh>
    <phoneticPr fontId="2"/>
  </si>
  <si>
    <t>受託（農業）</t>
    <rPh sb="0" eb="2">
      <t>ジュタク</t>
    </rPh>
    <rPh sb="3" eb="5">
      <t>ノウギョウ</t>
    </rPh>
    <phoneticPr fontId="2"/>
  </si>
  <si>
    <t>その他事業</t>
    <rPh sb="2" eb="3">
      <t>タ</t>
    </rPh>
    <rPh sb="3" eb="5">
      <t>ジギョウ</t>
    </rPh>
    <phoneticPr fontId="2"/>
  </si>
  <si>
    <t>農業生産</t>
    <rPh sb="0" eb="2">
      <t>ノウギョウ</t>
    </rPh>
    <rPh sb="2" eb="4">
      <t>セイサン</t>
    </rPh>
    <phoneticPr fontId="2"/>
  </si>
  <si>
    <t>35～44</t>
  </si>
  <si>
    <t>45～49</t>
  </si>
  <si>
    <t>50～59</t>
  </si>
  <si>
    <t>60～64</t>
  </si>
  <si>
    <t>65～69</t>
  </si>
  <si>
    <t>月</t>
    <rPh sb="0" eb="1">
      <t>ツキ</t>
    </rPh>
    <phoneticPr fontId="5"/>
  </si>
  <si>
    <t>作業者</t>
    <rPh sb="0" eb="3">
      <t>サギョウシャ</t>
    </rPh>
    <phoneticPr fontId="5"/>
  </si>
  <si>
    <t>経営主・構成員</t>
    <rPh sb="0" eb="2">
      <t>ケイエイ</t>
    </rPh>
    <rPh sb="2" eb="3">
      <t>シュ</t>
    </rPh>
    <rPh sb="4" eb="7">
      <t>コウセイイン</t>
    </rPh>
    <phoneticPr fontId="2"/>
  </si>
  <si>
    <t>【12】労働の概要</t>
    <rPh sb="4" eb="6">
      <t>ロウドウ</t>
    </rPh>
    <rPh sb="7" eb="9">
      <t>ガイヨウ</t>
    </rPh>
    <phoneticPr fontId="5"/>
  </si>
  <si>
    <t>(１) 雇用形態別の事業従事者数</t>
    <rPh sb="4" eb="6">
      <t>コヨウ</t>
    </rPh>
    <rPh sb="6" eb="9">
      <t>ケイタイベツ</t>
    </rPh>
    <rPh sb="10" eb="12">
      <t>ジギョウ</t>
    </rPh>
    <rPh sb="12" eb="15">
      <t>ジュウジシャ</t>
    </rPh>
    <rPh sb="15" eb="16">
      <t>カズ</t>
    </rPh>
    <phoneticPr fontId="5"/>
  </si>
  <si>
    <t>区　　　分</t>
    <rPh sb="0" eb="1">
      <t>ク</t>
    </rPh>
    <rPh sb="4" eb="5">
      <t>ブン</t>
    </rPh>
    <phoneticPr fontId="5"/>
  </si>
  <si>
    <r>
      <t>男
（人</t>
    </r>
    <r>
      <rPr>
        <sz val="11"/>
        <color indexed="8"/>
        <rFont val="ＭＳ ゴシック"/>
        <family val="3"/>
        <charset val="128"/>
      </rPr>
      <t>）</t>
    </r>
    <rPh sb="0" eb="1">
      <t>オトコ</t>
    </rPh>
    <rPh sb="3" eb="4">
      <t>ニン</t>
    </rPh>
    <phoneticPr fontId="5"/>
  </si>
  <si>
    <r>
      <t>女
（人</t>
    </r>
    <r>
      <rPr>
        <sz val="11"/>
        <rFont val="ＭＳ ゴシック"/>
        <family val="3"/>
        <charset val="128"/>
      </rPr>
      <t>）</t>
    </r>
    <rPh sb="0" eb="1">
      <t>オンナ</t>
    </rPh>
    <rPh sb="3" eb="4">
      <t>ニン</t>
    </rPh>
    <phoneticPr fontId="5"/>
  </si>
  <si>
    <t>有給役員</t>
    <rPh sb="0" eb="2">
      <t>ユウキュウ</t>
    </rPh>
    <rPh sb="2" eb="4">
      <t>ヤクイン</t>
    </rPh>
    <phoneticPr fontId="5"/>
  </si>
  <si>
    <t>事業従事者</t>
    <rPh sb="0" eb="2">
      <t>ジギョウ</t>
    </rPh>
    <rPh sb="2" eb="4">
      <t>ジュウジ</t>
    </rPh>
    <rPh sb="4" eb="5">
      <t>シャ</t>
    </rPh>
    <phoneticPr fontId="5"/>
  </si>
  <si>
    <t>うち農業従事者</t>
    <phoneticPr fontId="5"/>
  </si>
  <si>
    <t>常用雇用者</t>
    <rPh sb="0" eb="2">
      <t>ジョウヨウ</t>
    </rPh>
    <rPh sb="2" eb="5">
      <t>コヨウシャ</t>
    </rPh>
    <phoneticPr fontId="5"/>
  </si>
  <si>
    <t>正社員・正職員</t>
    <rPh sb="0" eb="3">
      <t>セイシャイン</t>
    </rPh>
    <rPh sb="4" eb="7">
      <t>セイショクイン</t>
    </rPh>
    <phoneticPr fontId="5"/>
  </si>
  <si>
    <t>その他</t>
    <rPh sb="2" eb="3">
      <t>タ</t>
    </rPh>
    <phoneticPr fontId="5"/>
  </si>
  <si>
    <t>うち７か月以上</t>
    <rPh sb="4" eb="5">
      <t>ゲツ</t>
    </rPh>
    <rPh sb="5" eb="7">
      <t>イジョウ</t>
    </rPh>
    <phoneticPr fontId="5"/>
  </si>
  <si>
    <t>臨時雇用者</t>
    <rPh sb="0" eb="2">
      <t>リンジ</t>
    </rPh>
    <rPh sb="2" eb="5">
      <t>コヨウシャ</t>
    </rPh>
    <phoneticPr fontId="5"/>
  </si>
  <si>
    <t>うち農業従事者</t>
    <rPh sb="2" eb="4">
      <t>ノウギョウ</t>
    </rPh>
    <rPh sb="4" eb="7">
      <t>ジュウジシャ</t>
    </rPh>
    <phoneticPr fontId="5"/>
  </si>
  <si>
    <t>(２) 構成員数</t>
    <rPh sb="4" eb="7">
      <t>コウセイイン</t>
    </rPh>
    <rPh sb="7" eb="8">
      <t>スウ</t>
    </rPh>
    <phoneticPr fontId="5"/>
  </si>
  <si>
    <t>男
（人）</t>
    <rPh sb="0" eb="1">
      <t>オトコ</t>
    </rPh>
    <rPh sb="3" eb="4">
      <t>ニン</t>
    </rPh>
    <phoneticPr fontId="5"/>
  </si>
  <si>
    <t>女
（人）</t>
    <rPh sb="0" eb="1">
      <t>オンナ</t>
    </rPh>
    <rPh sb="3" eb="4">
      <t>ニン</t>
    </rPh>
    <phoneticPr fontId="5"/>
  </si>
  <si>
    <t>構成員</t>
    <rPh sb="0" eb="3">
      <t>コウセイイン</t>
    </rPh>
    <phoneticPr fontId="5"/>
  </si>
  <si>
    <t>(３) 農業従事者の年齢別日数別従事者数</t>
    <rPh sb="4" eb="6">
      <t>ノウギョウ</t>
    </rPh>
    <rPh sb="6" eb="9">
      <t>ジュウジシャ</t>
    </rPh>
    <rPh sb="10" eb="12">
      <t>ネンレイ</t>
    </rPh>
    <rPh sb="12" eb="13">
      <t>ベツ</t>
    </rPh>
    <rPh sb="13" eb="15">
      <t>ニッスウ</t>
    </rPh>
    <rPh sb="15" eb="16">
      <t>ベツ</t>
    </rPh>
    <rPh sb="16" eb="19">
      <t>ジュウジシャ</t>
    </rPh>
    <rPh sb="19" eb="20">
      <t>スウ</t>
    </rPh>
    <phoneticPr fontId="5"/>
  </si>
  <si>
    <t>区　　分</t>
    <rPh sb="0" eb="1">
      <t>ク</t>
    </rPh>
    <rPh sb="3" eb="4">
      <t>ブン</t>
    </rPh>
    <phoneticPr fontId="5"/>
  </si>
  <si>
    <t>農業に従事した日数別　（人）</t>
    <rPh sb="0" eb="2">
      <t>ノウギョウ</t>
    </rPh>
    <rPh sb="3" eb="5">
      <t>ジュウジ</t>
    </rPh>
    <rPh sb="7" eb="9">
      <t>ニッスウ</t>
    </rPh>
    <rPh sb="9" eb="10">
      <t>ベツ</t>
    </rPh>
    <rPh sb="12" eb="13">
      <t>ニン</t>
    </rPh>
    <phoneticPr fontId="5"/>
  </si>
  <si>
    <t>60日未満</t>
    <rPh sb="2" eb="3">
      <t>ニチ</t>
    </rPh>
    <rPh sb="3" eb="5">
      <t>ミマン</t>
    </rPh>
    <phoneticPr fontId="5"/>
  </si>
  <si>
    <t>60～150日</t>
    <rPh sb="6" eb="7">
      <t>ニチ</t>
    </rPh>
    <phoneticPr fontId="5"/>
  </si>
  <si>
    <t>150日以上</t>
    <rPh sb="3" eb="4">
      <t>ニチ</t>
    </rPh>
    <rPh sb="4" eb="6">
      <t>イジョウ</t>
    </rPh>
    <phoneticPr fontId="5"/>
  </si>
  <si>
    <t>男</t>
    <rPh sb="0" eb="1">
      <t>オトコ</t>
    </rPh>
    <phoneticPr fontId="5"/>
  </si>
  <si>
    <t>35歳未満</t>
    <rPh sb="2" eb="3">
      <t>サイ</t>
    </rPh>
    <rPh sb="3" eb="5">
      <t>ミマン</t>
    </rPh>
    <phoneticPr fontId="5"/>
  </si>
  <si>
    <t>35～44</t>
    <phoneticPr fontId="5"/>
  </si>
  <si>
    <t>45～49</t>
    <phoneticPr fontId="5"/>
  </si>
  <si>
    <t>50～59</t>
    <phoneticPr fontId="5"/>
  </si>
  <si>
    <t>60～64</t>
    <phoneticPr fontId="5"/>
  </si>
  <si>
    <t>65～69</t>
    <phoneticPr fontId="5"/>
  </si>
  <si>
    <t>70歳以上</t>
    <rPh sb="2" eb="3">
      <t>サイ</t>
    </rPh>
    <rPh sb="3" eb="5">
      <t>イジョウ</t>
    </rPh>
    <phoneticPr fontId="5"/>
  </si>
  <si>
    <t>女</t>
    <rPh sb="0" eb="1">
      <t>オンナ</t>
    </rPh>
    <phoneticPr fontId="5"/>
  </si>
  <si>
    <t>２　作業別・年齢別の労働時間</t>
    <rPh sb="2" eb="5">
      <t>サギョウベツ</t>
    </rPh>
    <rPh sb="6" eb="9">
      <t>ネンレイベツ</t>
    </rPh>
    <rPh sb="10" eb="12">
      <t>ロウドウ</t>
    </rPh>
    <rPh sb="12" eb="14">
      <t>ジカン</t>
    </rPh>
    <phoneticPr fontId="5"/>
  </si>
  <si>
    <t>　事業従事者の１年間（決算期間）の作業別の労働時間を男女別に雇用形態別、経営主、構成員の別に記入してください。
　また、農業労働時間について雇用形態別の労働時間を男女別・年齢階層別に記入してください。</t>
    <rPh sb="1" eb="3">
      <t>ジギョウ</t>
    </rPh>
    <rPh sb="3" eb="6">
      <t>ジュウジシャ</t>
    </rPh>
    <rPh sb="8" eb="10">
      <t>ネンカン</t>
    </rPh>
    <rPh sb="11" eb="13">
      <t>ケッサン</t>
    </rPh>
    <rPh sb="13" eb="15">
      <t>キカン</t>
    </rPh>
    <rPh sb="17" eb="20">
      <t>サギョウベツ</t>
    </rPh>
    <rPh sb="21" eb="23">
      <t>ロウドウ</t>
    </rPh>
    <rPh sb="23" eb="25">
      <t>ジカン</t>
    </rPh>
    <rPh sb="26" eb="29">
      <t>ダンジョベツ</t>
    </rPh>
    <rPh sb="30" eb="32">
      <t>コヨウ</t>
    </rPh>
    <rPh sb="32" eb="35">
      <t>ケイタイベツ</t>
    </rPh>
    <rPh sb="36" eb="38">
      <t>ケイエイ</t>
    </rPh>
    <rPh sb="38" eb="39">
      <t>ヌシ</t>
    </rPh>
    <rPh sb="40" eb="43">
      <t>コウセイイン</t>
    </rPh>
    <rPh sb="44" eb="45">
      <t>ベツ</t>
    </rPh>
    <rPh sb="46" eb="48">
      <t>キニュウ</t>
    </rPh>
    <rPh sb="60" eb="62">
      <t>ノウギョウ</t>
    </rPh>
    <rPh sb="62" eb="64">
      <t>ロウドウ</t>
    </rPh>
    <rPh sb="64" eb="66">
      <t>ジカン</t>
    </rPh>
    <rPh sb="70" eb="72">
      <t>コヨウ</t>
    </rPh>
    <rPh sb="72" eb="75">
      <t>ケイタイベツ</t>
    </rPh>
    <rPh sb="76" eb="78">
      <t>ロウドウ</t>
    </rPh>
    <rPh sb="78" eb="80">
      <t>ジカン</t>
    </rPh>
    <rPh sb="81" eb="84">
      <t>ダンジョベツ</t>
    </rPh>
    <rPh sb="85" eb="87">
      <t>ネンレイ</t>
    </rPh>
    <rPh sb="87" eb="90">
      <t>カイソウベツ</t>
    </rPh>
    <rPh sb="91" eb="93">
      <t>キニュウ</t>
    </rPh>
    <phoneticPr fontId="5"/>
  </si>
  <si>
    <t>(１) 雇用形態別の作業別労働時間</t>
    <rPh sb="4" eb="6">
      <t>コヨウ</t>
    </rPh>
    <rPh sb="6" eb="8">
      <t>ケイタイ</t>
    </rPh>
    <rPh sb="8" eb="9">
      <t>ベツ</t>
    </rPh>
    <rPh sb="10" eb="13">
      <t>サギョウベツ</t>
    </rPh>
    <rPh sb="13" eb="15">
      <t>ロウドウ</t>
    </rPh>
    <rPh sb="15" eb="17">
      <t>ジカン</t>
    </rPh>
    <phoneticPr fontId="5"/>
  </si>
  <si>
    <t>農　業</t>
    <rPh sb="0" eb="1">
      <t>ノウ</t>
    </rPh>
    <rPh sb="2" eb="3">
      <t>ギョウ</t>
    </rPh>
    <phoneticPr fontId="5"/>
  </si>
  <si>
    <t>農業生産
関連事業</t>
    <rPh sb="0" eb="2">
      <t>ノウギョウ</t>
    </rPh>
    <rPh sb="2" eb="4">
      <t>セイサン</t>
    </rPh>
    <rPh sb="5" eb="7">
      <t>カンレン</t>
    </rPh>
    <rPh sb="7" eb="9">
      <t>ジギョウ</t>
    </rPh>
    <phoneticPr fontId="5"/>
  </si>
  <si>
    <t>農畜産物
の生産</t>
    <rPh sb="0" eb="4">
      <t>ノウチクサンブツ</t>
    </rPh>
    <rPh sb="6" eb="8">
      <t>セイサン</t>
    </rPh>
    <phoneticPr fontId="5"/>
  </si>
  <si>
    <t>販売・一般管理</t>
    <rPh sb="0" eb="2">
      <t>ハンバイ</t>
    </rPh>
    <rPh sb="3" eb="5">
      <t>イッパン</t>
    </rPh>
    <rPh sb="5" eb="7">
      <t>カンリ</t>
    </rPh>
    <phoneticPr fontId="5"/>
  </si>
  <si>
    <t>受　託</t>
    <rPh sb="0" eb="1">
      <t>ウケ</t>
    </rPh>
    <rPh sb="2" eb="3">
      <t>コトヅケ</t>
    </rPh>
    <phoneticPr fontId="5"/>
  </si>
  <si>
    <t>有給
役員</t>
    <rPh sb="0" eb="2">
      <t>ユウキュウ</t>
    </rPh>
    <rPh sb="3" eb="5">
      <t>ヤクイン</t>
    </rPh>
    <phoneticPr fontId="5"/>
  </si>
  <si>
    <t>臨時
雇用者</t>
    <rPh sb="0" eb="2">
      <t>リンジ</t>
    </rPh>
    <rPh sb="3" eb="6">
      <t>コヨウシャ</t>
    </rPh>
    <phoneticPr fontId="5"/>
  </si>
  <si>
    <t>(２)経営主、構成員の作業別労働時間</t>
    <rPh sb="3" eb="5">
      <t>ケイエイ</t>
    </rPh>
    <rPh sb="5" eb="6">
      <t>ヌシ</t>
    </rPh>
    <rPh sb="7" eb="10">
      <t>コウセイイン</t>
    </rPh>
    <phoneticPr fontId="5"/>
  </si>
  <si>
    <t>経営主</t>
    <rPh sb="0" eb="2">
      <t>ケイエイ</t>
    </rPh>
    <rPh sb="2" eb="3">
      <t>ヌシ</t>
    </rPh>
    <phoneticPr fontId="5"/>
  </si>
  <si>
    <t>(３) 雇用形態別の年齢別農業労働時間</t>
    <rPh sb="4" eb="6">
      <t>コヨウ</t>
    </rPh>
    <rPh sb="6" eb="9">
      <t>ケイタイベツ</t>
    </rPh>
    <rPh sb="10" eb="13">
      <t>ネンレイベツ</t>
    </rPh>
    <rPh sb="13" eb="15">
      <t>ノウギョウ</t>
    </rPh>
    <rPh sb="15" eb="17">
      <t>ロウドウ</t>
    </rPh>
    <rPh sb="17" eb="19">
      <t>ジカン</t>
    </rPh>
    <phoneticPr fontId="5"/>
  </si>
  <si>
    <t>有給役員
（時間）</t>
    <rPh sb="0" eb="2">
      <t>ユウキュウ</t>
    </rPh>
    <rPh sb="2" eb="4">
      <t>ヤクイン</t>
    </rPh>
    <rPh sb="6" eb="8">
      <t>ジカン</t>
    </rPh>
    <phoneticPr fontId="5"/>
  </si>
  <si>
    <t>うち７カ月
以上雇用者</t>
    <rPh sb="4" eb="5">
      <t>ゲツ</t>
    </rPh>
    <rPh sb="6" eb="8">
      <t>イジョウ</t>
    </rPh>
    <rPh sb="8" eb="10">
      <t>コヨウ</t>
    </rPh>
    <rPh sb="10" eb="11">
      <t>モノ</t>
    </rPh>
    <phoneticPr fontId="5"/>
  </si>
  <si>
    <t>　１年間（決算期間）の事業従事者について、男女別に雇用形態別、構成員の別に実人数で記入してください。
　また、事業従事者のうち農業従業者について男女別・年齢別日数階層別に記入してください。</t>
    <rPh sb="2" eb="4">
      <t>ネンカン</t>
    </rPh>
    <rPh sb="5" eb="7">
      <t>ケッサン</t>
    </rPh>
    <rPh sb="7" eb="9">
      <t>キカン</t>
    </rPh>
    <rPh sb="31" eb="34">
      <t>コウセイイン</t>
    </rPh>
    <rPh sb="35" eb="36">
      <t>ベツ</t>
    </rPh>
    <rPh sb="37" eb="38">
      <t>ジツ</t>
    </rPh>
    <rPh sb="38" eb="40">
      <t>ニンズウ</t>
    </rPh>
    <rPh sb="55" eb="57">
      <t>ジギョウ</t>
    </rPh>
    <rPh sb="57" eb="60">
      <t>ジュウジシャ</t>
    </rPh>
    <rPh sb="63" eb="65">
      <t>ノウギョウ</t>
    </rPh>
    <rPh sb="65" eb="68">
      <t>ジュウギョウシャ</t>
    </rPh>
    <rPh sb="78" eb="79">
      <t>ベツ</t>
    </rPh>
    <rPh sb="79" eb="81">
      <t>ニッスウ</t>
    </rPh>
    <phoneticPr fontId="5"/>
  </si>
  <si>
    <t>労働時間計
（時間）</t>
    <rPh sb="0" eb="2">
      <t>ロウドウ</t>
    </rPh>
    <rPh sb="2" eb="4">
      <t>ジカン</t>
    </rPh>
    <rPh sb="4" eb="5">
      <t>ケイ</t>
    </rPh>
    <rPh sb="7" eb="9">
      <t>ジカン</t>
    </rPh>
    <phoneticPr fontId="5"/>
  </si>
  <si>
    <t>常用雇用者
（時間）</t>
    <rPh sb="0" eb="1">
      <t>ツネ</t>
    </rPh>
    <rPh sb="1" eb="2">
      <t>ヨウ</t>
    </rPh>
    <rPh sb="2" eb="3">
      <t>ヤトイ</t>
    </rPh>
    <rPh sb="3" eb="4">
      <t>ヨウ</t>
    </rPh>
    <rPh sb="4" eb="5">
      <t>シャ</t>
    </rPh>
    <rPh sb="7" eb="9">
      <t>ジカン</t>
    </rPh>
    <phoneticPr fontId="5"/>
  </si>
  <si>
    <t/>
  </si>
  <si>
    <t>農業</t>
    <rPh sb="0" eb="2">
      <t>ノウギョウ</t>
    </rPh>
    <phoneticPr fontId="2"/>
  </si>
  <si>
    <t>&lt;入力&gt;</t>
    <rPh sb="1" eb="3">
      <t>ニュウリョク</t>
    </rPh>
    <phoneticPr fontId="2"/>
  </si>
  <si>
    <t>&lt;選択&gt;</t>
    <rPh sb="1" eb="3">
      <t>センタク</t>
    </rPh>
    <phoneticPr fontId="2"/>
  </si>
  <si>
    <t>集計月</t>
    <rPh sb="0" eb="2">
      <t>シュウケイ</t>
    </rPh>
    <rPh sb="2" eb="3">
      <t>ツキ</t>
    </rPh>
    <phoneticPr fontId="2"/>
  </si>
  <si>
    <t>&lt;=12</t>
  </si>
  <si>
    <t>&lt;選択&gt;</t>
    <phoneticPr fontId="2"/>
  </si>
  <si>
    <t>農業生産関連事業</t>
    <rPh sb="0" eb="4">
      <t>ノウギョウセイサン</t>
    </rPh>
    <rPh sb="4" eb="6">
      <t>カンレン</t>
    </rPh>
    <rPh sb="6" eb="8">
      <t>ジギョウ</t>
    </rPh>
    <phoneticPr fontId="2"/>
  </si>
  <si>
    <t>作業</t>
    <rPh sb="0" eb="2">
      <t>サギョウ</t>
    </rPh>
    <phoneticPr fontId="25"/>
  </si>
  <si>
    <t>販売及び一般管理（農業）</t>
    <rPh sb="0" eb="2">
      <t>ハンバイ</t>
    </rPh>
    <rPh sb="2" eb="3">
      <t>オヨ</t>
    </rPh>
    <rPh sb="4" eb="6">
      <t>イッパン</t>
    </rPh>
    <rPh sb="6" eb="8">
      <t>カンリ</t>
    </rPh>
    <rPh sb="9" eb="11">
      <t>ノウギョウ</t>
    </rPh>
    <phoneticPr fontId="2"/>
  </si>
  <si>
    <t>　設定</t>
    <rPh sb="1" eb="3">
      <t>セッテイ</t>
    </rPh>
    <phoneticPr fontId="2"/>
  </si>
  <si>
    <r>
      <t xml:space="preserve">作業
</t>
    </r>
    <r>
      <rPr>
        <sz val="6"/>
        <rFont val="ＭＳ Ｐゴシック"/>
        <family val="3"/>
        <charset val="128"/>
        <scheme val="minor"/>
      </rPr>
      <t>&lt;入力&gt;</t>
    </r>
    <rPh sb="0" eb="2">
      <t>サギョウ</t>
    </rPh>
    <rPh sb="4" eb="6">
      <t>ニュウリョク</t>
    </rPh>
    <phoneticPr fontId="5"/>
  </si>
  <si>
    <r>
      <t xml:space="preserve">→集計分類
</t>
    </r>
    <r>
      <rPr>
        <sz val="6"/>
        <rFont val="ＭＳ Ｐゴシック"/>
        <family val="3"/>
        <charset val="128"/>
        <scheme val="minor"/>
      </rPr>
      <t>&lt;選択&gt;</t>
    </r>
    <rPh sb="1" eb="3">
      <t>シュウケイ</t>
    </rPh>
    <rPh sb="3" eb="5">
      <t>ブンルイ</t>
    </rPh>
    <rPh sb="7" eb="9">
      <t>センタク</t>
    </rPh>
    <phoneticPr fontId="5"/>
  </si>
  <si>
    <r>
      <t xml:space="preserve">作業者名
</t>
    </r>
    <r>
      <rPr>
        <sz val="6"/>
        <rFont val="ＭＳ Ｐゴシック"/>
        <family val="3"/>
        <charset val="128"/>
        <scheme val="minor"/>
      </rPr>
      <t>&lt;選択&gt;</t>
    </r>
    <rPh sb="0" eb="3">
      <t>サギョウシャ</t>
    </rPh>
    <rPh sb="3" eb="4">
      <t>メイ</t>
    </rPh>
    <rPh sb="6" eb="8">
      <t>センタク</t>
    </rPh>
    <phoneticPr fontId="5"/>
  </si>
  <si>
    <r>
      <t xml:space="preserve">性別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セイベツ</t>
    </rPh>
    <rPh sb="4" eb="6">
      <t>ジドウ</t>
    </rPh>
    <phoneticPr fontId="2"/>
  </si>
  <si>
    <r>
      <t xml:space="preserve">年齢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ネンレイ</t>
    </rPh>
    <rPh sb="4" eb="6">
      <t>ジドウ</t>
    </rPh>
    <phoneticPr fontId="2"/>
  </si>
  <si>
    <r>
      <t xml:space="preserve">雇用
形態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コヨウ</t>
    </rPh>
    <rPh sb="3" eb="5">
      <t>ケイタイ</t>
    </rPh>
    <rPh sb="7" eb="9">
      <t>ジドウ</t>
    </rPh>
    <phoneticPr fontId="2"/>
  </si>
  <si>
    <r>
      <t xml:space="preserve">経営主・構成員
</t>
    </r>
    <r>
      <rPr>
        <sz val="6"/>
        <color theme="1"/>
        <rFont val="ＭＳ Ｐゴシック"/>
        <family val="3"/>
        <charset val="128"/>
        <scheme val="minor"/>
      </rPr>
      <t>&lt;自動&gt;</t>
    </r>
    <rPh sb="0" eb="2">
      <t>ケイエイ</t>
    </rPh>
    <rPh sb="2" eb="3">
      <t>シュ</t>
    </rPh>
    <rPh sb="4" eb="7">
      <t>コウセイイン</t>
    </rPh>
    <rPh sb="9" eb="11">
      <t>ジドウ</t>
    </rPh>
    <phoneticPr fontId="2"/>
  </si>
  <si>
    <r>
      <t>日別作業</t>
    </r>
    <r>
      <rPr>
        <sz val="6"/>
        <rFont val="ＭＳ Ｐゴシック"/>
        <family val="3"/>
        <charset val="128"/>
        <scheme val="minor"/>
      </rPr>
      <t>&lt;入力&gt;</t>
    </r>
    <rPh sb="0" eb="1">
      <t>ニチ</t>
    </rPh>
    <rPh sb="1" eb="2">
      <t>ベツ</t>
    </rPh>
    <rPh sb="2" eb="4">
      <t>サギョウ</t>
    </rPh>
    <rPh sb="5" eb="7">
      <t>ニュウリョク</t>
    </rPh>
    <phoneticPr fontId="5"/>
  </si>
  <si>
    <r>
      <t xml:space="preserve">月計
</t>
    </r>
    <r>
      <rPr>
        <sz val="6"/>
        <rFont val="ＭＳ Ｐゴシック"/>
        <family val="3"/>
        <charset val="128"/>
        <scheme val="minor"/>
      </rPr>
      <t>&lt;自動&gt;</t>
    </r>
    <rPh sb="0" eb="1">
      <t>ツキ</t>
    </rPh>
    <rPh sb="1" eb="2">
      <t>ケイ</t>
    </rPh>
    <rPh sb="4" eb="6">
      <t>ジドウ</t>
    </rPh>
    <phoneticPr fontId="2"/>
  </si>
  <si>
    <r>
      <t xml:space="preserve">集計 </t>
    </r>
    <r>
      <rPr>
        <sz val="6"/>
        <rFont val="ＭＳ Ｐゴシック"/>
        <family val="3"/>
        <charset val="128"/>
      </rPr>
      <t>&lt;自動&gt;</t>
    </r>
    <rPh sb="0" eb="2">
      <t>シュウケイ</t>
    </rPh>
    <rPh sb="4" eb="6">
      <t>ジドウ</t>
    </rPh>
    <phoneticPr fontId="2"/>
  </si>
  <si>
    <t>１日当たり
標準労働
時間</t>
    <rPh sb="1" eb="2">
      <t>ニチ</t>
    </rPh>
    <rPh sb="2" eb="3">
      <t>ア</t>
    </rPh>
    <rPh sb="6" eb="8">
      <t>ヒョウジュン</t>
    </rPh>
    <rPh sb="8" eb="10">
      <t>ロウドウ</t>
    </rPh>
    <rPh sb="11" eb="13">
      <t>ジカン</t>
    </rPh>
    <phoneticPr fontId="5"/>
  </si>
  <si>
    <t>１　事業従事者の数</t>
    <rPh sb="2" eb="4">
      <t>ジギョウ</t>
    </rPh>
    <rPh sb="4" eb="7">
      <t>ジュウジシャ</t>
    </rPh>
    <rPh sb="8" eb="9">
      <t>カズ</t>
    </rPh>
    <phoneticPr fontId="5"/>
  </si>
  <si>
    <t>営農類型別経営統計（法人経営体）　設定シート</t>
    <rPh sb="0" eb="2">
      <t>エイノウ</t>
    </rPh>
    <rPh sb="2" eb="4">
      <t>ルイケイ</t>
    </rPh>
    <rPh sb="4" eb="5">
      <t>ベツ</t>
    </rPh>
    <rPh sb="5" eb="7">
      <t>ケイエイ</t>
    </rPh>
    <rPh sb="7" eb="9">
      <t>トウケイ</t>
    </rPh>
    <rPh sb="10" eb="12">
      <t>ホウジン</t>
    </rPh>
    <rPh sb="12" eb="15">
      <t>ケイエイタイ</t>
    </rPh>
    <rPh sb="17" eb="19">
      <t>セッテイ</t>
    </rPh>
    <phoneticPr fontId="2"/>
  </si>
  <si>
    <t>営農類型別経営統計（法人経営体）　入力シート（日別）</t>
    <rPh sb="0" eb="2">
      <t>エイノウ</t>
    </rPh>
    <rPh sb="2" eb="4">
      <t>ルイケイ</t>
    </rPh>
    <rPh sb="4" eb="5">
      <t>ベツ</t>
    </rPh>
    <rPh sb="5" eb="7">
      <t>ケイエイ</t>
    </rPh>
    <rPh sb="7" eb="9">
      <t>トウケイ</t>
    </rPh>
    <rPh sb="10" eb="12">
      <t>ホウジン</t>
    </rPh>
    <rPh sb="12" eb="15">
      <t>ケイエイタイ</t>
    </rPh>
    <rPh sb="17" eb="19">
      <t>ニュウリョク</t>
    </rPh>
    <rPh sb="23" eb="24">
      <t>ヒ</t>
    </rPh>
    <rPh sb="24" eb="25">
      <t>ベツ</t>
    </rPh>
    <phoneticPr fontId="2"/>
  </si>
  <si>
    <r>
      <t xml:space="preserve">2020センサス番号 </t>
    </r>
    <r>
      <rPr>
        <sz val="6"/>
        <rFont val="ＭＳ Ｐ明朝"/>
        <family val="1"/>
        <charset val="128"/>
      </rPr>
      <t>&lt;自動&gt;</t>
    </r>
    <rPh sb="8" eb="10">
      <t>バンゴウ</t>
    </rPh>
    <rPh sb="12" eb="14">
      <t>ジドウ</t>
    </rPh>
    <phoneticPr fontId="5"/>
  </si>
  <si>
    <r>
      <t>2020センサス番号　</t>
    </r>
    <r>
      <rPr>
        <sz val="6"/>
        <rFont val="ＭＳ Ｐ明朝"/>
        <family val="1"/>
        <charset val="128"/>
      </rPr>
      <t>&lt;入力&gt;</t>
    </r>
    <rPh sb="8" eb="10">
      <t>バンゴウ</t>
    </rPh>
    <rPh sb="12" eb="14">
      <t>ニュウリョク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</si>
</sst>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000000000000000"/>
  </numFmts>
  <fonts count="34" x14ac:knownFonts="1"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  <scheme val="minor"/>
    </font>
    <font>
      <sz val="11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Ｐ明朝"/>
      <family val="1"/>
      <charset val="128"/>
    </font>
    <font>
      <sz val="11"/>
      <name val="ＭＳ Ｐ明朝"/>
      <family val="1"/>
      <charset val="128"/>
    </font>
    <font>
      <b/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2"/>
      <color theme="1"/>
      <name val="ＭＳ 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indexed="8"/>
      <name val="ＭＳ ゴシック"/>
      <family val="3"/>
      <charset val="128"/>
    </font>
    <font>
      <sz val="8"/>
      <color theme="1"/>
      <name val="ＭＳ ゴシック"/>
      <family val="3"/>
      <charset val="128"/>
    </font>
    <font>
      <sz val="11"/>
      <color indexed="8"/>
      <name val="ＭＳ 明朝"/>
      <family val="1"/>
      <charset val="128"/>
    </font>
    <font>
      <sz val="12"/>
      <name val="ＭＳ ゴシック"/>
      <family val="3"/>
      <charset val="128"/>
    </font>
    <font>
      <sz val="9"/>
      <name val="ＭＳ ゴシック"/>
      <family val="3"/>
      <charset val="128"/>
    </font>
    <font>
      <sz val="9"/>
      <color rgb="FFFF0000"/>
      <name val="ＭＳ ゴシック"/>
      <family val="3"/>
      <charset val="128"/>
    </font>
    <font>
      <sz val="11"/>
      <color rgb="FFFF0000"/>
      <name val="ＭＳ ゴシック"/>
      <family val="3"/>
      <charset val="128"/>
    </font>
    <font>
      <b/>
      <sz val="11"/>
      <name val="ＭＳ ゴシック"/>
      <family val="3"/>
      <charset val="128"/>
    </font>
    <font>
      <sz val="9"/>
      <color indexed="81"/>
      <name val="ＭＳ 明朝"/>
      <family val="1"/>
      <charset val="128"/>
    </font>
    <font>
      <sz val="9"/>
      <name val="ＭＳ Ｐゴシック"/>
      <family val="3"/>
      <charset val="128"/>
      <scheme val="minor"/>
    </font>
    <font>
      <sz val="9"/>
      <color theme="1"/>
      <name val="ＭＳ Ｐゴシック"/>
      <family val="2"/>
      <scheme val="minor"/>
    </font>
    <font>
      <sz val="6"/>
      <name val="ＭＳ Ｐゴシック"/>
      <family val="2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1"/>
      <color theme="0"/>
      <name val="ＭＳ ゴシック"/>
      <family val="3"/>
      <charset val="128"/>
    </font>
    <font>
      <b/>
      <sz val="11"/>
      <color theme="0"/>
      <name val="ＭＳ 明朝"/>
      <family val="1"/>
      <charset val="128"/>
    </font>
    <font>
      <b/>
      <sz val="11"/>
      <color theme="0"/>
      <name val="ＭＳ ゴシック"/>
      <family val="3"/>
      <charset val="128"/>
    </font>
    <font>
      <sz val="11"/>
      <color theme="0"/>
      <name val="ＭＳ 明朝"/>
      <family val="1"/>
      <charset val="128"/>
    </font>
    <font>
      <sz val="11"/>
      <color theme="0"/>
      <name val="ＭＳ Ｐゴシック"/>
      <family val="2"/>
      <scheme val="minor"/>
    </font>
    <font>
      <sz val="12"/>
      <name val="ＭＳ 明朝"/>
      <family val="1"/>
      <charset val="128"/>
    </font>
    <font>
      <b/>
      <sz val="14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87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249977111117893"/>
        <bgColor indexed="64"/>
      </patternFill>
    </fill>
  </fills>
  <borders count="10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thin">
        <color indexed="64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hair">
        <color auto="1"/>
      </right>
      <top style="thin">
        <color indexed="64"/>
      </top>
      <bottom style="thin">
        <color indexed="64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indexed="64"/>
      </right>
      <top/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rgb="FF00B050"/>
      </right>
      <top/>
      <bottom/>
      <diagonal/>
    </border>
    <border>
      <left style="double">
        <color rgb="FF00B050"/>
      </left>
      <right/>
      <top style="double">
        <color rgb="FF00B050"/>
      </top>
      <bottom style="thin">
        <color indexed="64"/>
      </bottom>
      <diagonal/>
    </border>
    <border>
      <left/>
      <right/>
      <top style="double">
        <color rgb="FF00B050"/>
      </top>
      <bottom style="thin">
        <color indexed="64"/>
      </bottom>
      <diagonal/>
    </border>
    <border>
      <left/>
      <right style="thin">
        <color indexed="64"/>
      </right>
      <top style="double">
        <color rgb="FF00B050"/>
      </top>
      <bottom style="thin">
        <color indexed="64"/>
      </bottom>
      <diagonal/>
    </border>
    <border>
      <left style="thin">
        <color indexed="64"/>
      </left>
      <right/>
      <top style="double">
        <color rgb="FF00B050"/>
      </top>
      <bottom style="thin">
        <color indexed="64"/>
      </bottom>
      <diagonal/>
    </border>
    <border>
      <left/>
      <right style="double">
        <color rgb="FF00B050"/>
      </right>
      <top style="double">
        <color rgb="FF00B050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double">
        <color rgb="FF00B050"/>
      </right>
      <top style="thin">
        <color indexed="64"/>
      </top>
      <bottom style="thin">
        <color indexed="64"/>
      </bottom>
      <diagonal/>
    </border>
    <border>
      <left style="double">
        <color rgb="FF00B050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double">
        <color rgb="FF00B050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rgb="FF00B050"/>
      </right>
      <top style="double">
        <color indexed="64"/>
      </top>
      <bottom/>
      <diagonal/>
    </border>
    <border>
      <left style="double">
        <color rgb="FF00B050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auto="1"/>
      </bottom>
      <diagonal/>
    </border>
    <border>
      <left/>
      <right style="thin">
        <color auto="1"/>
      </right>
      <top style="double">
        <color indexed="64"/>
      </top>
      <bottom style="thin">
        <color auto="1"/>
      </bottom>
      <diagonal/>
    </border>
    <border>
      <left style="thin">
        <color auto="1"/>
      </left>
      <right/>
      <top style="double">
        <color indexed="64"/>
      </top>
      <bottom style="thin">
        <color auto="1"/>
      </bottom>
      <diagonal/>
    </border>
    <border>
      <left/>
      <right style="double">
        <color rgb="FF00B050"/>
      </right>
      <top style="double">
        <color indexed="64"/>
      </top>
      <bottom style="thin">
        <color indexed="64"/>
      </bottom>
      <diagonal/>
    </border>
    <border>
      <left/>
      <right style="double">
        <color rgb="FF00B050"/>
      </right>
      <top style="thin">
        <color indexed="64"/>
      </top>
      <bottom style="medium">
        <color indexed="64"/>
      </bottom>
      <diagonal/>
    </border>
    <border>
      <left style="double">
        <color rgb="FF00B050"/>
      </left>
      <right/>
      <top style="thin">
        <color indexed="64"/>
      </top>
      <bottom style="double">
        <color rgb="FF00B050"/>
      </bottom>
      <diagonal/>
    </border>
    <border>
      <left/>
      <right/>
      <top style="thin">
        <color indexed="64"/>
      </top>
      <bottom style="double">
        <color rgb="FF00B050"/>
      </bottom>
      <diagonal/>
    </border>
    <border>
      <left/>
      <right style="thin">
        <color auto="1"/>
      </right>
      <top style="thin">
        <color auto="1"/>
      </top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double">
        <color rgb="FF00B050"/>
      </bottom>
      <diagonal/>
    </border>
    <border>
      <left/>
      <right style="double">
        <color rgb="FF00B050"/>
      </right>
      <top style="thin">
        <color indexed="64"/>
      </top>
      <bottom style="double">
        <color rgb="FF00B050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rgb="FF00B050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double">
        <color rgb="FF00B050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rgb="FF00B050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double">
        <color rgb="FF00B050"/>
      </bottom>
      <diagonal/>
    </border>
    <border>
      <left/>
      <right style="thin">
        <color indexed="64"/>
      </right>
      <top/>
      <bottom style="double">
        <color rgb="FF00B050"/>
      </bottom>
      <diagonal/>
    </border>
    <border>
      <left style="thin">
        <color indexed="64"/>
      </left>
      <right/>
      <top/>
      <bottom style="double">
        <color rgb="FF00B05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double">
        <color rgb="FF00B050"/>
      </right>
      <top style="thin">
        <color indexed="64"/>
      </top>
      <bottom style="double">
        <color indexed="64"/>
      </bottom>
      <diagonal/>
    </border>
    <border>
      <left style="double">
        <color rgb="FF00B050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</cellStyleXfs>
  <cellXfs count="350">
    <xf numFmtId="0" fontId="0" fillId="0" borderId="0" xfId="0"/>
    <xf numFmtId="0" fontId="3" fillId="0" borderId="0" xfId="2">
      <alignment vertical="center"/>
    </xf>
    <xf numFmtId="0" fontId="3" fillId="0" borderId="0" xfId="2" applyAlignment="1">
      <alignment horizontal="left" vertical="center"/>
    </xf>
    <xf numFmtId="0" fontId="7" fillId="0" borderId="0" xfId="2" applyFont="1">
      <alignment vertical="center"/>
    </xf>
    <xf numFmtId="0" fontId="8" fillId="0" borderId="0" xfId="2" applyFont="1">
      <alignment vertical="center"/>
    </xf>
    <xf numFmtId="0" fontId="10" fillId="3" borderId="24" xfId="2" applyFont="1" applyFill="1" applyBorder="1" applyAlignment="1">
      <alignment horizontal="right" vertical="top"/>
    </xf>
    <xf numFmtId="0" fontId="6" fillId="3" borderId="44" xfId="2" applyFont="1" applyFill="1" applyBorder="1">
      <alignment vertical="center"/>
    </xf>
    <xf numFmtId="0" fontId="6" fillId="3" borderId="3" xfId="2" applyFont="1" applyFill="1" applyBorder="1">
      <alignment vertical="center"/>
    </xf>
    <xf numFmtId="0" fontId="6" fillId="3" borderId="36" xfId="2" applyFont="1" applyFill="1" applyBorder="1">
      <alignment vertical="center"/>
    </xf>
    <xf numFmtId="0" fontId="10" fillId="3" borderId="31" xfId="2" applyFont="1" applyFill="1" applyBorder="1" applyAlignment="1">
      <alignment horizontal="right" vertical="top"/>
    </xf>
    <xf numFmtId="0" fontId="10" fillId="3" borderId="25" xfId="2" applyFont="1" applyFill="1" applyBorder="1" applyAlignment="1">
      <alignment horizontal="right" vertical="top"/>
    </xf>
    <xf numFmtId="0" fontId="10" fillId="3" borderId="32" xfId="2" applyFont="1" applyFill="1" applyBorder="1" applyAlignment="1">
      <alignment horizontal="right" vertical="top"/>
    </xf>
    <xf numFmtId="0" fontId="6" fillId="3" borderId="6" xfId="2" applyFont="1" applyFill="1" applyBorder="1">
      <alignment vertical="center"/>
    </xf>
    <xf numFmtId="0" fontId="6" fillId="3" borderId="20" xfId="2" applyFont="1" applyFill="1" applyBorder="1">
      <alignment vertical="center"/>
    </xf>
    <xf numFmtId="0" fontId="6" fillId="3" borderId="1" xfId="2" applyFont="1" applyFill="1" applyBorder="1">
      <alignment vertical="center"/>
    </xf>
    <xf numFmtId="0" fontId="6" fillId="3" borderId="1" xfId="2" applyFont="1" applyFill="1" applyBorder="1" applyAlignment="1">
      <alignment vertical="center" shrinkToFit="1"/>
    </xf>
    <xf numFmtId="0" fontId="6" fillId="3" borderId="12" xfId="2" applyFont="1" applyFill="1" applyBorder="1">
      <alignment vertical="center"/>
    </xf>
    <xf numFmtId="0" fontId="6" fillId="3" borderId="38" xfId="2" applyFont="1" applyFill="1" applyBorder="1">
      <alignment vertical="center"/>
    </xf>
    <xf numFmtId="0" fontId="6" fillId="3" borderId="38" xfId="2" applyFont="1" applyFill="1" applyBorder="1" applyAlignment="1">
      <alignment vertical="center" shrinkToFit="1"/>
    </xf>
    <xf numFmtId="0" fontId="6" fillId="3" borderId="51" xfId="2" applyFont="1" applyFill="1" applyBorder="1">
      <alignment vertical="center"/>
    </xf>
    <xf numFmtId="0" fontId="8" fillId="0" borderId="0" xfId="2" applyFont="1" applyAlignment="1">
      <alignment horizontal="left" vertical="center"/>
    </xf>
    <xf numFmtId="0" fontId="6" fillId="3" borderId="47" xfId="2" applyFont="1" applyFill="1" applyBorder="1" applyAlignment="1">
      <alignment vertical="center" justifyLastLine="1"/>
    </xf>
    <xf numFmtId="0" fontId="6" fillId="3" borderId="48" xfId="2" applyFont="1" applyFill="1" applyBorder="1" applyAlignment="1">
      <alignment vertical="center" justifyLastLine="1"/>
    </xf>
    <xf numFmtId="0" fontId="6" fillId="3" borderId="14" xfId="2" applyFont="1" applyFill="1" applyBorder="1" applyAlignment="1">
      <alignment vertical="center" justifyLastLine="1"/>
    </xf>
    <xf numFmtId="0" fontId="6" fillId="3" borderId="15" xfId="2" applyFont="1" applyFill="1" applyBorder="1" applyAlignment="1">
      <alignment vertical="center" justifyLastLine="1"/>
    </xf>
    <xf numFmtId="0" fontId="6" fillId="3" borderId="13" xfId="2" applyFont="1" applyFill="1" applyBorder="1" applyAlignment="1">
      <alignment vertical="center" justifyLastLine="1"/>
    </xf>
    <xf numFmtId="0" fontId="6" fillId="3" borderId="13" xfId="2" quotePrefix="1" applyFont="1" applyFill="1" applyBorder="1" applyAlignment="1">
      <alignment vertical="center" justifyLastLine="1"/>
    </xf>
    <xf numFmtId="0" fontId="6" fillId="3" borderId="56" xfId="2" applyFont="1" applyFill="1" applyBorder="1" applyAlignment="1">
      <alignment vertical="center" justifyLastLine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1" fillId="0" borderId="0" xfId="0" applyFont="1" applyAlignment="1">
      <alignment horizontal="right" vertical="center"/>
    </xf>
    <xf numFmtId="0" fontId="13" fillId="0" borderId="42" xfId="0" applyFont="1" applyBorder="1" applyAlignment="1">
      <alignment horizontal="distributed" vertical="center"/>
    </xf>
    <xf numFmtId="0" fontId="11" fillId="0" borderId="11" xfId="0" applyFont="1" applyBorder="1" applyAlignment="1">
      <alignment horizontal="distributed" vertical="center"/>
    </xf>
    <xf numFmtId="0" fontId="11" fillId="0" borderId="10" xfId="0" applyFont="1" applyBorder="1" applyAlignment="1">
      <alignment horizontal="distributed" vertical="center"/>
    </xf>
    <xf numFmtId="0" fontId="11" fillId="0" borderId="42" xfId="0" applyFont="1" applyBorder="1" applyAlignment="1">
      <alignment horizontal="distributed" vertical="center"/>
    </xf>
    <xf numFmtId="0" fontId="11" fillId="0" borderId="56" xfId="0" applyFont="1" applyBorder="1" applyAlignment="1">
      <alignment horizontal="distributed" vertical="center"/>
    </xf>
    <xf numFmtId="0" fontId="4" fillId="0" borderId="0" xfId="0" applyFont="1"/>
    <xf numFmtId="0" fontId="4" fillId="0" borderId="0" xfId="0" applyFont="1" applyAlignment="1">
      <alignment vertical="top" wrapText="1"/>
    </xf>
    <xf numFmtId="0" fontId="14" fillId="0" borderId="0" xfId="0" applyFont="1" applyAlignment="1" applyProtection="1">
      <alignment vertical="center"/>
      <protection locked="0"/>
    </xf>
    <xf numFmtId="0" fontId="16" fillId="0" borderId="0" xfId="0" applyFont="1" applyAlignment="1" applyProtection="1">
      <alignment vertical="center"/>
      <protection locked="0"/>
    </xf>
    <xf numFmtId="0" fontId="17" fillId="0" borderId="0" xfId="0" applyFont="1" applyAlignment="1">
      <alignment vertical="center"/>
    </xf>
    <xf numFmtId="0" fontId="11" fillId="0" borderId="38" xfId="0" applyFont="1" applyBorder="1" applyAlignment="1">
      <alignment horizontal="distributed" vertical="center"/>
    </xf>
    <xf numFmtId="0" fontId="19" fillId="0" borderId="0" xfId="0" applyFont="1" applyAlignment="1">
      <alignment horizontal="center" vertical="center" textRotation="255" wrapText="1"/>
    </xf>
    <xf numFmtId="0" fontId="20" fillId="0" borderId="0" xfId="0" applyFont="1" applyAlignment="1">
      <alignment horizontal="distributed" vertical="center"/>
    </xf>
    <xf numFmtId="0" fontId="21" fillId="0" borderId="0" xfId="0" applyFont="1" applyAlignment="1">
      <alignment vertical="center"/>
    </xf>
    <xf numFmtId="0" fontId="11" fillId="0" borderId="28" xfId="0" applyFont="1" applyBorder="1" applyAlignment="1">
      <alignment vertical="center"/>
    </xf>
    <xf numFmtId="0" fontId="11" fillId="0" borderId="35" xfId="0" applyFont="1" applyBorder="1" applyAlignment="1">
      <alignment vertical="center"/>
    </xf>
    <xf numFmtId="0" fontId="11" fillId="0" borderId="41" xfId="0" applyFont="1" applyBorder="1" applyAlignment="1">
      <alignment vertical="center"/>
    </xf>
    <xf numFmtId="0" fontId="11" fillId="0" borderId="5" xfId="0" applyFont="1" applyBorder="1" applyAlignment="1">
      <alignment vertical="center"/>
    </xf>
    <xf numFmtId="0" fontId="20" fillId="0" borderId="0" xfId="0" applyFont="1" applyAlignment="1">
      <alignment vertical="center"/>
    </xf>
    <xf numFmtId="0" fontId="17" fillId="0" borderId="0" xfId="0" applyFont="1"/>
    <xf numFmtId="0" fontId="11" fillId="0" borderId="55" xfId="0" applyFont="1" applyBorder="1" applyAlignment="1">
      <alignment vertical="center"/>
    </xf>
    <xf numFmtId="0" fontId="11" fillId="0" borderId="92" xfId="0" applyFont="1" applyBorder="1" applyAlignment="1">
      <alignment vertical="center"/>
    </xf>
    <xf numFmtId="0" fontId="0" fillId="0" borderId="0" xfId="0" applyAlignment="1">
      <alignment vertical="center"/>
    </xf>
    <xf numFmtId="0" fontId="3" fillId="0" borderId="33" xfId="2" applyBorder="1">
      <alignment vertical="center"/>
    </xf>
    <xf numFmtId="0" fontId="6" fillId="3" borderId="15" xfId="2" applyFont="1" applyFill="1" applyBorder="1">
      <alignment vertical="center"/>
    </xf>
    <xf numFmtId="0" fontId="6" fillId="3" borderId="13" xfId="2" applyFont="1" applyFill="1" applyBorder="1">
      <alignment vertical="center"/>
    </xf>
    <xf numFmtId="0" fontId="6" fillId="3" borderId="56" xfId="2" applyFont="1" applyFill="1" applyBorder="1">
      <alignment vertical="center"/>
    </xf>
    <xf numFmtId="0" fontId="6" fillId="6" borderId="31" xfId="2" applyFont="1" applyFill="1" applyBorder="1" applyAlignment="1">
      <alignment horizontal="distributed" vertical="center" indent="1"/>
    </xf>
    <xf numFmtId="0" fontId="6" fillId="6" borderId="24" xfId="2" applyFont="1" applyFill="1" applyBorder="1" applyAlignment="1">
      <alignment horizontal="center" vertical="center" justifyLastLine="1"/>
    </xf>
    <xf numFmtId="0" fontId="6" fillId="6" borderId="25" xfId="2" applyFont="1" applyFill="1" applyBorder="1" applyAlignment="1">
      <alignment horizontal="center" vertical="center" justifyLastLine="1"/>
    </xf>
    <xf numFmtId="0" fontId="6" fillId="6" borderId="32" xfId="2" applyFont="1" applyFill="1" applyBorder="1" applyAlignment="1">
      <alignment horizontal="center" vertical="center" justifyLastLine="1"/>
    </xf>
    <xf numFmtId="0" fontId="6" fillId="7" borderId="31" xfId="2" applyFont="1" applyFill="1" applyBorder="1" applyAlignment="1">
      <alignment horizontal="center" vertical="center" justifyLastLine="1"/>
    </xf>
    <xf numFmtId="0" fontId="6" fillId="7" borderId="28" xfId="2" applyFont="1" applyFill="1" applyBorder="1" applyAlignment="1">
      <alignment horizontal="center" vertical="center" justifyLastLine="1"/>
    </xf>
    <xf numFmtId="0" fontId="6" fillId="7" borderId="26" xfId="2" applyFont="1" applyFill="1" applyBorder="1" applyAlignment="1">
      <alignment horizontal="center" vertical="center" wrapText="1" justifyLastLine="1"/>
    </xf>
    <xf numFmtId="0" fontId="6" fillId="7" borderId="32" xfId="2" applyFont="1" applyFill="1" applyBorder="1" applyAlignment="1">
      <alignment horizontal="center" vertical="center" justifyLastLine="1"/>
    </xf>
    <xf numFmtId="0" fontId="6" fillId="7" borderId="56" xfId="2" applyFont="1" applyFill="1" applyBorder="1" applyAlignment="1">
      <alignment horizontal="center" vertical="center" justifyLastLine="1"/>
    </xf>
    <xf numFmtId="0" fontId="6" fillId="7" borderId="39" xfId="2" applyFont="1" applyFill="1" applyBorder="1" applyAlignment="1">
      <alignment horizontal="center" vertical="center" justifyLastLine="1"/>
    </xf>
    <xf numFmtId="0" fontId="6" fillId="7" borderId="17" xfId="2" applyFont="1" applyFill="1" applyBorder="1" applyAlignment="1">
      <alignment horizontal="center" vertical="center" wrapText="1" justifyLastLine="1"/>
    </xf>
    <xf numFmtId="0" fontId="6" fillId="7" borderId="53" xfId="2" applyFont="1" applyFill="1" applyBorder="1" applyAlignment="1">
      <alignment horizontal="center" vertical="center" wrapText="1" justifyLastLine="1"/>
    </xf>
    <xf numFmtId="0" fontId="6" fillId="7" borderId="51" xfId="2" applyFont="1" applyFill="1" applyBorder="1" applyAlignment="1">
      <alignment horizontal="center" vertical="center" wrapText="1" justifyLastLine="1"/>
    </xf>
    <xf numFmtId="0" fontId="6" fillId="6" borderId="46" xfId="2" applyFont="1" applyFill="1" applyBorder="1" applyAlignment="1">
      <alignment horizontal="distributed" vertical="center" indent="1"/>
    </xf>
    <xf numFmtId="0" fontId="6" fillId="7" borderId="50" xfId="2" applyFont="1" applyFill="1" applyBorder="1" applyAlignment="1">
      <alignment vertical="center" justifyLastLine="1"/>
    </xf>
    <xf numFmtId="0" fontId="6" fillId="7" borderId="50" xfId="2" quotePrefix="1" applyFont="1" applyFill="1" applyBorder="1" applyAlignment="1">
      <alignment vertical="center" justifyLastLine="1"/>
    </xf>
    <xf numFmtId="0" fontId="23" fillId="0" borderId="45" xfId="2" applyFont="1" applyBorder="1" applyAlignment="1">
      <alignment horizontal="center" vertical="center"/>
    </xf>
    <xf numFmtId="0" fontId="23" fillId="0" borderId="102" xfId="2" applyFont="1" applyBorder="1" applyAlignment="1">
      <alignment horizontal="center" vertical="center"/>
    </xf>
    <xf numFmtId="0" fontId="23" fillId="0" borderId="103" xfId="2" applyFont="1" applyBorder="1" applyAlignment="1">
      <alignment horizontal="center" vertical="center"/>
    </xf>
    <xf numFmtId="0" fontId="6" fillId="0" borderId="13" xfId="2" applyFont="1" applyBorder="1" applyAlignment="1">
      <alignment horizontal="distributed" vertical="center" shrinkToFit="1"/>
    </xf>
    <xf numFmtId="0" fontId="6" fillId="0" borderId="8" xfId="2" applyFont="1" applyBorder="1" applyAlignment="1">
      <alignment horizontal="center" vertical="center" shrinkToFit="1"/>
    </xf>
    <xf numFmtId="0" fontId="6" fillId="0" borderId="8" xfId="2" applyFont="1" applyBorder="1" applyAlignment="1">
      <alignment vertical="center" wrapText="1"/>
    </xf>
    <xf numFmtId="0" fontId="6" fillId="0" borderId="1" xfId="2" applyFont="1" applyBorder="1" applyAlignment="1">
      <alignment horizontal="center" vertical="center" shrinkToFit="1"/>
    </xf>
    <xf numFmtId="0" fontId="6" fillId="0" borderId="8" xfId="2" applyFont="1" applyBorder="1" applyAlignment="1">
      <alignment horizontal="center" vertical="center"/>
    </xf>
    <xf numFmtId="0" fontId="6" fillId="0" borderId="54" xfId="2" applyFont="1" applyBorder="1" applyAlignment="1">
      <alignment vertical="center" shrinkToFit="1"/>
    </xf>
    <xf numFmtId="0" fontId="6" fillId="0" borderId="104" xfId="2" applyFont="1" applyBorder="1" applyAlignment="1">
      <alignment vertical="center" shrinkToFit="1"/>
    </xf>
    <xf numFmtId="0" fontId="6" fillId="0" borderId="105" xfId="2" applyFont="1" applyBorder="1" applyAlignment="1">
      <alignment vertical="center" shrinkToFit="1"/>
    </xf>
    <xf numFmtId="0" fontId="6" fillId="0" borderId="12" xfId="2" applyFont="1" applyBorder="1" applyAlignment="1">
      <alignment vertical="center" shrinkToFit="1"/>
    </xf>
    <xf numFmtId="0" fontId="6" fillId="0" borderId="16" xfId="2" applyFont="1" applyBorder="1" applyAlignment="1">
      <alignment horizontal="distributed" vertical="center" shrinkToFit="1"/>
    </xf>
    <xf numFmtId="0" fontId="6" fillId="0" borderId="17" xfId="2" applyFont="1" applyBorder="1" applyAlignment="1">
      <alignment horizontal="center" vertical="center" shrinkToFit="1"/>
    </xf>
    <xf numFmtId="0" fontId="6" fillId="0" borderId="17" xfId="2" applyFont="1" applyBorder="1" applyAlignment="1">
      <alignment vertical="center" wrapText="1"/>
    </xf>
    <xf numFmtId="0" fontId="6" fillId="0" borderId="17" xfId="2" applyFont="1" applyBorder="1" applyAlignment="1">
      <alignment horizontal="center" vertical="center"/>
    </xf>
    <xf numFmtId="0" fontId="6" fillId="0" borderId="106" xfId="2" applyFont="1" applyBorder="1" applyAlignment="1">
      <alignment vertical="center" shrinkToFit="1"/>
    </xf>
    <xf numFmtId="0" fontId="6" fillId="0" borderId="107" xfId="2" applyFont="1" applyBorder="1" applyAlignment="1">
      <alignment vertical="center" shrinkToFit="1"/>
    </xf>
    <xf numFmtId="0" fontId="6" fillId="0" borderId="108" xfId="2" applyFont="1" applyBorder="1" applyAlignment="1">
      <alignment vertical="center" shrinkToFit="1"/>
    </xf>
    <xf numFmtId="0" fontId="6" fillId="0" borderId="18" xfId="2" applyFont="1" applyBorder="1" applyAlignment="1">
      <alignment vertical="center" shrinkToFit="1"/>
    </xf>
    <xf numFmtId="0" fontId="13" fillId="0" borderId="8" xfId="3" applyFont="1" applyBorder="1" applyAlignment="1">
      <alignment horizontal="center" vertical="center" wrapText="1"/>
    </xf>
    <xf numFmtId="0" fontId="13" fillId="0" borderId="9" xfId="3" applyFont="1" applyBorder="1">
      <alignment vertical="center"/>
    </xf>
    <xf numFmtId="0" fontId="13" fillId="0" borderId="10" xfId="3" applyFont="1" applyBorder="1">
      <alignment vertical="center"/>
    </xf>
    <xf numFmtId="0" fontId="13" fillId="0" borderId="11" xfId="3" applyFont="1" applyBorder="1">
      <alignment vertical="center"/>
    </xf>
    <xf numFmtId="0" fontId="13" fillId="0" borderId="0" xfId="3" applyFont="1">
      <alignment vertical="center"/>
    </xf>
    <xf numFmtId="0" fontId="10" fillId="6" borderId="49" xfId="2" applyFont="1" applyFill="1" applyBorder="1" applyAlignment="1">
      <alignment horizontal="center" vertical="center" justifyLastLine="1"/>
    </xf>
    <xf numFmtId="0" fontId="10" fillId="6" borderId="56" xfId="2" applyFont="1" applyFill="1" applyBorder="1" applyAlignment="1">
      <alignment horizontal="center" vertical="center" justifyLastLine="1"/>
    </xf>
    <xf numFmtId="0" fontId="10" fillId="6" borderId="39" xfId="2" applyFont="1" applyFill="1" applyBorder="1" applyAlignment="1">
      <alignment horizontal="center" vertical="center" justifyLastLine="1"/>
    </xf>
    <xf numFmtId="0" fontId="10" fillId="6" borderId="53" xfId="2" applyFont="1" applyFill="1" applyBorder="1" applyAlignment="1">
      <alignment horizontal="center" vertical="center" justifyLastLine="1"/>
    </xf>
    <xf numFmtId="0" fontId="10" fillId="6" borderId="51" xfId="2" applyFont="1" applyFill="1" applyBorder="1" applyAlignment="1">
      <alignment horizontal="center" vertical="center" justifyLastLine="1"/>
    </xf>
    <xf numFmtId="0" fontId="27" fillId="0" borderId="0" xfId="0" applyFont="1" applyAlignment="1">
      <alignment vertical="center"/>
    </xf>
    <xf numFmtId="0" fontId="28" fillId="0" borderId="0" xfId="0" applyFont="1" applyAlignment="1">
      <alignment vertical="center"/>
    </xf>
    <xf numFmtId="0" fontId="29" fillId="0" borderId="0" xfId="0" applyFont="1" applyAlignment="1">
      <alignment vertical="center"/>
    </xf>
    <xf numFmtId="0" fontId="30" fillId="0" borderId="0" xfId="0" applyFont="1" applyAlignment="1">
      <alignment vertical="center"/>
    </xf>
    <xf numFmtId="0" fontId="30" fillId="0" borderId="0" xfId="0" applyFont="1" applyAlignment="1">
      <alignment horizontal="left" vertical="top" wrapText="1"/>
    </xf>
    <xf numFmtId="0" fontId="32" fillId="0" borderId="0" xfId="0" applyFont="1" applyAlignment="1">
      <alignment horizontal="left" vertical="center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/>
    </xf>
    <xf numFmtId="0" fontId="31" fillId="0" borderId="0" xfId="0" applyFont="1"/>
    <xf numFmtId="0" fontId="30" fillId="0" borderId="0" xfId="0" applyFont="1" applyAlignment="1">
      <alignment vertical="top" wrapText="1"/>
    </xf>
    <xf numFmtId="0" fontId="6" fillId="0" borderId="1" xfId="2" applyFont="1" applyBorder="1" applyAlignment="1">
      <alignment vertical="center" shrinkToFit="1"/>
    </xf>
    <xf numFmtId="0" fontId="6" fillId="0" borderId="17" xfId="2" applyFont="1" applyBorder="1" applyAlignment="1">
      <alignment vertical="center" shrinkToFit="1"/>
    </xf>
    <xf numFmtId="0" fontId="8" fillId="0" borderId="0" xfId="2" applyFont="1" applyAlignment="1">
      <alignment horizontal="center" vertical="center"/>
    </xf>
    <xf numFmtId="0" fontId="6" fillId="6" borderId="27" xfId="0" applyFont="1" applyFill="1" applyBorder="1" applyAlignment="1">
      <alignment horizontal="center" vertical="center" shrinkToFit="1"/>
    </xf>
    <xf numFmtId="0" fontId="6" fillId="6" borderId="28" xfId="0" applyFont="1" applyFill="1" applyBorder="1" applyAlignment="1">
      <alignment horizontal="center" vertical="center" shrinkToFit="1"/>
    </xf>
    <xf numFmtId="0" fontId="6" fillId="6" borderId="35" xfId="0" applyFont="1" applyFill="1" applyBorder="1" applyAlignment="1">
      <alignment horizontal="center" vertical="center" shrinkToFit="1"/>
    </xf>
    <xf numFmtId="49" fontId="9" fillId="0" borderId="22" xfId="0" applyNumberFormat="1" applyFont="1" applyBorder="1" applyAlignment="1">
      <alignment horizontal="center" vertical="center"/>
    </xf>
    <xf numFmtId="49" fontId="9" fillId="0" borderId="52" xfId="0" applyNumberFormat="1" applyFont="1" applyBorder="1" applyAlignment="1">
      <alignment horizontal="center" vertical="center"/>
    </xf>
    <xf numFmtId="49" fontId="9" fillId="0" borderId="23" xfId="0" applyNumberFormat="1" applyFont="1" applyBorder="1" applyAlignment="1">
      <alignment horizontal="center" vertical="center"/>
    </xf>
    <xf numFmtId="0" fontId="3" fillId="3" borderId="29" xfId="2" applyFill="1" applyBorder="1" applyAlignment="1">
      <alignment horizontal="center" vertical="center"/>
    </xf>
    <xf numFmtId="0" fontId="3" fillId="3" borderId="101" xfId="2" applyFill="1" applyBorder="1" applyAlignment="1">
      <alignment horizontal="center" vertical="center"/>
    </xf>
    <xf numFmtId="0" fontId="3" fillId="3" borderId="30" xfId="2" applyFill="1" applyBorder="1" applyAlignment="1">
      <alignment horizontal="center" vertical="center"/>
    </xf>
    <xf numFmtId="0" fontId="3" fillId="0" borderId="29" xfId="2" applyBorder="1" applyAlignment="1">
      <alignment horizontal="center" vertical="center"/>
    </xf>
    <xf numFmtId="0" fontId="3" fillId="0" borderId="101" xfId="2" applyBorder="1" applyAlignment="1">
      <alignment horizontal="center" vertical="center"/>
    </xf>
    <xf numFmtId="0" fontId="3" fillId="0" borderId="30" xfId="2" applyBorder="1" applyAlignment="1">
      <alignment horizontal="center" vertical="center"/>
    </xf>
    <xf numFmtId="0" fontId="24" fillId="0" borderId="25" xfId="0" applyFont="1" applyBorder="1" applyAlignment="1">
      <alignment horizontal="center" vertical="center" wrapText="1"/>
    </xf>
    <xf numFmtId="0" fontId="24" fillId="0" borderId="53" xfId="0" applyFont="1" applyBorder="1" applyAlignment="1">
      <alignment horizontal="center" vertical="center"/>
    </xf>
    <xf numFmtId="0" fontId="23" fillId="0" borderId="32" xfId="2" applyFont="1" applyBorder="1" applyAlignment="1">
      <alignment horizontal="center" vertical="center" wrapText="1" justifyLastLine="1"/>
    </xf>
    <xf numFmtId="0" fontId="23" fillId="0" borderId="51" xfId="2" applyFont="1" applyBorder="1" applyAlignment="1">
      <alignment horizontal="center" vertical="center" justifyLastLine="1"/>
    </xf>
    <xf numFmtId="0" fontId="6" fillId="2" borderId="1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176" fontId="4" fillId="0" borderId="1" xfId="0" applyNumberFormat="1" applyFont="1" applyBorder="1" applyAlignment="1">
      <alignment horizontal="center" vertical="center"/>
    </xf>
    <xf numFmtId="176" fontId="4" fillId="0" borderId="3" xfId="0" applyNumberFormat="1" applyFont="1" applyBorder="1" applyAlignment="1">
      <alignment horizontal="center" vertical="center"/>
    </xf>
    <xf numFmtId="176" fontId="4" fillId="0" borderId="2" xfId="0" applyNumberFormat="1" applyFont="1" applyBorder="1" applyAlignment="1">
      <alignment horizontal="center" vertical="center"/>
    </xf>
    <xf numFmtId="0" fontId="23" fillId="0" borderId="31" xfId="2" applyFont="1" applyBorder="1" applyAlignment="1">
      <alignment horizontal="distributed" vertical="center" wrapText="1" justifyLastLine="1"/>
    </xf>
    <xf numFmtId="0" fontId="23" fillId="0" borderId="56" xfId="2" applyFont="1" applyBorder="1" applyAlignment="1">
      <alignment horizontal="distributed" vertical="center" justifyLastLine="1"/>
    </xf>
    <xf numFmtId="0" fontId="23" fillId="0" borderId="25" xfId="2" applyFont="1" applyBorder="1" applyAlignment="1">
      <alignment horizontal="center" vertical="center" wrapText="1" justifyLastLine="1"/>
    </xf>
    <xf numFmtId="0" fontId="23" fillId="0" borderId="53" xfId="2" applyFont="1" applyBorder="1" applyAlignment="1">
      <alignment horizontal="center" vertical="center" justifyLastLine="1"/>
    </xf>
    <xf numFmtId="0" fontId="23" fillId="0" borderId="26" xfId="2" applyFont="1" applyBorder="1" applyAlignment="1">
      <alignment horizontal="center" vertical="center" wrapText="1" justifyLastLine="1"/>
    </xf>
    <xf numFmtId="0" fontId="23" fillId="0" borderId="38" xfId="2" applyFont="1" applyBorder="1" applyAlignment="1">
      <alignment horizontal="center" vertical="center" justifyLastLine="1"/>
    </xf>
    <xf numFmtId="0" fontId="23" fillId="0" borderId="86" xfId="2" applyFont="1" applyBorder="1" applyAlignment="1">
      <alignment horizontal="center" vertical="center" justifyLastLine="1"/>
    </xf>
    <xf numFmtId="0" fontId="23" fillId="0" borderId="55" xfId="2" applyFont="1" applyBorder="1" applyAlignment="1">
      <alignment horizontal="center" vertical="center" justifyLastLine="1"/>
    </xf>
    <xf numFmtId="0" fontId="23" fillId="0" borderId="92" xfId="2" applyFont="1" applyBorder="1" applyAlignment="1">
      <alignment horizontal="center" vertical="center" justifyLastLine="1"/>
    </xf>
    <xf numFmtId="0" fontId="2" fillId="0" borderId="26" xfId="2" applyFont="1" applyBorder="1" applyAlignment="1">
      <alignment horizontal="distributed" vertical="center" wrapText="1"/>
    </xf>
    <xf numFmtId="0" fontId="2" fillId="0" borderId="38" xfId="2" applyFont="1" applyBorder="1" applyAlignment="1">
      <alignment horizontal="distributed" vertical="center" wrapText="1"/>
    </xf>
    <xf numFmtId="0" fontId="11" fillId="5" borderId="69" xfId="0" applyFont="1" applyFill="1" applyBorder="1" applyAlignment="1">
      <alignment horizontal="right" vertical="center"/>
    </xf>
    <xf numFmtId="0" fontId="11" fillId="5" borderId="3" xfId="0" applyFont="1" applyFill="1" applyBorder="1" applyAlignment="1">
      <alignment horizontal="right" vertical="center"/>
    </xf>
    <xf numFmtId="0" fontId="11" fillId="5" borderId="2" xfId="0" applyFont="1" applyFill="1" applyBorder="1" applyAlignment="1">
      <alignment horizontal="right" vertical="center"/>
    </xf>
    <xf numFmtId="0" fontId="11" fillId="5" borderId="1" xfId="0" applyFont="1" applyFill="1" applyBorder="1" applyAlignment="1">
      <alignment horizontal="right" vertical="center"/>
    </xf>
    <xf numFmtId="0" fontId="11" fillId="5" borderId="68" xfId="0" applyFont="1" applyFill="1" applyBorder="1" applyAlignment="1">
      <alignment horizontal="right" vertical="center"/>
    </xf>
    <xf numFmtId="0" fontId="11" fillId="5" borderId="84" xfId="0" applyFont="1" applyFill="1" applyBorder="1" applyAlignment="1">
      <alignment horizontal="right" vertical="center"/>
    </xf>
    <xf numFmtId="0" fontId="11" fillId="5" borderId="82" xfId="0" applyFont="1" applyFill="1" applyBorder="1" applyAlignment="1">
      <alignment horizontal="right" vertical="center"/>
    </xf>
    <xf numFmtId="0" fontId="11" fillId="5" borderId="85" xfId="0" applyFont="1" applyFill="1" applyBorder="1" applyAlignment="1">
      <alignment horizontal="right" vertical="center"/>
    </xf>
    <xf numFmtId="0" fontId="11" fillId="5" borderId="83" xfId="0" applyFont="1" applyFill="1" applyBorder="1" applyAlignment="1">
      <alignment horizontal="right" vertical="center"/>
    </xf>
    <xf numFmtId="0" fontId="11" fillId="5" borderId="81" xfId="0" applyFont="1" applyFill="1" applyBorder="1" applyAlignment="1">
      <alignment horizontal="right" vertical="center"/>
    </xf>
    <xf numFmtId="0" fontId="11" fillId="5" borderId="65" xfId="0" applyFont="1" applyFill="1" applyBorder="1" applyAlignment="1">
      <alignment horizontal="right" vertical="center"/>
    </xf>
    <xf numFmtId="0" fontId="11" fillId="5" borderId="63" xfId="0" applyFont="1" applyFill="1" applyBorder="1" applyAlignment="1">
      <alignment horizontal="right" vertical="center"/>
    </xf>
    <xf numFmtId="0" fontId="11" fillId="5" borderId="66" xfId="0" applyFont="1" applyFill="1" applyBorder="1" applyAlignment="1">
      <alignment horizontal="right" vertical="center"/>
    </xf>
    <xf numFmtId="0" fontId="11" fillId="5" borderId="64" xfId="0" applyFont="1" applyFill="1" applyBorder="1" applyAlignment="1">
      <alignment horizontal="right" vertical="center"/>
    </xf>
    <xf numFmtId="0" fontId="11" fillId="5" borderId="62" xfId="0" applyFont="1" applyFill="1" applyBorder="1" applyAlignment="1">
      <alignment horizontal="right" vertical="center"/>
    </xf>
    <xf numFmtId="0" fontId="14" fillId="4" borderId="1" xfId="0" applyFont="1" applyFill="1" applyBorder="1" applyAlignment="1" applyProtection="1">
      <alignment horizontal="right" vertical="center"/>
      <protection locked="0"/>
    </xf>
    <xf numFmtId="0" fontId="14" fillId="4" borderId="3" xfId="0" applyFont="1" applyFill="1" applyBorder="1" applyAlignment="1" applyProtection="1">
      <alignment horizontal="right" vertical="center"/>
      <protection locked="0"/>
    </xf>
    <xf numFmtId="0" fontId="14" fillId="4" borderId="68" xfId="0" applyFont="1" applyFill="1" applyBorder="1" applyAlignment="1" applyProtection="1">
      <alignment horizontal="right" vertical="center"/>
      <protection locked="0"/>
    </xf>
    <xf numFmtId="0" fontId="11" fillId="4" borderId="1" xfId="0" applyFont="1" applyFill="1" applyBorder="1" applyAlignment="1">
      <alignment horizontal="right" vertical="center"/>
    </xf>
    <xf numFmtId="0" fontId="11" fillId="4" borderId="3" xfId="0" applyFont="1" applyFill="1" applyBorder="1" applyAlignment="1">
      <alignment horizontal="right" vertical="center"/>
    </xf>
    <xf numFmtId="0" fontId="11" fillId="4" borderId="68" xfId="0" applyFont="1" applyFill="1" applyBorder="1" applyAlignment="1">
      <alignment horizontal="right" vertical="center"/>
    </xf>
    <xf numFmtId="0" fontId="14" fillId="4" borderId="69" xfId="0" applyFont="1" applyFill="1" applyBorder="1" applyAlignment="1" applyProtection="1">
      <alignment horizontal="right" vertical="center"/>
      <protection locked="0"/>
    </xf>
    <xf numFmtId="0" fontId="14" fillId="4" borderId="2" xfId="0" applyFont="1" applyFill="1" applyBorder="1" applyAlignment="1" applyProtection="1">
      <alignment horizontal="right" vertical="center"/>
      <protection locked="0"/>
    </xf>
    <xf numFmtId="0" fontId="11" fillId="4" borderId="62" xfId="0" applyFont="1" applyFill="1" applyBorder="1" applyAlignment="1">
      <alignment horizontal="right" vertical="center"/>
    </xf>
    <xf numFmtId="0" fontId="11" fillId="4" borderId="63" xfId="0" applyFont="1" applyFill="1" applyBorder="1" applyAlignment="1">
      <alignment horizontal="right" vertical="center"/>
    </xf>
    <xf numFmtId="0" fontId="11" fillId="4" borderId="64" xfId="0" applyFont="1" applyFill="1" applyBorder="1" applyAlignment="1">
      <alignment horizontal="right" vertical="center"/>
    </xf>
    <xf numFmtId="0" fontId="13" fillId="0" borderId="1" xfId="0" applyFont="1" applyBorder="1" applyAlignment="1">
      <alignment horizontal="distributed" vertical="center"/>
    </xf>
    <xf numFmtId="0" fontId="13" fillId="0" borderId="3" xfId="0" applyFont="1" applyBorder="1" applyAlignment="1">
      <alignment horizontal="distributed" vertical="center"/>
    </xf>
    <xf numFmtId="0" fontId="13" fillId="0" borderId="68" xfId="0" applyFont="1" applyBorder="1" applyAlignment="1">
      <alignment horizontal="distributed" vertical="center"/>
    </xf>
    <xf numFmtId="0" fontId="11" fillId="0" borderId="58" xfId="0" applyFont="1" applyBorder="1" applyAlignment="1">
      <alignment horizontal="center" vertical="center" wrapText="1"/>
    </xf>
    <xf numFmtId="0" fontId="11" fillId="0" borderId="58" xfId="0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60" xfId="0" applyFont="1" applyBorder="1" applyAlignment="1">
      <alignment horizontal="center" vertical="center"/>
    </xf>
    <xf numFmtId="0" fontId="11" fillId="0" borderId="57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8" fillId="0" borderId="70" xfId="0" applyFont="1" applyBorder="1" applyAlignment="1">
      <alignment horizontal="center" vertical="center" textRotation="255" wrapText="1"/>
    </xf>
    <xf numFmtId="0" fontId="18" fillId="0" borderId="5" xfId="0" applyFont="1" applyBorder="1" applyAlignment="1">
      <alignment horizontal="center" vertical="center" textRotation="255" wrapText="1"/>
    </xf>
    <xf numFmtId="0" fontId="18" fillId="0" borderId="34" xfId="0" applyFont="1" applyBorder="1" applyAlignment="1">
      <alignment horizontal="center" vertical="center" textRotation="255" wrapText="1"/>
    </xf>
    <xf numFmtId="0" fontId="18" fillId="0" borderId="39" xfId="0" applyFont="1" applyBorder="1" applyAlignment="1">
      <alignment horizontal="center" vertical="center" textRotation="255" wrapText="1"/>
    </xf>
    <xf numFmtId="0" fontId="11" fillId="0" borderId="4" xfId="0" applyFont="1" applyBorder="1" applyAlignment="1">
      <alignment horizontal="distributed" vertical="center"/>
    </xf>
    <xf numFmtId="0" fontId="11" fillId="0" borderId="41" xfId="0" applyFont="1" applyBorder="1" applyAlignment="1">
      <alignment horizontal="distributed" vertical="center"/>
    </xf>
    <xf numFmtId="0" fontId="11" fillId="0" borderId="71" xfId="0" applyFont="1" applyBorder="1" applyAlignment="1">
      <alignment horizontal="distributed" vertical="center"/>
    </xf>
    <xf numFmtId="0" fontId="11" fillId="0" borderId="19" xfId="0" applyFont="1" applyBorder="1" applyAlignment="1">
      <alignment horizontal="distributed" vertical="center"/>
    </xf>
    <xf numFmtId="0" fontId="11" fillId="0" borderId="52" xfId="0" applyFont="1" applyBorder="1" applyAlignment="1">
      <alignment horizontal="distributed" vertical="center"/>
    </xf>
    <xf numFmtId="0" fontId="11" fillId="0" borderId="80" xfId="0" applyFont="1" applyBorder="1" applyAlignment="1">
      <alignment horizontal="distributed" vertical="center"/>
    </xf>
    <xf numFmtId="0" fontId="14" fillId="4" borderId="81" xfId="0" applyFont="1" applyFill="1" applyBorder="1" applyAlignment="1" applyProtection="1">
      <alignment horizontal="right" vertical="center"/>
      <protection locked="0"/>
    </xf>
    <xf numFmtId="0" fontId="14" fillId="4" borderId="82" xfId="0" applyFont="1" applyFill="1" applyBorder="1" applyAlignment="1" applyProtection="1">
      <alignment horizontal="right" vertical="center"/>
      <protection locked="0"/>
    </xf>
    <xf numFmtId="0" fontId="14" fillId="4" borderId="83" xfId="0" applyFont="1" applyFill="1" applyBorder="1" applyAlignment="1" applyProtection="1">
      <alignment horizontal="right" vertical="center"/>
      <protection locked="0"/>
    </xf>
    <xf numFmtId="0" fontId="14" fillId="4" borderId="84" xfId="0" applyFont="1" applyFill="1" applyBorder="1" applyAlignment="1" applyProtection="1">
      <alignment horizontal="right" vertical="center"/>
      <protection locked="0"/>
    </xf>
    <xf numFmtId="0" fontId="14" fillId="4" borderId="85" xfId="0" applyFont="1" applyFill="1" applyBorder="1" applyAlignment="1" applyProtection="1">
      <alignment horizontal="right" vertical="center"/>
      <protection locked="0"/>
    </xf>
    <xf numFmtId="0" fontId="14" fillId="4" borderId="69" xfId="0" applyFont="1" applyFill="1" applyBorder="1" applyAlignment="1">
      <alignment horizontal="right" vertical="center"/>
    </xf>
    <xf numFmtId="0" fontId="14" fillId="4" borderId="3" xfId="0" applyFont="1" applyFill="1" applyBorder="1" applyAlignment="1">
      <alignment horizontal="right" vertical="center"/>
    </xf>
    <xf numFmtId="0" fontId="14" fillId="4" borderId="2" xfId="0" applyFont="1" applyFill="1" applyBorder="1" applyAlignment="1">
      <alignment horizontal="right" vertical="center"/>
    </xf>
    <xf numFmtId="0" fontId="11" fillId="4" borderId="78" xfId="0" applyFont="1" applyFill="1" applyBorder="1" applyAlignment="1">
      <alignment horizontal="right" vertical="center"/>
    </xf>
    <xf numFmtId="0" fontId="11" fillId="4" borderId="76" xfId="0" applyFont="1" applyFill="1" applyBorder="1" applyAlignment="1">
      <alignment horizontal="right" vertical="center"/>
    </xf>
    <xf numFmtId="0" fontId="11" fillId="4" borderId="79" xfId="0" applyFont="1" applyFill="1" applyBorder="1" applyAlignment="1">
      <alignment horizontal="right" vertical="center"/>
    </xf>
    <xf numFmtId="0" fontId="11" fillId="4" borderId="75" xfId="0" applyFont="1" applyFill="1" applyBorder="1" applyAlignment="1">
      <alignment horizontal="right" vertical="center"/>
    </xf>
    <xf numFmtId="0" fontId="11" fillId="4" borderId="77" xfId="0" applyFont="1" applyFill="1" applyBorder="1" applyAlignment="1">
      <alignment horizontal="right" vertical="center"/>
    </xf>
    <xf numFmtId="0" fontId="13" fillId="0" borderId="42" xfId="0" applyFont="1" applyBorder="1" applyAlignment="1">
      <alignment horizontal="distributed" vertical="center"/>
    </xf>
    <xf numFmtId="0" fontId="13" fillId="0" borderId="0" xfId="0" applyFont="1" applyAlignment="1">
      <alignment horizontal="distributed" vertical="center"/>
    </xf>
    <xf numFmtId="0" fontId="13" fillId="0" borderId="61" xfId="0" applyFont="1" applyBorder="1" applyAlignment="1">
      <alignment horizontal="distributed" vertical="center"/>
    </xf>
    <xf numFmtId="0" fontId="11" fillId="4" borderId="99" xfId="0" applyFont="1" applyFill="1" applyBorder="1" applyAlignment="1">
      <alignment horizontal="right" vertical="center"/>
    </xf>
    <xf numFmtId="0" fontId="11" fillId="4" borderId="97" xfId="0" applyFont="1" applyFill="1" applyBorder="1" applyAlignment="1">
      <alignment horizontal="right" vertical="center"/>
    </xf>
    <xf numFmtId="0" fontId="11" fillId="4" borderId="100" xfId="0" applyFont="1" applyFill="1" applyBorder="1" applyAlignment="1">
      <alignment horizontal="right" vertical="center"/>
    </xf>
    <xf numFmtId="0" fontId="13" fillId="0" borderId="4" xfId="0" applyFont="1" applyBorder="1" applyAlignment="1">
      <alignment horizontal="distributed" vertical="center"/>
    </xf>
    <xf numFmtId="0" fontId="13" fillId="0" borderId="41" xfId="0" applyFont="1" applyBorder="1" applyAlignment="1">
      <alignment horizontal="distributed" vertical="center"/>
    </xf>
    <xf numFmtId="0" fontId="13" fillId="0" borderId="71" xfId="0" applyFont="1" applyBorder="1" applyAlignment="1">
      <alignment horizontal="distributed" vertical="center"/>
    </xf>
    <xf numFmtId="0" fontId="13" fillId="0" borderId="57" xfId="0" applyFont="1" applyBorder="1" applyAlignment="1">
      <alignment horizontal="center" vertical="center"/>
    </xf>
    <xf numFmtId="0" fontId="13" fillId="0" borderId="58" xfId="0" applyFont="1" applyBorder="1" applyAlignment="1">
      <alignment horizontal="center" vertical="center"/>
    </xf>
    <xf numFmtId="0" fontId="13" fillId="0" borderId="13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58" xfId="0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/>
    </xf>
    <xf numFmtId="0" fontId="14" fillId="0" borderId="9" xfId="0" applyFont="1" applyBorder="1" applyAlignment="1">
      <alignment horizontal="center" vertical="center"/>
    </xf>
    <xf numFmtId="0" fontId="15" fillId="0" borderId="40" xfId="0" applyFont="1" applyBorder="1" applyAlignment="1">
      <alignment horizontal="center" vertical="center" textRotation="255" wrapText="1"/>
    </xf>
    <xf numFmtId="0" fontId="15" fillId="0" borderId="43" xfId="0" applyFont="1" applyBorder="1" applyAlignment="1">
      <alignment horizontal="center" vertical="center" textRotation="255" wrapText="1"/>
    </xf>
    <xf numFmtId="0" fontId="15" fillId="0" borderId="67" xfId="0" applyFont="1" applyBorder="1" applyAlignment="1">
      <alignment horizontal="center" vertical="center" textRotation="255" wrapText="1"/>
    </xf>
    <xf numFmtId="0" fontId="15" fillId="0" borderId="7" xfId="0" applyFont="1" applyBorder="1" applyAlignment="1">
      <alignment horizontal="center" vertical="center" textRotation="255" wrapText="1"/>
    </xf>
    <xf numFmtId="0" fontId="11" fillId="4" borderId="96" xfId="0" applyFont="1" applyFill="1" applyBorder="1" applyAlignment="1">
      <alignment horizontal="right" vertical="center"/>
    </xf>
    <xf numFmtId="0" fontId="11" fillId="4" borderId="98" xfId="0" applyFont="1" applyFill="1" applyBorder="1" applyAlignment="1">
      <alignment horizontal="right" vertical="center"/>
    </xf>
    <xf numFmtId="0" fontId="11" fillId="4" borderId="69" xfId="0" applyFont="1" applyFill="1" applyBorder="1" applyAlignment="1">
      <alignment horizontal="right" vertical="center"/>
    </xf>
    <xf numFmtId="0" fontId="11" fillId="4" borderId="2" xfId="0" applyFont="1" applyFill="1" applyBorder="1" applyAlignment="1">
      <alignment horizontal="right" vertical="center"/>
    </xf>
    <xf numFmtId="0" fontId="11" fillId="0" borderId="72" xfId="0" applyFont="1" applyBorder="1" applyAlignment="1">
      <alignment horizontal="distributed" vertical="center"/>
    </xf>
    <xf numFmtId="0" fontId="11" fillId="0" borderId="73" xfId="0" applyFont="1" applyBorder="1" applyAlignment="1">
      <alignment horizontal="distributed" vertical="center"/>
    </xf>
    <xf numFmtId="0" fontId="11" fillId="0" borderId="74" xfId="0" applyFont="1" applyBorder="1" applyAlignment="1">
      <alignment horizontal="distributed" vertical="center"/>
    </xf>
    <xf numFmtId="0" fontId="11" fillId="4" borderId="84" xfId="0" applyFont="1" applyFill="1" applyBorder="1" applyAlignment="1">
      <alignment horizontal="right" vertical="center"/>
    </xf>
    <xf numFmtId="0" fontId="11" fillId="4" borderId="82" xfId="0" applyFont="1" applyFill="1" applyBorder="1" applyAlignment="1">
      <alignment horizontal="right" vertical="center"/>
    </xf>
    <xf numFmtId="0" fontId="11" fillId="4" borderId="85" xfId="0" applyFont="1" applyFill="1" applyBorder="1" applyAlignment="1">
      <alignment horizontal="right" vertical="center"/>
    </xf>
    <xf numFmtId="0" fontId="11" fillId="4" borderId="81" xfId="0" applyFont="1" applyFill="1" applyBorder="1" applyAlignment="1">
      <alignment horizontal="right" vertical="center"/>
    </xf>
    <xf numFmtId="0" fontId="11" fillId="4" borderId="83" xfId="0" applyFont="1" applyFill="1" applyBorder="1" applyAlignment="1">
      <alignment horizontal="right" vertical="center"/>
    </xf>
    <xf numFmtId="0" fontId="11" fillId="4" borderId="65" xfId="0" applyFont="1" applyFill="1" applyBorder="1" applyAlignment="1">
      <alignment horizontal="right" vertical="center"/>
    </xf>
    <xf numFmtId="0" fontId="11" fillId="4" borderId="66" xfId="0" applyFont="1" applyFill="1" applyBorder="1" applyAlignment="1">
      <alignment horizontal="right" vertical="center"/>
    </xf>
    <xf numFmtId="0" fontId="11" fillId="0" borderId="70" xfId="0" applyFont="1" applyBorder="1" applyAlignment="1">
      <alignment horizontal="distributed" vertical="center"/>
    </xf>
    <xf numFmtId="0" fontId="14" fillId="0" borderId="19" xfId="0" applyFont="1" applyBorder="1" applyAlignment="1" applyProtection="1">
      <alignment horizontal="distributed" vertical="center"/>
      <protection locked="0"/>
    </xf>
    <xf numFmtId="0" fontId="14" fillId="0" borderId="52" xfId="0" applyFont="1" applyBorder="1" applyAlignment="1" applyProtection="1">
      <alignment horizontal="distributed" vertical="center"/>
      <protection locked="0"/>
    </xf>
    <xf numFmtId="0" fontId="14" fillId="0" borderId="80" xfId="0" applyFont="1" applyBorder="1" applyAlignment="1" applyProtection="1">
      <alignment horizontal="distributed" vertical="center"/>
      <protection locked="0"/>
    </xf>
    <xf numFmtId="0" fontId="14" fillId="4" borderId="62" xfId="0" applyFont="1" applyFill="1" applyBorder="1" applyAlignment="1">
      <alignment horizontal="right" vertical="center"/>
    </xf>
    <xf numFmtId="0" fontId="14" fillId="4" borderId="63" xfId="0" applyFont="1" applyFill="1" applyBorder="1" applyAlignment="1">
      <alignment horizontal="right" vertical="center"/>
    </xf>
    <xf numFmtId="0" fontId="14" fillId="4" borderId="64" xfId="0" applyFont="1" applyFill="1" applyBorder="1" applyAlignment="1">
      <alignment horizontal="right" vertical="center"/>
    </xf>
    <xf numFmtId="0" fontId="11" fillId="0" borderId="70" xfId="0" applyFont="1" applyBorder="1" applyAlignment="1">
      <alignment horizontal="center" vertical="center" textRotation="255"/>
    </xf>
    <xf numFmtId="0" fontId="11" fillId="0" borderId="5" xfId="0" applyFont="1" applyBorder="1" applyAlignment="1">
      <alignment horizontal="center" vertical="center" textRotation="255"/>
    </xf>
    <xf numFmtId="0" fontId="11" fillId="0" borderId="40" xfId="0" applyFont="1" applyBorder="1" applyAlignment="1">
      <alignment horizontal="center" vertical="center" textRotation="255"/>
    </xf>
    <xf numFmtId="0" fontId="11" fillId="0" borderId="43" xfId="0" applyFont="1" applyBorder="1" applyAlignment="1">
      <alignment horizontal="center" vertical="center" textRotation="255"/>
    </xf>
    <xf numFmtId="0" fontId="11" fillId="0" borderId="67" xfId="0" applyFont="1" applyBorder="1" applyAlignment="1">
      <alignment horizontal="center" vertical="center" textRotation="255"/>
    </xf>
    <xf numFmtId="0" fontId="11" fillId="0" borderId="7" xfId="0" applyFont="1" applyBorder="1" applyAlignment="1">
      <alignment horizontal="center" vertical="center" textRotation="255"/>
    </xf>
    <xf numFmtId="0" fontId="11" fillId="0" borderId="70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0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1" fillId="0" borderId="34" xfId="0" applyFont="1" applyBorder="1" applyAlignment="1">
      <alignment horizontal="center" vertical="center"/>
    </xf>
    <xf numFmtId="0" fontId="11" fillId="0" borderId="39" xfId="0" applyFont="1" applyBorder="1" applyAlignment="1">
      <alignment horizontal="center" vertical="center"/>
    </xf>
    <xf numFmtId="0" fontId="14" fillId="0" borderId="1" xfId="0" applyFont="1" applyBorder="1" applyAlignment="1" applyProtection="1">
      <alignment horizontal="distributed" vertical="center"/>
      <protection locked="0"/>
    </xf>
    <xf numFmtId="0" fontId="14" fillId="0" borderId="3" xfId="0" applyFont="1" applyBorder="1" applyAlignment="1" applyProtection="1">
      <alignment horizontal="distributed" vertical="center"/>
      <protection locked="0"/>
    </xf>
    <xf numFmtId="0" fontId="11" fillId="0" borderId="1" xfId="0" applyFont="1" applyBorder="1" applyAlignment="1">
      <alignment horizontal="distributed" vertical="center"/>
    </xf>
    <xf numFmtId="0" fontId="11" fillId="0" borderId="3" xfId="0" applyFont="1" applyBorder="1" applyAlignment="1">
      <alignment horizontal="distributed" vertical="center"/>
    </xf>
    <xf numFmtId="0" fontId="11" fillId="0" borderId="27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67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3" fillId="0" borderId="86" xfId="0" applyFont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1" fillId="0" borderId="42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84" xfId="0" applyFont="1" applyBorder="1" applyAlignment="1">
      <alignment horizontal="center" vertical="center"/>
    </xf>
    <xf numFmtId="0" fontId="11" fillId="0" borderId="82" xfId="0" applyFont="1" applyBorder="1" applyAlignment="1">
      <alignment horizontal="center" vertical="center"/>
    </xf>
    <xf numFmtId="0" fontId="11" fillId="0" borderId="87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 wrapText="1"/>
    </xf>
    <xf numFmtId="0" fontId="18" fillId="0" borderId="41" xfId="0" applyFont="1" applyBorder="1" applyAlignment="1">
      <alignment horizontal="center" vertical="center" wrapText="1"/>
    </xf>
    <xf numFmtId="0" fontId="18" fillId="0" borderId="5" xfId="0" applyFont="1" applyBorder="1" applyAlignment="1">
      <alignment horizontal="center" vertical="center" wrapText="1"/>
    </xf>
    <xf numFmtId="0" fontId="18" fillId="0" borderId="95" xfId="0" applyFont="1" applyBorder="1" applyAlignment="1">
      <alignment horizontal="center" vertical="center" wrapText="1"/>
    </xf>
    <xf numFmtId="0" fontId="18" fillId="0" borderId="93" xfId="0" applyFont="1" applyBorder="1" applyAlignment="1">
      <alignment horizontal="center" vertical="center" wrapText="1"/>
    </xf>
    <xf numFmtId="0" fontId="18" fillId="0" borderId="94" xfId="0" applyFont="1" applyBorder="1" applyAlignment="1">
      <alignment horizontal="center" vertical="center" wrapText="1"/>
    </xf>
    <xf numFmtId="0" fontId="13" fillId="0" borderId="28" xfId="0" applyFont="1" applyBorder="1" applyAlignment="1">
      <alignment horizontal="center" vertical="center" wrapText="1"/>
    </xf>
    <xf numFmtId="0" fontId="13" fillId="0" borderId="24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93" xfId="0" applyFont="1" applyBorder="1" applyAlignment="1">
      <alignment horizontal="center" vertical="center" wrapText="1"/>
    </xf>
    <xf numFmtId="0" fontId="13" fillId="0" borderId="94" xfId="0" applyFont="1" applyBorder="1" applyAlignment="1">
      <alignment horizontal="center" vertical="center" wrapText="1"/>
    </xf>
    <xf numFmtId="0" fontId="18" fillId="0" borderId="26" xfId="0" applyFont="1" applyBorder="1" applyAlignment="1">
      <alignment horizontal="center" vertical="center" wrapText="1"/>
    </xf>
    <xf numFmtId="0" fontId="18" fillId="0" borderId="2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0" xfId="0" applyFont="1" applyAlignment="1">
      <alignment horizontal="center" vertical="center" wrapText="1"/>
    </xf>
    <xf numFmtId="0" fontId="13" fillId="0" borderId="6" xfId="0" applyFont="1" applyBorder="1" applyAlignment="1">
      <alignment horizontal="distributed" vertical="center"/>
    </xf>
    <xf numFmtId="0" fontId="13" fillId="0" borderId="44" xfId="0" applyFont="1" applyBorder="1" applyAlignment="1">
      <alignment horizontal="distributed" vertical="center"/>
    </xf>
    <xf numFmtId="0" fontId="17" fillId="0" borderId="91" xfId="0" applyFont="1" applyBorder="1" applyAlignment="1">
      <alignment horizontal="left" wrapText="1"/>
    </xf>
    <xf numFmtId="0" fontId="17" fillId="0" borderId="0" xfId="0" applyFont="1" applyAlignment="1">
      <alignment horizontal="left" wrapText="1"/>
    </xf>
    <xf numFmtId="0" fontId="11" fillId="0" borderId="70" xfId="0" applyFont="1" applyBorder="1" applyAlignment="1">
      <alignment horizontal="center" vertical="center" wrapText="1"/>
    </xf>
    <xf numFmtId="0" fontId="11" fillId="0" borderId="41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center" vertical="center"/>
    </xf>
    <xf numFmtId="0" fontId="11" fillId="0" borderId="52" xfId="0" applyFont="1" applyBorder="1" applyAlignment="1">
      <alignment horizontal="center" vertical="center"/>
    </xf>
    <xf numFmtId="0" fontId="11" fillId="0" borderId="80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0" borderId="68" xfId="0" applyFont="1" applyBorder="1" applyAlignment="1">
      <alignment horizontal="center" vertical="center"/>
    </xf>
    <xf numFmtId="0" fontId="11" fillId="0" borderId="90" xfId="0" applyFont="1" applyBorder="1" applyAlignment="1">
      <alignment horizontal="distributed" vertical="center" wrapText="1"/>
    </xf>
    <xf numFmtId="0" fontId="11" fillId="0" borderId="3" xfId="0" applyFont="1" applyBorder="1" applyAlignment="1">
      <alignment horizontal="distributed" vertical="center" wrapText="1"/>
    </xf>
    <xf numFmtId="0" fontId="11" fillId="0" borderId="68" xfId="0" applyFont="1" applyBorder="1" applyAlignment="1">
      <alignment horizontal="distributed" vertical="center" wrapText="1"/>
    </xf>
    <xf numFmtId="0" fontId="18" fillId="0" borderId="28" xfId="0" applyFont="1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1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88" xfId="0" applyFont="1" applyBorder="1" applyAlignment="1">
      <alignment horizontal="center" vertical="center" wrapText="1"/>
    </xf>
    <xf numFmtId="0" fontId="11" fillId="0" borderId="42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1" fillId="0" borderId="37" xfId="0" applyFont="1" applyBorder="1" applyAlignment="1">
      <alignment horizontal="center" vertical="center" wrapText="1"/>
    </xf>
    <xf numFmtId="0" fontId="11" fillId="0" borderId="43" xfId="0" applyFont="1" applyBorder="1" applyAlignment="1">
      <alignment horizontal="center" vertical="center" wrapText="1"/>
    </xf>
    <xf numFmtId="0" fontId="11" fillId="0" borderId="78" xfId="0" applyFont="1" applyBorder="1" applyAlignment="1">
      <alignment horizontal="distributed" vertical="center"/>
    </xf>
    <xf numFmtId="0" fontId="11" fillId="0" borderId="76" xfId="0" applyFont="1" applyBorder="1" applyAlignment="1">
      <alignment horizontal="distributed" vertical="center"/>
    </xf>
    <xf numFmtId="0" fontId="13" fillId="0" borderId="70" xfId="0" applyFont="1" applyBorder="1" applyAlignment="1">
      <alignment horizontal="center" vertical="center" textRotation="255"/>
    </xf>
    <xf numFmtId="0" fontId="13" fillId="0" borderId="5" xfId="0" applyFont="1" applyBorder="1" applyAlignment="1">
      <alignment horizontal="center" vertical="center" textRotation="255"/>
    </xf>
    <xf numFmtId="0" fontId="13" fillId="0" borderId="40" xfId="0" applyFont="1" applyBorder="1" applyAlignment="1">
      <alignment horizontal="center" vertical="center" textRotation="255"/>
    </xf>
    <xf numFmtId="0" fontId="13" fillId="0" borderId="43" xfId="0" applyFont="1" applyBorder="1" applyAlignment="1">
      <alignment horizontal="center" vertical="center" textRotation="255"/>
    </xf>
    <xf numFmtId="0" fontId="13" fillId="0" borderId="67" xfId="0" applyFont="1" applyBorder="1" applyAlignment="1">
      <alignment horizontal="center" vertical="center" textRotation="255"/>
    </xf>
    <xf numFmtId="0" fontId="13" fillId="0" borderId="7" xfId="0" applyFont="1" applyBorder="1" applyAlignment="1">
      <alignment horizontal="center" vertical="center" textRotation="255"/>
    </xf>
    <xf numFmtId="0" fontId="11" fillId="0" borderId="6" xfId="0" applyFont="1" applyBorder="1" applyAlignment="1">
      <alignment horizontal="center" vertical="center"/>
    </xf>
    <xf numFmtId="0" fontId="13" fillId="4" borderId="96" xfId="0" applyFont="1" applyFill="1" applyBorder="1" applyAlignment="1">
      <alignment horizontal="right" vertical="center"/>
    </xf>
    <xf numFmtId="0" fontId="13" fillId="4" borderId="97" xfId="0" applyFont="1" applyFill="1" applyBorder="1" applyAlignment="1">
      <alignment horizontal="right" vertical="center"/>
    </xf>
    <xf numFmtId="0" fontId="13" fillId="4" borderId="100" xfId="0" applyFont="1" applyFill="1" applyBorder="1" applyAlignment="1">
      <alignment horizontal="right" vertical="center"/>
    </xf>
    <xf numFmtId="0" fontId="13" fillId="0" borderId="40" xfId="0" applyFont="1" applyBorder="1" applyAlignment="1">
      <alignment horizontal="center" vertical="center" wrapText="1"/>
    </xf>
    <xf numFmtId="0" fontId="13" fillId="0" borderId="67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1" fillId="0" borderId="89" xfId="0" applyFont="1" applyBorder="1" applyAlignment="1">
      <alignment horizontal="center" vertical="center"/>
    </xf>
  </cellXfs>
  <cellStyles count="4">
    <cellStyle name="標準" xfId="0" builtinId="0"/>
    <cellStyle name="標準 2" xfId="1" xr:uid="{00000000-0005-0000-0000-000001000000}"/>
    <cellStyle name="標準 3" xfId="2" xr:uid="{00000000-0005-0000-0000-000002000000}"/>
    <cellStyle name="標準 6" xfId="3" xr:uid="{66F8B3CD-E35D-4CB9-911B-C8298BCBAC70}"/>
  </cellStyles>
  <dxfs count="0"/>
  <tableStyles count="0" defaultTableStyle="TableStyleMedium2" defaultPivotStyle="PivotStyleMedium9"/>
  <colors>
    <mruColors>
      <color rgb="FF000000"/>
      <color rgb="FF0000CC"/>
      <color rgb="FFFFCCCC"/>
      <color rgb="FFFFCC99"/>
      <color rgb="FFFFFF99"/>
      <color rgb="FFFFFFCC"/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29&#24180;&#65297;&#26376;&#20307;&#31995;&#20197;&#38477;&#12398;&#35211;&#30452;&#12375;&#65288;&#23558;&#26469;&#26041;&#21521;&#65289;/&#26908;&#35342;&#29992;&#36039;&#26009;&#38306;&#20418;/&#29983;&#29987;&#36027;&#12503;&#12524;&#12503;&#12522;&#12531;&#12488;&#23550;&#24540;/02&#30044;&#29983;/20_&#29275;&#20083;&#29983;&#29987;&#36027;&#32113;&#35336;_&#38651;&#23376;&#35519;&#26619;&#31080;_&#38619;&#22411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表紙 (新)"/>
      <sheetName val="説明 (新)"/>
      <sheetName val="調査事項・経営概要"/>
      <sheetName val="生産物_1~12月"/>
      <sheetName val="子牛等・購入飼料"/>
      <sheetName val="自給飼料"/>
      <sheetName val="資材（種付料～光熱動力）"/>
      <sheetName val="獣医師～その他資材"/>
      <sheetName val="税~その他"/>
      <sheetName val="建物"/>
      <sheetName val="自動車"/>
      <sheetName val="農機"/>
      <sheetName val="農具購入費"/>
      <sheetName val="牛・労働時間"/>
      <sheetName val="飼養状況_2-1"/>
      <sheetName val="飼養状況_2-2"/>
      <sheetName val="地代・搾乳牛負担割合・自給牧草"/>
      <sheetName val="リスト"/>
      <sheetName val="種類・構造・型式・牛馬コード"/>
    </sheetNames>
    <sheetDataSet>
      <sheetData sheetId="0"/>
      <sheetData sheetId="1"/>
      <sheetData sheetId="2"/>
      <sheetData sheetId="3"/>
      <sheetData sheetId="4"/>
      <sheetData sheetId="5">
        <row r="52">
          <cell r="BW52" t="str">
            <v/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>
        <row r="5">
          <cell r="E5" t="str">
            <v>[01]住　宅</v>
          </cell>
        </row>
      </sheetData>
      <sheetData sheetId="18">
        <row r="1">
          <cell r="Z1" t="str">
            <v>法定耐用年数</v>
          </cell>
        </row>
        <row r="3">
          <cell r="AA3" t="str">
            <v>建築物</v>
          </cell>
          <cell r="AC3" t="str">
            <v>構造</v>
          </cell>
          <cell r="AE3" t="str">
            <v>税制改正前</v>
          </cell>
          <cell r="AF3" t="str">
            <v>税制改正後</v>
          </cell>
        </row>
        <row r="4">
          <cell r="Y4" t="str">
            <v>0101</v>
          </cell>
          <cell r="Z4">
            <v>1</v>
          </cell>
          <cell r="AA4" t="str">
            <v>住宅</v>
          </cell>
          <cell r="AB4">
            <v>1</v>
          </cell>
          <cell r="AC4" t="str">
            <v>木造</v>
          </cell>
          <cell r="AD4" t="str">
            <v>住宅木造</v>
          </cell>
          <cell r="AE4">
            <v>22</v>
          </cell>
          <cell r="AF4">
            <v>22</v>
          </cell>
          <cell r="AH4">
            <v>1</v>
          </cell>
          <cell r="AI4">
            <v>1</v>
          </cell>
        </row>
        <row r="5">
          <cell r="Y5" t="str">
            <v>0102</v>
          </cell>
          <cell r="Z5">
            <v>1</v>
          </cell>
          <cell r="AA5" t="str">
            <v>住宅</v>
          </cell>
          <cell r="AB5">
            <v>2</v>
          </cell>
          <cell r="AC5" t="str">
            <v>合成樹脂造</v>
          </cell>
          <cell r="AD5" t="str">
            <v>住宅合成樹脂造</v>
          </cell>
          <cell r="AE5">
            <v>22</v>
          </cell>
          <cell r="AF5">
            <v>22</v>
          </cell>
          <cell r="AH5">
            <v>2</v>
          </cell>
          <cell r="AI5">
            <v>0.5</v>
          </cell>
        </row>
        <row r="6">
          <cell r="Y6" t="str">
            <v>0103</v>
          </cell>
          <cell r="Z6">
            <v>1</v>
          </cell>
          <cell r="AA6" t="str">
            <v>住宅</v>
          </cell>
          <cell r="AB6">
            <v>3</v>
          </cell>
          <cell r="AC6" t="str">
            <v>鉄筋コンクリート</v>
          </cell>
          <cell r="AD6" t="str">
            <v>住宅鉄筋コンクリート</v>
          </cell>
          <cell r="AE6">
            <v>47</v>
          </cell>
          <cell r="AF6">
            <v>47</v>
          </cell>
          <cell r="AH6">
            <v>3</v>
          </cell>
          <cell r="AI6">
            <v>0.33400000000000002</v>
          </cell>
        </row>
        <row r="7">
          <cell r="Y7" t="str">
            <v>0104</v>
          </cell>
          <cell r="Z7">
            <v>1</v>
          </cell>
          <cell r="AA7" t="str">
            <v>住宅</v>
          </cell>
          <cell r="AB7">
            <v>4</v>
          </cell>
          <cell r="AC7" t="str">
            <v>コンクリートブロック</v>
          </cell>
          <cell r="AD7" t="str">
            <v>住宅コンクリートブロック</v>
          </cell>
          <cell r="AE7">
            <v>38</v>
          </cell>
          <cell r="AF7">
            <v>38</v>
          </cell>
          <cell r="AH7">
            <v>4</v>
          </cell>
          <cell r="AI7">
            <v>0.25</v>
          </cell>
        </row>
        <row r="8">
          <cell r="Y8" t="str">
            <v>0105</v>
          </cell>
          <cell r="Z8">
            <v>1</v>
          </cell>
          <cell r="AA8" t="str">
            <v>住宅</v>
          </cell>
          <cell r="AB8">
            <v>5</v>
          </cell>
          <cell r="AC8" t="str">
            <v>鉄骨組３㎜以下</v>
          </cell>
          <cell r="AD8" t="str">
            <v>住宅鉄骨組３㎜以下</v>
          </cell>
          <cell r="AE8">
            <v>19</v>
          </cell>
          <cell r="AF8">
            <v>19</v>
          </cell>
          <cell r="AH8">
            <v>5</v>
          </cell>
          <cell r="AI8">
            <v>0.2</v>
          </cell>
        </row>
        <row r="9">
          <cell r="Y9" t="str">
            <v>0106</v>
          </cell>
          <cell r="Z9">
            <v>1</v>
          </cell>
          <cell r="AA9" t="str">
            <v>住宅</v>
          </cell>
          <cell r="AB9">
            <v>6</v>
          </cell>
          <cell r="AC9" t="str">
            <v>鉄骨組３～４㎜以下</v>
          </cell>
          <cell r="AD9" t="str">
            <v>住宅鉄骨組３～４㎜以下</v>
          </cell>
          <cell r="AE9">
            <v>27</v>
          </cell>
          <cell r="AF9">
            <v>27</v>
          </cell>
          <cell r="AH9">
            <v>6</v>
          </cell>
          <cell r="AI9">
            <v>0.16700000000000001</v>
          </cell>
        </row>
        <row r="10">
          <cell r="Y10" t="str">
            <v>0107</v>
          </cell>
          <cell r="Z10">
            <v>1</v>
          </cell>
          <cell r="AA10" t="str">
            <v>住宅</v>
          </cell>
          <cell r="AB10">
            <v>7</v>
          </cell>
          <cell r="AC10" t="str">
            <v>鉄骨組４㎜以上</v>
          </cell>
          <cell r="AD10" t="str">
            <v>住宅鉄骨組４㎜以上</v>
          </cell>
          <cell r="AE10">
            <v>34</v>
          </cell>
          <cell r="AF10">
            <v>34</v>
          </cell>
          <cell r="AH10">
            <v>7</v>
          </cell>
          <cell r="AI10">
            <v>0.14299999999999999</v>
          </cell>
        </row>
        <row r="11">
          <cell r="Y11" t="str">
            <v>0108</v>
          </cell>
          <cell r="Z11">
            <v>1</v>
          </cell>
          <cell r="AA11" t="str">
            <v>住宅</v>
          </cell>
          <cell r="AB11">
            <v>8</v>
          </cell>
          <cell r="AC11" t="str">
            <v>木造モルタル</v>
          </cell>
          <cell r="AD11" t="str">
            <v>住宅木造モルタル</v>
          </cell>
          <cell r="AE11">
            <v>20</v>
          </cell>
          <cell r="AF11">
            <v>20</v>
          </cell>
          <cell r="AH11">
            <v>8</v>
          </cell>
          <cell r="AI11">
            <v>0.125</v>
          </cell>
        </row>
        <row r="12">
          <cell r="Y12" t="str">
            <v>0177</v>
          </cell>
          <cell r="Z12">
            <v>1</v>
          </cell>
          <cell r="AA12" t="str">
            <v>住宅</v>
          </cell>
          <cell r="AB12">
            <v>77</v>
          </cell>
          <cell r="AC12" t="str">
            <v>少額資産</v>
          </cell>
          <cell r="AD12" t="str">
            <v>住宅少額資産</v>
          </cell>
          <cell r="AE12">
            <v>3</v>
          </cell>
          <cell r="AF12">
            <v>3</v>
          </cell>
          <cell r="AH12">
            <v>9</v>
          </cell>
          <cell r="AI12">
            <v>0.112</v>
          </cell>
        </row>
        <row r="13">
          <cell r="Y13" t="str">
            <v>0201</v>
          </cell>
          <cell r="Z13">
            <v>2</v>
          </cell>
          <cell r="AA13" t="str">
            <v>事務所</v>
          </cell>
          <cell r="AB13">
            <v>1</v>
          </cell>
          <cell r="AC13" t="str">
            <v>木造</v>
          </cell>
          <cell r="AD13" t="str">
            <v>事務所木造</v>
          </cell>
          <cell r="AE13">
            <v>24</v>
          </cell>
          <cell r="AF13">
            <v>24</v>
          </cell>
          <cell r="AH13">
            <v>10</v>
          </cell>
          <cell r="AI13">
            <v>0.1</v>
          </cell>
        </row>
        <row r="14">
          <cell r="Y14" t="str">
            <v>0202</v>
          </cell>
          <cell r="Z14">
            <v>2</v>
          </cell>
          <cell r="AA14" t="str">
            <v>事務所</v>
          </cell>
          <cell r="AB14">
            <v>2</v>
          </cell>
          <cell r="AC14" t="str">
            <v>合成樹脂造</v>
          </cell>
          <cell r="AD14" t="str">
            <v>事務所合成樹脂造</v>
          </cell>
          <cell r="AE14">
            <v>24</v>
          </cell>
          <cell r="AF14">
            <v>24</v>
          </cell>
          <cell r="AH14">
            <v>11</v>
          </cell>
          <cell r="AI14">
            <v>9.0999999999999998E-2</v>
          </cell>
        </row>
        <row r="15">
          <cell r="Y15" t="str">
            <v>0203</v>
          </cell>
          <cell r="Z15">
            <v>2</v>
          </cell>
          <cell r="AA15" t="str">
            <v>事務所</v>
          </cell>
          <cell r="AB15">
            <v>3</v>
          </cell>
          <cell r="AC15" t="str">
            <v>鉄筋コンクリート</v>
          </cell>
          <cell r="AD15" t="str">
            <v>事務所鉄筋コンクリート</v>
          </cell>
          <cell r="AE15">
            <v>50</v>
          </cell>
          <cell r="AF15">
            <v>50</v>
          </cell>
          <cell r="AH15">
            <v>12</v>
          </cell>
          <cell r="AI15">
            <v>8.4000000000000005E-2</v>
          </cell>
        </row>
        <row r="16">
          <cell r="Y16" t="str">
            <v>0204</v>
          </cell>
          <cell r="Z16">
            <v>2</v>
          </cell>
          <cell r="AA16" t="str">
            <v>事務所</v>
          </cell>
          <cell r="AB16">
            <v>4</v>
          </cell>
          <cell r="AC16" t="str">
            <v>コンクリートブロック</v>
          </cell>
          <cell r="AD16" t="str">
            <v>事務所コンクリートブロック</v>
          </cell>
          <cell r="AE16">
            <v>41</v>
          </cell>
          <cell r="AF16">
            <v>41</v>
          </cell>
          <cell r="AH16">
            <v>13</v>
          </cell>
          <cell r="AI16">
            <v>7.6999999999999999E-2</v>
          </cell>
        </row>
        <row r="17">
          <cell r="Y17" t="str">
            <v>0205</v>
          </cell>
          <cell r="Z17">
            <v>2</v>
          </cell>
          <cell r="AA17" t="str">
            <v>事務所</v>
          </cell>
          <cell r="AB17">
            <v>5</v>
          </cell>
          <cell r="AC17" t="str">
            <v>鉄骨組３㎜以下</v>
          </cell>
          <cell r="AD17" t="str">
            <v>事務所鉄骨組３㎜以下</v>
          </cell>
          <cell r="AE17">
            <v>22</v>
          </cell>
          <cell r="AF17">
            <v>22</v>
          </cell>
          <cell r="AH17">
            <v>14</v>
          </cell>
          <cell r="AI17">
            <v>7.1999999999999995E-2</v>
          </cell>
        </row>
        <row r="18">
          <cell r="Y18" t="str">
            <v>0206</v>
          </cell>
          <cell r="Z18">
            <v>2</v>
          </cell>
          <cell r="AA18" t="str">
            <v>事務所</v>
          </cell>
          <cell r="AB18">
            <v>6</v>
          </cell>
          <cell r="AC18" t="str">
            <v>鉄骨組３～４㎜以下</v>
          </cell>
          <cell r="AD18" t="str">
            <v>事務所鉄骨組３～４㎜以下</v>
          </cell>
          <cell r="AE18">
            <v>30</v>
          </cell>
          <cell r="AF18">
            <v>30</v>
          </cell>
          <cell r="AH18">
            <v>15</v>
          </cell>
          <cell r="AI18">
            <v>6.7000000000000004E-2</v>
          </cell>
        </row>
        <row r="19">
          <cell r="Y19" t="str">
            <v>0207</v>
          </cell>
          <cell r="Z19">
            <v>2</v>
          </cell>
          <cell r="AA19" t="str">
            <v>事務所</v>
          </cell>
          <cell r="AB19">
            <v>7</v>
          </cell>
          <cell r="AC19" t="str">
            <v>鉄骨組４㎜以上</v>
          </cell>
          <cell r="AD19" t="str">
            <v>事務所鉄骨組４㎜以上</v>
          </cell>
          <cell r="AE19">
            <v>38</v>
          </cell>
          <cell r="AF19">
            <v>38</v>
          </cell>
          <cell r="AH19">
            <v>16</v>
          </cell>
          <cell r="AI19">
            <v>6.3E-2</v>
          </cell>
        </row>
        <row r="20">
          <cell r="Y20" t="str">
            <v>0208</v>
          </cell>
          <cell r="Z20">
            <v>2</v>
          </cell>
          <cell r="AA20" t="str">
            <v>事務所</v>
          </cell>
          <cell r="AB20">
            <v>8</v>
          </cell>
          <cell r="AC20" t="str">
            <v>木造モルタル</v>
          </cell>
          <cell r="AD20" t="str">
            <v>事務所木造モルタル</v>
          </cell>
          <cell r="AE20">
            <v>22</v>
          </cell>
          <cell r="AF20">
            <v>22</v>
          </cell>
          <cell r="AH20">
            <v>17</v>
          </cell>
          <cell r="AI20">
            <v>5.8999999999999997E-2</v>
          </cell>
        </row>
        <row r="21">
          <cell r="Y21" t="str">
            <v>0277</v>
          </cell>
          <cell r="Z21">
            <v>2</v>
          </cell>
          <cell r="AA21" t="str">
            <v>事務所</v>
          </cell>
          <cell r="AB21">
            <v>77</v>
          </cell>
          <cell r="AC21" t="str">
            <v>少額資産</v>
          </cell>
          <cell r="AD21" t="str">
            <v>事務所少額資産</v>
          </cell>
          <cell r="AE21">
            <v>3</v>
          </cell>
          <cell r="AF21">
            <v>3</v>
          </cell>
          <cell r="AH21">
            <v>18</v>
          </cell>
          <cell r="AI21">
            <v>5.6000000000000001E-2</v>
          </cell>
        </row>
        <row r="22">
          <cell r="Y22" t="str">
            <v>0301</v>
          </cell>
          <cell r="Z22">
            <v>3</v>
          </cell>
          <cell r="AA22" t="str">
            <v>倉庫</v>
          </cell>
          <cell r="AB22">
            <v>1</v>
          </cell>
          <cell r="AC22" t="str">
            <v>木造</v>
          </cell>
          <cell r="AD22" t="str">
            <v>倉庫木造</v>
          </cell>
          <cell r="AE22">
            <v>15</v>
          </cell>
          <cell r="AF22">
            <v>15</v>
          </cell>
          <cell r="AH22">
            <v>19</v>
          </cell>
          <cell r="AI22">
            <v>5.2999999999999999E-2</v>
          </cell>
        </row>
        <row r="23">
          <cell r="Y23" t="str">
            <v>0302</v>
          </cell>
          <cell r="Z23">
            <v>3</v>
          </cell>
          <cell r="AA23" t="str">
            <v>倉庫</v>
          </cell>
          <cell r="AB23">
            <v>2</v>
          </cell>
          <cell r="AC23" t="str">
            <v>合成樹脂造</v>
          </cell>
          <cell r="AD23" t="str">
            <v>倉庫合成樹脂造</v>
          </cell>
          <cell r="AE23">
            <v>15</v>
          </cell>
          <cell r="AF23">
            <v>15</v>
          </cell>
          <cell r="AH23">
            <v>20</v>
          </cell>
          <cell r="AI23">
            <v>0.05</v>
          </cell>
        </row>
        <row r="24">
          <cell r="Y24" t="str">
            <v>0303</v>
          </cell>
          <cell r="Z24">
            <v>3</v>
          </cell>
          <cell r="AA24" t="str">
            <v>倉庫</v>
          </cell>
          <cell r="AB24">
            <v>3</v>
          </cell>
          <cell r="AC24" t="str">
            <v>鉄筋コンクリート</v>
          </cell>
          <cell r="AD24" t="str">
            <v>倉庫鉄筋コンクリート</v>
          </cell>
          <cell r="AE24">
            <v>38</v>
          </cell>
          <cell r="AF24">
            <v>38</v>
          </cell>
          <cell r="AH24">
            <v>21</v>
          </cell>
          <cell r="AI24">
            <v>4.8000000000000001E-2</v>
          </cell>
        </row>
        <row r="25">
          <cell r="Y25" t="str">
            <v>0304</v>
          </cell>
          <cell r="Z25">
            <v>3</v>
          </cell>
          <cell r="AA25" t="str">
            <v>倉庫</v>
          </cell>
          <cell r="AB25">
            <v>4</v>
          </cell>
          <cell r="AC25" t="str">
            <v>コンクリートブロック</v>
          </cell>
          <cell r="AD25" t="str">
            <v>倉庫コンクリートブロック</v>
          </cell>
          <cell r="AE25">
            <v>34</v>
          </cell>
          <cell r="AF25">
            <v>34</v>
          </cell>
          <cell r="AH25">
            <v>22</v>
          </cell>
          <cell r="AI25">
            <v>4.5999999999999999E-2</v>
          </cell>
        </row>
        <row r="26">
          <cell r="Y26" t="str">
            <v>0305</v>
          </cell>
          <cell r="Z26">
            <v>3</v>
          </cell>
          <cell r="AA26" t="str">
            <v>倉庫</v>
          </cell>
          <cell r="AB26">
            <v>5</v>
          </cell>
          <cell r="AC26" t="str">
            <v>鉄骨組３㎜以下</v>
          </cell>
          <cell r="AD26" t="str">
            <v>倉庫鉄骨組３㎜以下</v>
          </cell>
          <cell r="AE26">
            <v>17</v>
          </cell>
          <cell r="AF26">
            <v>17</v>
          </cell>
          <cell r="AH26">
            <v>23</v>
          </cell>
          <cell r="AI26">
            <v>4.3999999999999997E-2</v>
          </cell>
        </row>
        <row r="27">
          <cell r="Y27" t="str">
            <v>0306</v>
          </cell>
          <cell r="Z27">
            <v>3</v>
          </cell>
          <cell r="AA27" t="str">
            <v>倉庫</v>
          </cell>
          <cell r="AB27">
            <v>6</v>
          </cell>
          <cell r="AC27" t="str">
            <v>鉄骨組３～４㎜以下</v>
          </cell>
          <cell r="AD27" t="str">
            <v>倉庫鉄骨組３～４㎜以下</v>
          </cell>
          <cell r="AE27">
            <v>24</v>
          </cell>
          <cell r="AF27">
            <v>24</v>
          </cell>
          <cell r="AH27">
            <v>24</v>
          </cell>
          <cell r="AI27">
            <v>4.2000000000000003E-2</v>
          </cell>
        </row>
        <row r="28">
          <cell r="Y28" t="str">
            <v>0307</v>
          </cell>
          <cell r="Z28">
            <v>3</v>
          </cell>
          <cell r="AA28" t="str">
            <v>倉庫</v>
          </cell>
          <cell r="AB28">
            <v>7</v>
          </cell>
          <cell r="AC28" t="str">
            <v>鉄骨組４㎜以上</v>
          </cell>
          <cell r="AD28" t="str">
            <v>倉庫鉄骨組４㎜以上</v>
          </cell>
          <cell r="AE28">
            <v>31</v>
          </cell>
          <cell r="AF28">
            <v>31</v>
          </cell>
          <cell r="AH28">
            <v>25</v>
          </cell>
          <cell r="AI28">
            <v>0.04</v>
          </cell>
        </row>
        <row r="29">
          <cell r="Y29" t="str">
            <v>0308</v>
          </cell>
          <cell r="Z29">
            <v>3</v>
          </cell>
          <cell r="AA29" t="str">
            <v>倉庫</v>
          </cell>
          <cell r="AB29">
            <v>8</v>
          </cell>
          <cell r="AC29" t="str">
            <v>木造モルタル</v>
          </cell>
          <cell r="AD29" t="str">
            <v>倉庫木造モルタル</v>
          </cell>
          <cell r="AE29">
            <v>14</v>
          </cell>
          <cell r="AF29">
            <v>14</v>
          </cell>
          <cell r="AH29">
            <v>26</v>
          </cell>
          <cell r="AI29">
            <v>3.9E-2</v>
          </cell>
        </row>
        <row r="30">
          <cell r="Y30" t="str">
            <v>0377</v>
          </cell>
          <cell r="Z30">
            <v>3</v>
          </cell>
          <cell r="AA30" t="str">
            <v>倉庫</v>
          </cell>
          <cell r="AB30">
            <v>77</v>
          </cell>
          <cell r="AC30" t="str">
            <v>少額資産</v>
          </cell>
          <cell r="AD30" t="str">
            <v>倉庫少額資産</v>
          </cell>
          <cell r="AE30">
            <v>3</v>
          </cell>
          <cell r="AF30">
            <v>3</v>
          </cell>
          <cell r="AH30">
            <v>27</v>
          </cell>
          <cell r="AI30">
            <v>3.7999999999999999E-2</v>
          </cell>
        </row>
        <row r="31">
          <cell r="Y31" t="str">
            <v>0501</v>
          </cell>
          <cell r="Z31">
            <v>5</v>
          </cell>
          <cell r="AA31" t="str">
            <v>作業場</v>
          </cell>
          <cell r="AB31">
            <v>1</v>
          </cell>
          <cell r="AC31" t="str">
            <v>木造</v>
          </cell>
          <cell r="AD31" t="str">
            <v>作業場木造</v>
          </cell>
          <cell r="AE31">
            <v>15</v>
          </cell>
          <cell r="AF31">
            <v>15</v>
          </cell>
          <cell r="AH31">
            <v>28</v>
          </cell>
          <cell r="AI31">
            <v>3.5999999999999997E-2</v>
          </cell>
        </row>
        <row r="32">
          <cell r="Y32" t="str">
            <v>0502</v>
          </cell>
          <cell r="Z32">
            <v>5</v>
          </cell>
          <cell r="AA32" t="str">
            <v>作業場</v>
          </cell>
          <cell r="AB32">
            <v>2</v>
          </cell>
          <cell r="AC32" t="str">
            <v>合成樹脂造</v>
          </cell>
          <cell r="AD32" t="str">
            <v>作業場合成樹脂造</v>
          </cell>
          <cell r="AE32">
            <v>15</v>
          </cell>
          <cell r="AF32">
            <v>15</v>
          </cell>
          <cell r="AH32">
            <v>29</v>
          </cell>
          <cell r="AI32">
            <v>3.5000000000000003E-2</v>
          </cell>
        </row>
        <row r="33">
          <cell r="Y33" t="str">
            <v>0503</v>
          </cell>
          <cell r="Z33">
            <v>5</v>
          </cell>
          <cell r="AA33" t="str">
            <v>作業場</v>
          </cell>
          <cell r="AB33">
            <v>3</v>
          </cell>
          <cell r="AC33" t="str">
            <v>鉄筋コンクリート</v>
          </cell>
          <cell r="AD33" t="str">
            <v>作業場鉄筋コンクリート</v>
          </cell>
          <cell r="AE33">
            <v>38</v>
          </cell>
          <cell r="AF33">
            <v>38</v>
          </cell>
          <cell r="AH33">
            <v>30</v>
          </cell>
          <cell r="AI33">
            <v>3.4000000000000002E-2</v>
          </cell>
        </row>
        <row r="34">
          <cell r="Y34" t="str">
            <v>0504</v>
          </cell>
          <cell r="Z34">
            <v>5</v>
          </cell>
          <cell r="AA34" t="str">
            <v>作業場</v>
          </cell>
          <cell r="AB34">
            <v>4</v>
          </cell>
          <cell r="AC34" t="str">
            <v>コンクリートブロック</v>
          </cell>
          <cell r="AD34" t="str">
            <v>作業場コンクリートブロック</v>
          </cell>
          <cell r="AE34">
            <v>34</v>
          </cell>
          <cell r="AF34">
            <v>34</v>
          </cell>
          <cell r="AH34">
            <v>31</v>
          </cell>
          <cell r="AI34">
            <v>3.3000000000000002E-2</v>
          </cell>
        </row>
        <row r="35">
          <cell r="Y35" t="str">
            <v>0505</v>
          </cell>
          <cell r="Z35">
            <v>5</v>
          </cell>
          <cell r="AA35" t="str">
            <v>作業場</v>
          </cell>
          <cell r="AB35">
            <v>5</v>
          </cell>
          <cell r="AC35" t="str">
            <v>鉄骨組３㎜以下</v>
          </cell>
          <cell r="AD35" t="str">
            <v>作業場鉄骨組３㎜以下</v>
          </cell>
          <cell r="AE35">
            <v>17</v>
          </cell>
          <cell r="AF35">
            <v>17</v>
          </cell>
          <cell r="AH35">
            <v>32</v>
          </cell>
          <cell r="AI35">
            <v>3.2000000000000001E-2</v>
          </cell>
        </row>
        <row r="36">
          <cell r="Y36" t="str">
            <v>0506</v>
          </cell>
          <cell r="Z36">
            <v>5</v>
          </cell>
          <cell r="AA36" t="str">
            <v>作業場</v>
          </cell>
          <cell r="AB36">
            <v>6</v>
          </cell>
          <cell r="AC36" t="str">
            <v>鉄骨組３～４㎜以下</v>
          </cell>
          <cell r="AD36" t="str">
            <v>作業場鉄骨組３～４㎜以下</v>
          </cell>
          <cell r="AE36">
            <v>24</v>
          </cell>
          <cell r="AF36">
            <v>24</v>
          </cell>
          <cell r="AH36">
            <v>33</v>
          </cell>
          <cell r="AI36">
            <v>3.1E-2</v>
          </cell>
        </row>
        <row r="37">
          <cell r="Y37" t="str">
            <v>0507</v>
          </cell>
          <cell r="Z37">
            <v>5</v>
          </cell>
          <cell r="AA37" t="str">
            <v>作業場</v>
          </cell>
          <cell r="AB37">
            <v>7</v>
          </cell>
          <cell r="AC37" t="str">
            <v>鉄骨組４㎜以上</v>
          </cell>
          <cell r="AD37" t="str">
            <v>作業場鉄骨組４㎜以上</v>
          </cell>
          <cell r="AE37">
            <v>31</v>
          </cell>
          <cell r="AF37">
            <v>31</v>
          </cell>
          <cell r="AH37">
            <v>34</v>
          </cell>
          <cell r="AI37">
            <v>0.03</v>
          </cell>
        </row>
        <row r="38">
          <cell r="Y38" t="str">
            <v>0508</v>
          </cell>
          <cell r="Z38">
            <v>5</v>
          </cell>
          <cell r="AA38" t="str">
            <v>作業場</v>
          </cell>
          <cell r="AB38">
            <v>8</v>
          </cell>
          <cell r="AC38" t="str">
            <v>木造モルタル</v>
          </cell>
          <cell r="AD38" t="str">
            <v>作業場木造モルタル</v>
          </cell>
          <cell r="AE38">
            <v>14</v>
          </cell>
          <cell r="AF38">
            <v>14</v>
          </cell>
          <cell r="AH38">
            <v>35</v>
          </cell>
          <cell r="AI38">
            <v>2.9000000000000001E-2</v>
          </cell>
        </row>
        <row r="39">
          <cell r="Y39" t="str">
            <v>0577</v>
          </cell>
          <cell r="Z39">
            <v>5</v>
          </cell>
          <cell r="AA39" t="str">
            <v>作業場</v>
          </cell>
          <cell r="AB39">
            <v>77</v>
          </cell>
          <cell r="AC39" t="str">
            <v>少額資産</v>
          </cell>
          <cell r="AD39" t="str">
            <v>作業場少額資産</v>
          </cell>
          <cell r="AE39">
            <v>3</v>
          </cell>
          <cell r="AF39">
            <v>3</v>
          </cell>
          <cell r="AH39">
            <v>36</v>
          </cell>
          <cell r="AI39">
            <v>2.8000000000000001E-2</v>
          </cell>
        </row>
        <row r="40">
          <cell r="Y40" t="str">
            <v>1001</v>
          </cell>
          <cell r="Z40">
            <v>10</v>
          </cell>
          <cell r="AA40" t="str">
            <v>貯蔵庫</v>
          </cell>
          <cell r="AB40">
            <v>1</v>
          </cell>
          <cell r="AC40" t="str">
            <v>木造</v>
          </cell>
          <cell r="AD40" t="str">
            <v>貯蔵庫木造</v>
          </cell>
          <cell r="AE40">
            <v>15</v>
          </cell>
          <cell r="AF40">
            <v>15</v>
          </cell>
          <cell r="AH40">
            <v>37</v>
          </cell>
          <cell r="AI40">
            <v>2.8000000000000001E-2</v>
          </cell>
        </row>
        <row r="41">
          <cell r="Y41" t="str">
            <v>1002</v>
          </cell>
          <cell r="Z41">
            <v>10</v>
          </cell>
          <cell r="AA41" t="str">
            <v>貯蔵庫</v>
          </cell>
          <cell r="AB41">
            <v>2</v>
          </cell>
          <cell r="AC41" t="str">
            <v>合成樹脂造</v>
          </cell>
          <cell r="AD41" t="str">
            <v>貯蔵庫合成樹脂造</v>
          </cell>
          <cell r="AE41">
            <v>15</v>
          </cell>
          <cell r="AF41">
            <v>15</v>
          </cell>
          <cell r="AH41">
            <v>38</v>
          </cell>
          <cell r="AI41">
            <v>2.7E-2</v>
          </cell>
        </row>
        <row r="42">
          <cell r="Y42" t="str">
            <v>1003</v>
          </cell>
          <cell r="Z42">
            <v>10</v>
          </cell>
          <cell r="AA42" t="str">
            <v>貯蔵庫</v>
          </cell>
          <cell r="AB42">
            <v>3</v>
          </cell>
          <cell r="AC42" t="str">
            <v>鉄筋コンクリート</v>
          </cell>
          <cell r="AD42" t="str">
            <v>貯蔵庫鉄筋コンクリート</v>
          </cell>
          <cell r="AE42">
            <v>38</v>
          </cell>
          <cell r="AF42">
            <v>38</v>
          </cell>
          <cell r="AH42">
            <v>39</v>
          </cell>
          <cell r="AI42">
            <v>2.5999999999999999E-2</v>
          </cell>
        </row>
        <row r="43">
          <cell r="Y43" t="str">
            <v>1004</v>
          </cell>
          <cell r="Z43">
            <v>10</v>
          </cell>
          <cell r="AA43" t="str">
            <v>貯蔵庫</v>
          </cell>
          <cell r="AB43">
            <v>4</v>
          </cell>
          <cell r="AC43" t="str">
            <v>コンクリートブロック</v>
          </cell>
          <cell r="AD43" t="str">
            <v>貯蔵庫コンクリートブロック</v>
          </cell>
          <cell r="AE43">
            <v>34</v>
          </cell>
          <cell r="AF43">
            <v>34</v>
          </cell>
          <cell r="AH43">
            <v>40</v>
          </cell>
          <cell r="AI43">
            <v>2.5000000000000001E-2</v>
          </cell>
        </row>
        <row r="44">
          <cell r="Y44" t="str">
            <v>1005</v>
          </cell>
          <cell r="Z44">
            <v>10</v>
          </cell>
          <cell r="AA44" t="str">
            <v>貯蔵庫</v>
          </cell>
          <cell r="AB44">
            <v>5</v>
          </cell>
          <cell r="AC44" t="str">
            <v>鉄骨組３㎜以下</v>
          </cell>
          <cell r="AD44" t="str">
            <v>貯蔵庫鉄骨組３㎜以下</v>
          </cell>
          <cell r="AE44">
            <v>17</v>
          </cell>
          <cell r="AF44">
            <v>17</v>
          </cell>
          <cell r="AH44">
            <v>41</v>
          </cell>
          <cell r="AI44">
            <v>2.5000000000000001E-2</v>
          </cell>
        </row>
        <row r="45">
          <cell r="Y45" t="str">
            <v>1006</v>
          </cell>
          <cell r="Z45">
            <v>10</v>
          </cell>
          <cell r="AA45" t="str">
            <v>貯蔵庫</v>
          </cell>
          <cell r="AB45">
            <v>6</v>
          </cell>
          <cell r="AC45" t="str">
            <v>鉄骨組３～４㎜以下</v>
          </cell>
          <cell r="AD45" t="str">
            <v>貯蔵庫鉄骨組３～４㎜以下</v>
          </cell>
          <cell r="AE45">
            <v>24</v>
          </cell>
          <cell r="AF45">
            <v>24</v>
          </cell>
          <cell r="AH45">
            <v>42</v>
          </cell>
          <cell r="AI45">
            <v>2.4E-2</v>
          </cell>
        </row>
        <row r="46">
          <cell r="Y46" t="str">
            <v>1007</v>
          </cell>
          <cell r="Z46">
            <v>10</v>
          </cell>
          <cell r="AA46" t="str">
            <v>貯蔵庫</v>
          </cell>
          <cell r="AB46">
            <v>7</v>
          </cell>
          <cell r="AC46" t="str">
            <v>鉄骨組４㎜以上</v>
          </cell>
          <cell r="AD46" t="str">
            <v>貯蔵庫鉄骨組４㎜以上</v>
          </cell>
          <cell r="AE46">
            <v>31</v>
          </cell>
          <cell r="AF46">
            <v>31</v>
          </cell>
          <cell r="AH46">
            <v>43</v>
          </cell>
          <cell r="AI46">
            <v>2.4E-2</v>
          </cell>
        </row>
        <row r="47">
          <cell r="Y47" t="str">
            <v>1008</v>
          </cell>
          <cell r="Z47">
            <v>10</v>
          </cell>
          <cell r="AA47" t="str">
            <v>貯蔵庫</v>
          </cell>
          <cell r="AB47">
            <v>8</v>
          </cell>
          <cell r="AC47" t="str">
            <v>木造モルタル</v>
          </cell>
          <cell r="AD47" t="str">
            <v>貯蔵庫木造モルタル</v>
          </cell>
          <cell r="AE47">
            <v>14</v>
          </cell>
          <cell r="AF47">
            <v>14</v>
          </cell>
          <cell r="AH47">
            <v>44</v>
          </cell>
          <cell r="AI47">
            <v>2.3E-2</v>
          </cell>
        </row>
        <row r="48">
          <cell r="Y48" t="str">
            <v>1077</v>
          </cell>
          <cell r="Z48">
            <v>10</v>
          </cell>
          <cell r="AA48" t="str">
            <v>貯蔵庫</v>
          </cell>
          <cell r="AB48">
            <v>77</v>
          </cell>
          <cell r="AC48" t="str">
            <v>少額資産</v>
          </cell>
          <cell r="AD48" t="str">
            <v>貯蔵庫少額資産</v>
          </cell>
          <cell r="AE48">
            <v>3</v>
          </cell>
          <cell r="AF48">
            <v>3</v>
          </cell>
          <cell r="AH48">
            <v>45</v>
          </cell>
          <cell r="AI48">
            <v>2.3E-2</v>
          </cell>
        </row>
        <row r="49">
          <cell r="Y49" t="str">
            <v>1101</v>
          </cell>
          <cell r="Z49">
            <v>11</v>
          </cell>
          <cell r="AA49" t="str">
            <v>クーラー室</v>
          </cell>
          <cell r="AB49">
            <v>1</v>
          </cell>
          <cell r="AC49" t="str">
            <v>木造</v>
          </cell>
          <cell r="AD49" t="str">
            <v>クーラー室木造</v>
          </cell>
          <cell r="AE49">
            <v>15</v>
          </cell>
          <cell r="AF49">
            <v>15</v>
          </cell>
          <cell r="AH49">
            <v>46</v>
          </cell>
          <cell r="AI49">
            <v>2.1999999999999999E-2</v>
          </cell>
        </row>
        <row r="50">
          <cell r="Y50" t="str">
            <v>1102</v>
          </cell>
          <cell r="Z50">
            <v>11</v>
          </cell>
          <cell r="AA50" t="str">
            <v>クーラー室</v>
          </cell>
          <cell r="AB50">
            <v>2</v>
          </cell>
          <cell r="AC50" t="str">
            <v>合成樹脂造</v>
          </cell>
          <cell r="AD50" t="str">
            <v>クーラー室合成樹脂造</v>
          </cell>
          <cell r="AE50">
            <v>15</v>
          </cell>
          <cell r="AF50">
            <v>15</v>
          </cell>
          <cell r="AH50">
            <v>47</v>
          </cell>
          <cell r="AI50">
            <v>2.1999999999999999E-2</v>
          </cell>
        </row>
        <row r="51">
          <cell r="Y51" t="str">
            <v>1103</v>
          </cell>
          <cell r="Z51">
            <v>11</v>
          </cell>
          <cell r="AA51" t="str">
            <v>クーラー室</v>
          </cell>
          <cell r="AB51">
            <v>3</v>
          </cell>
          <cell r="AC51" t="str">
            <v>鉄筋コンクリート</v>
          </cell>
          <cell r="AD51" t="str">
            <v>クーラー室鉄筋コンクリート</v>
          </cell>
          <cell r="AE51">
            <v>38</v>
          </cell>
          <cell r="AF51">
            <v>38</v>
          </cell>
          <cell r="AH51">
            <v>48</v>
          </cell>
          <cell r="AI51">
            <v>2.1000000000000001E-2</v>
          </cell>
        </row>
        <row r="52">
          <cell r="Y52" t="str">
            <v>1104</v>
          </cell>
          <cell r="Z52">
            <v>11</v>
          </cell>
          <cell r="AA52" t="str">
            <v>クーラー室</v>
          </cell>
          <cell r="AB52">
            <v>4</v>
          </cell>
          <cell r="AC52" t="str">
            <v>コンクリートブロック</v>
          </cell>
          <cell r="AD52" t="str">
            <v>クーラー室コンクリートブロック</v>
          </cell>
          <cell r="AE52">
            <v>34</v>
          </cell>
          <cell r="AF52">
            <v>34</v>
          </cell>
          <cell r="AH52">
            <v>49</v>
          </cell>
          <cell r="AI52">
            <v>2.1000000000000001E-2</v>
          </cell>
        </row>
        <row r="53">
          <cell r="Y53" t="str">
            <v>1105</v>
          </cell>
          <cell r="Z53">
            <v>11</v>
          </cell>
          <cell r="AA53" t="str">
            <v>クーラー室</v>
          </cell>
          <cell r="AB53">
            <v>5</v>
          </cell>
          <cell r="AC53" t="str">
            <v>鉄骨組３㎜以下</v>
          </cell>
          <cell r="AD53" t="str">
            <v>クーラー室鉄骨組３㎜以下</v>
          </cell>
          <cell r="AE53">
            <v>17</v>
          </cell>
          <cell r="AF53">
            <v>17</v>
          </cell>
          <cell r="AH53">
            <v>50</v>
          </cell>
          <cell r="AI53">
            <v>0.02</v>
          </cell>
        </row>
        <row r="54">
          <cell r="Y54" t="str">
            <v>1106</v>
          </cell>
          <cell r="Z54">
            <v>11</v>
          </cell>
          <cell r="AA54" t="str">
            <v>クーラー室</v>
          </cell>
          <cell r="AB54">
            <v>6</v>
          </cell>
          <cell r="AC54" t="str">
            <v>鉄骨組３～４㎜以下</v>
          </cell>
          <cell r="AD54" t="str">
            <v>クーラー室鉄骨組３～４㎜以下</v>
          </cell>
          <cell r="AE54">
            <v>24</v>
          </cell>
          <cell r="AF54">
            <v>24</v>
          </cell>
          <cell r="AH54">
            <v>51</v>
          </cell>
          <cell r="AI54">
            <v>0.02</v>
          </cell>
        </row>
        <row r="55">
          <cell r="Y55" t="str">
            <v>1107</v>
          </cell>
          <cell r="Z55">
            <v>11</v>
          </cell>
          <cell r="AA55" t="str">
            <v>クーラー室</v>
          </cell>
          <cell r="AB55">
            <v>7</v>
          </cell>
          <cell r="AC55" t="str">
            <v>鉄骨組４㎜以上</v>
          </cell>
          <cell r="AD55" t="str">
            <v>クーラー室鉄骨組４㎜以上</v>
          </cell>
          <cell r="AE55">
            <v>31</v>
          </cell>
          <cell r="AF55">
            <v>31</v>
          </cell>
          <cell r="AH55">
            <v>52</v>
          </cell>
          <cell r="AI55">
            <v>0.02</v>
          </cell>
        </row>
        <row r="56">
          <cell r="Y56" t="str">
            <v>1108</v>
          </cell>
          <cell r="Z56">
            <v>11</v>
          </cell>
          <cell r="AA56" t="str">
            <v>クーラー室</v>
          </cell>
          <cell r="AB56">
            <v>8</v>
          </cell>
          <cell r="AC56" t="str">
            <v>木造モルタル</v>
          </cell>
          <cell r="AD56" t="str">
            <v>クーラー室木造モルタル</v>
          </cell>
          <cell r="AE56">
            <v>14</v>
          </cell>
          <cell r="AF56">
            <v>14</v>
          </cell>
          <cell r="AH56">
            <v>53</v>
          </cell>
          <cell r="AI56">
            <v>1.9E-2</v>
          </cell>
        </row>
        <row r="57">
          <cell r="Y57" t="str">
            <v>1177</v>
          </cell>
          <cell r="Z57">
            <v>11</v>
          </cell>
          <cell r="AA57" t="str">
            <v>クーラー室</v>
          </cell>
          <cell r="AB57">
            <v>77</v>
          </cell>
          <cell r="AC57" t="str">
            <v>少額資産</v>
          </cell>
          <cell r="AD57" t="str">
            <v>クーラー室少額資産</v>
          </cell>
          <cell r="AE57">
            <v>3</v>
          </cell>
          <cell r="AF57">
            <v>3</v>
          </cell>
          <cell r="AH57">
            <v>54</v>
          </cell>
          <cell r="AI57">
            <v>1.9E-2</v>
          </cell>
        </row>
        <row r="58">
          <cell r="Y58" t="str">
            <v>1301</v>
          </cell>
          <cell r="Z58">
            <v>13</v>
          </cell>
          <cell r="AA58" t="str">
            <v>車庫</v>
          </cell>
          <cell r="AB58">
            <v>1</v>
          </cell>
          <cell r="AC58" t="str">
            <v>木造</v>
          </cell>
          <cell r="AD58" t="str">
            <v>車庫木造</v>
          </cell>
          <cell r="AE58">
            <v>17</v>
          </cell>
          <cell r="AF58">
            <v>17</v>
          </cell>
          <cell r="AH58">
            <v>55</v>
          </cell>
          <cell r="AI58">
            <v>1.9E-2</v>
          </cell>
        </row>
        <row r="59">
          <cell r="Y59" t="str">
            <v>1302</v>
          </cell>
          <cell r="Z59">
            <v>13</v>
          </cell>
          <cell r="AA59" t="str">
            <v>車庫</v>
          </cell>
          <cell r="AB59">
            <v>2</v>
          </cell>
          <cell r="AC59" t="str">
            <v>合成樹脂造</v>
          </cell>
          <cell r="AD59" t="str">
            <v>車庫合成樹脂造</v>
          </cell>
          <cell r="AE59">
            <v>17</v>
          </cell>
          <cell r="AF59">
            <v>17</v>
          </cell>
          <cell r="AH59">
            <v>56</v>
          </cell>
          <cell r="AI59">
            <v>1.7999999999999999E-2</v>
          </cell>
        </row>
        <row r="60">
          <cell r="Y60" t="str">
            <v>1303</v>
          </cell>
          <cell r="Z60">
            <v>13</v>
          </cell>
          <cell r="AA60" t="str">
            <v>車庫</v>
          </cell>
          <cell r="AB60">
            <v>3</v>
          </cell>
          <cell r="AC60" t="str">
            <v>鉄筋コンクリート</v>
          </cell>
          <cell r="AD60" t="str">
            <v>車庫鉄筋コンクリート</v>
          </cell>
          <cell r="AE60">
            <v>38</v>
          </cell>
          <cell r="AF60">
            <v>38</v>
          </cell>
          <cell r="AH60">
            <v>57</v>
          </cell>
          <cell r="AI60">
            <v>1.7999999999999999E-2</v>
          </cell>
        </row>
        <row r="61">
          <cell r="Y61" t="str">
            <v>1304</v>
          </cell>
          <cell r="Z61">
            <v>13</v>
          </cell>
          <cell r="AA61" t="str">
            <v>車庫</v>
          </cell>
          <cell r="AB61">
            <v>4</v>
          </cell>
          <cell r="AC61" t="str">
            <v>コンクリートブロック</v>
          </cell>
          <cell r="AD61" t="str">
            <v>車庫コンクリートブロック</v>
          </cell>
          <cell r="AE61">
            <v>34</v>
          </cell>
          <cell r="AF61">
            <v>34</v>
          </cell>
          <cell r="AH61">
            <v>58</v>
          </cell>
          <cell r="AI61">
            <v>1.7999999999999999E-2</v>
          </cell>
        </row>
        <row r="62">
          <cell r="Y62" t="str">
            <v>1305</v>
          </cell>
          <cell r="Z62">
            <v>13</v>
          </cell>
          <cell r="AA62" t="str">
            <v>車庫</v>
          </cell>
          <cell r="AB62">
            <v>5</v>
          </cell>
          <cell r="AC62" t="str">
            <v>鉄骨組３㎜以下</v>
          </cell>
          <cell r="AD62" t="str">
            <v>車庫鉄骨組３㎜以下</v>
          </cell>
          <cell r="AE62">
            <v>19</v>
          </cell>
          <cell r="AF62">
            <v>19</v>
          </cell>
          <cell r="AH62">
            <v>59</v>
          </cell>
          <cell r="AI62">
            <v>1.7000000000000001E-2</v>
          </cell>
        </row>
        <row r="63">
          <cell r="Y63" t="str">
            <v>1306</v>
          </cell>
          <cell r="Z63">
            <v>13</v>
          </cell>
          <cell r="AA63" t="str">
            <v>車庫</v>
          </cell>
          <cell r="AB63">
            <v>6</v>
          </cell>
          <cell r="AC63" t="str">
            <v>鉄骨組３～４㎜以下</v>
          </cell>
          <cell r="AD63" t="str">
            <v>車庫鉄骨組３～４㎜以下</v>
          </cell>
          <cell r="AE63">
            <v>25</v>
          </cell>
          <cell r="AF63">
            <v>25</v>
          </cell>
          <cell r="AH63">
            <v>60</v>
          </cell>
          <cell r="AI63">
            <v>1.7000000000000001E-2</v>
          </cell>
        </row>
        <row r="64">
          <cell r="Y64" t="str">
            <v>1307</v>
          </cell>
          <cell r="Z64">
            <v>13</v>
          </cell>
          <cell r="AA64" t="str">
            <v>車庫</v>
          </cell>
          <cell r="AB64">
            <v>7</v>
          </cell>
          <cell r="AC64" t="str">
            <v>鉄骨組４㎜以上</v>
          </cell>
          <cell r="AD64" t="str">
            <v>車庫鉄骨組４㎜以上</v>
          </cell>
          <cell r="AE64">
            <v>31</v>
          </cell>
          <cell r="AF64">
            <v>31</v>
          </cell>
          <cell r="AH64">
            <v>61</v>
          </cell>
          <cell r="AI64">
            <v>1.7000000000000001E-2</v>
          </cell>
        </row>
        <row r="65">
          <cell r="Y65" t="str">
            <v>1308</v>
          </cell>
          <cell r="Z65">
            <v>13</v>
          </cell>
          <cell r="AA65" t="str">
            <v>車庫</v>
          </cell>
          <cell r="AB65">
            <v>8</v>
          </cell>
          <cell r="AC65" t="str">
            <v>木造モルタル</v>
          </cell>
          <cell r="AD65" t="str">
            <v>車庫木造モルタル</v>
          </cell>
          <cell r="AE65">
            <v>15</v>
          </cell>
          <cell r="AF65">
            <v>15</v>
          </cell>
          <cell r="AH65">
            <v>62</v>
          </cell>
          <cell r="AI65">
            <v>1.7000000000000001E-2</v>
          </cell>
        </row>
        <row r="66">
          <cell r="Y66" t="str">
            <v>1377</v>
          </cell>
          <cell r="Z66">
            <v>13</v>
          </cell>
          <cell r="AA66" t="str">
            <v>車庫</v>
          </cell>
          <cell r="AB66">
            <v>77</v>
          </cell>
          <cell r="AC66" t="str">
            <v>少額資産</v>
          </cell>
          <cell r="AD66" t="str">
            <v>車庫少額資産</v>
          </cell>
          <cell r="AE66">
            <v>3</v>
          </cell>
          <cell r="AF66">
            <v>3</v>
          </cell>
          <cell r="AH66">
            <v>63</v>
          </cell>
          <cell r="AI66">
            <v>1.6E-2</v>
          </cell>
        </row>
        <row r="67">
          <cell r="Y67" t="str">
            <v>1401</v>
          </cell>
          <cell r="Z67">
            <v>14</v>
          </cell>
          <cell r="AA67" t="str">
            <v>たい肥舎</v>
          </cell>
          <cell r="AB67">
            <v>1</v>
          </cell>
          <cell r="AC67" t="str">
            <v>木造</v>
          </cell>
          <cell r="AD67" t="str">
            <v>たい肥舎木造</v>
          </cell>
          <cell r="AE67">
            <v>17</v>
          </cell>
          <cell r="AF67">
            <v>17</v>
          </cell>
          <cell r="AH67">
            <v>64</v>
          </cell>
          <cell r="AI67">
            <v>1.6E-2</v>
          </cell>
        </row>
        <row r="68">
          <cell r="Y68" t="str">
            <v>1402</v>
          </cell>
          <cell r="Z68">
            <v>14</v>
          </cell>
          <cell r="AA68" t="str">
            <v>たい肥舎</v>
          </cell>
          <cell r="AB68">
            <v>2</v>
          </cell>
          <cell r="AC68" t="str">
            <v>合成樹脂造</v>
          </cell>
          <cell r="AD68" t="str">
            <v>たい肥舎合成樹脂造</v>
          </cell>
          <cell r="AE68">
            <v>17</v>
          </cell>
          <cell r="AF68">
            <v>17</v>
          </cell>
          <cell r="AH68">
            <v>65</v>
          </cell>
          <cell r="AI68">
            <v>1.6E-2</v>
          </cell>
        </row>
        <row r="69">
          <cell r="Y69" t="str">
            <v>1403</v>
          </cell>
          <cell r="Z69">
            <v>14</v>
          </cell>
          <cell r="AA69" t="str">
            <v>たい肥舎</v>
          </cell>
          <cell r="AB69">
            <v>3</v>
          </cell>
          <cell r="AC69" t="str">
            <v>鉄筋コンクリート</v>
          </cell>
          <cell r="AD69" t="str">
            <v>たい肥舎鉄筋コンクリート</v>
          </cell>
          <cell r="AE69">
            <v>38</v>
          </cell>
          <cell r="AF69">
            <v>38</v>
          </cell>
          <cell r="AH69">
            <v>66</v>
          </cell>
          <cell r="AI69">
            <v>1.6E-2</v>
          </cell>
        </row>
        <row r="70">
          <cell r="Y70" t="str">
            <v>1404</v>
          </cell>
          <cell r="Z70">
            <v>14</v>
          </cell>
          <cell r="AA70" t="str">
            <v>たい肥舎</v>
          </cell>
          <cell r="AB70">
            <v>4</v>
          </cell>
          <cell r="AC70" t="str">
            <v>コンクリートブロック</v>
          </cell>
          <cell r="AD70" t="str">
            <v>たい肥舎コンクリートブロック</v>
          </cell>
          <cell r="AE70">
            <v>34</v>
          </cell>
          <cell r="AF70">
            <v>34</v>
          </cell>
          <cell r="AH70">
            <v>67</v>
          </cell>
          <cell r="AI70">
            <v>1.4999999999999999E-2</v>
          </cell>
        </row>
        <row r="71">
          <cell r="Y71" t="str">
            <v>1405</v>
          </cell>
          <cell r="Z71">
            <v>14</v>
          </cell>
          <cell r="AA71" t="str">
            <v>たい肥舎</v>
          </cell>
          <cell r="AB71">
            <v>5</v>
          </cell>
          <cell r="AC71" t="str">
            <v>鉄骨組３㎜以下</v>
          </cell>
          <cell r="AD71" t="str">
            <v>たい肥舎鉄骨組３㎜以下</v>
          </cell>
          <cell r="AE71">
            <v>19</v>
          </cell>
          <cell r="AF71">
            <v>19</v>
          </cell>
          <cell r="AH71">
            <v>68</v>
          </cell>
          <cell r="AI71">
            <v>1.4999999999999999E-2</v>
          </cell>
        </row>
        <row r="72">
          <cell r="Y72" t="str">
            <v>1406</v>
          </cell>
          <cell r="Z72">
            <v>14</v>
          </cell>
          <cell r="AA72" t="str">
            <v>たい肥舎</v>
          </cell>
          <cell r="AB72">
            <v>6</v>
          </cell>
          <cell r="AC72" t="str">
            <v>鉄骨組３～４㎜以下</v>
          </cell>
          <cell r="AD72" t="str">
            <v>たい肥舎鉄骨組３～４㎜以下</v>
          </cell>
          <cell r="AE72">
            <v>25</v>
          </cell>
          <cell r="AF72">
            <v>25</v>
          </cell>
          <cell r="AH72">
            <v>69</v>
          </cell>
          <cell r="AI72">
            <v>1.4999999999999999E-2</v>
          </cell>
        </row>
        <row r="73">
          <cell r="Y73" t="str">
            <v>1407</v>
          </cell>
          <cell r="Z73">
            <v>14</v>
          </cell>
          <cell r="AA73" t="str">
            <v>たい肥舎</v>
          </cell>
          <cell r="AB73">
            <v>7</v>
          </cell>
          <cell r="AC73" t="str">
            <v>鉄骨組４㎜以上</v>
          </cell>
          <cell r="AD73" t="str">
            <v>たい肥舎鉄骨組４㎜以上</v>
          </cell>
          <cell r="AE73">
            <v>31</v>
          </cell>
          <cell r="AF73">
            <v>31</v>
          </cell>
          <cell r="AH73">
            <v>70</v>
          </cell>
          <cell r="AI73">
            <v>1.4999999999999999E-2</v>
          </cell>
        </row>
        <row r="74">
          <cell r="Y74" t="str">
            <v>1408</v>
          </cell>
          <cell r="Z74">
            <v>14</v>
          </cell>
          <cell r="AA74" t="str">
            <v>たい肥舎</v>
          </cell>
          <cell r="AB74">
            <v>8</v>
          </cell>
          <cell r="AC74" t="str">
            <v>木造モルタル</v>
          </cell>
          <cell r="AD74" t="str">
            <v>たい肥舎木造モルタル</v>
          </cell>
          <cell r="AE74">
            <v>15</v>
          </cell>
          <cell r="AF74">
            <v>15</v>
          </cell>
          <cell r="AH74">
            <v>71</v>
          </cell>
          <cell r="AI74">
            <v>1.4999999999999999E-2</v>
          </cell>
        </row>
        <row r="75">
          <cell r="Y75" t="str">
            <v>1477</v>
          </cell>
          <cell r="Z75">
            <v>14</v>
          </cell>
          <cell r="AA75" t="str">
            <v>たい肥舎</v>
          </cell>
          <cell r="AB75">
            <v>77</v>
          </cell>
          <cell r="AC75" t="str">
            <v>少額資産</v>
          </cell>
          <cell r="AD75" t="str">
            <v>たい肥舎少額資産</v>
          </cell>
          <cell r="AE75">
            <v>3</v>
          </cell>
          <cell r="AF75">
            <v>3</v>
          </cell>
          <cell r="AH75">
            <v>72</v>
          </cell>
          <cell r="AI75">
            <v>1.4E-2</v>
          </cell>
        </row>
        <row r="76">
          <cell r="Y76" t="str">
            <v>1601</v>
          </cell>
          <cell r="Z76">
            <v>16</v>
          </cell>
          <cell r="AA76" t="str">
            <v>ライスセンター</v>
          </cell>
          <cell r="AB76">
            <v>1</v>
          </cell>
          <cell r="AC76" t="str">
            <v>木造</v>
          </cell>
          <cell r="AD76" t="str">
            <v>ライスセンター木造</v>
          </cell>
          <cell r="AE76">
            <v>15</v>
          </cell>
          <cell r="AF76">
            <v>15</v>
          </cell>
          <cell r="AH76">
            <v>73</v>
          </cell>
          <cell r="AI76">
            <v>1.4E-2</v>
          </cell>
        </row>
        <row r="77">
          <cell r="Y77" t="str">
            <v>1602</v>
          </cell>
          <cell r="Z77">
            <v>16</v>
          </cell>
          <cell r="AA77" t="str">
            <v>ライスセンター</v>
          </cell>
          <cell r="AB77">
            <v>2</v>
          </cell>
          <cell r="AC77" t="str">
            <v>合成樹脂造</v>
          </cell>
          <cell r="AD77" t="str">
            <v>ライスセンター合成樹脂造</v>
          </cell>
          <cell r="AE77">
            <v>15</v>
          </cell>
          <cell r="AF77">
            <v>15</v>
          </cell>
          <cell r="AH77">
            <v>74</v>
          </cell>
          <cell r="AI77">
            <v>1.4E-2</v>
          </cell>
        </row>
        <row r="78">
          <cell r="Y78" t="str">
            <v>1603</v>
          </cell>
          <cell r="Z78">
            <v>16</v>
          </cell>
          <cell r="AA78" t="str">
            <v>ライスセンター</v>
          </cell>
          <cell r="AB78">
            <v>3</v>
          </cell>
          <cell r="AC78" t="str">
            <v>鉄筋コンクリート</v>
          </cell>
          <cell r="AD78" t="str">
            <v>ライスセンター鉄筋コンクリート</v>
          </cell>
          <cell r="AE78">
            <v>38</v>
          </cell>
          <cell r="AF78">
            <v>38</v>
          </cell>
          <cell r="AH78">
            <v>75</v>
          </cell>
          <cell r="AI78">
            <v>1.4E-2</v>
          </cell>
        </row>
        <row r="79">
          <cell r="Y79" t="str">
            <v>1604</v>
          </cell>
          <cell r="Z79">
            <v>16</v>
          </cell>
          <cell r="AA79" t="str">
            <v>ライスセンター</v>
          </cell>
          <cell r="AB79">
            <v>4</v>
          </cell>
          <cell r="AC79" t="str">
            <v>コンクリートブロック</v>
          </cell>
          <cell r="AD79" t="str">
            <v>ライスセンターコンクリートブロック</v>
          </cell>
          <cell r="AE79">
            <v>34</v>
          </cell>
          <cell r="AF79">
            <v>34</v>
          </cell>
          <cell r="AH79">
            <v>76</v>
          </cell>
          <cell r="AI79">
            <v>1.4E-2</v>
          </cell>
        </row>
        <row r="80">
          <cell r="Y80" t="str">
            <v>1605</v>
          </cell>
          <cell r="Z80">
            <v>16</v>
          </cell>
          <cell r="AA80" t="str">
            <v>ライスセンター</v>
          </cell>
          <cell r="AB80">
            <v>5</v>
          </cell>
          <cell r="AC80" t="str">
            <v>鉄骨組３㎜以下</v>
          </cell>
          <cell r="AD80" t="str">
            <v>ライスセンター鉄骨組３㎜以下</v>
          </cell>
          <cell r="AE80">
            <v>17</v>
          </cell>
          <cell r="AF80">
            <v>17</v>
          </cell>
          <cell r="AH80">
            <v>77</v>
          </cell>
          <cell r="AI80">
            <v>1.2999999999999999E-2</v>
          </cell>
        </row>
        <row r="81">
          <cell r="Y81" t="str">
            <v>1606</v>
          </cell>
          <cell r="Z81">
            <v>16</v>
          </cell>
          <cell r="AA81" t="str">
            <v>ライスセンター</v>
          </cell>
          <cell r="AB81">
            <v>6</v>
          </cell>
          <cell r="AC81" t="str">
            <v>鉄骨組３～４㎜以下</v>
          </cell>
          <cell r="AD81" t="str">
            <v>ライスセンター鉄骨組３～４㎜以下</v>
          </cell>
          <cell r="AE81">
            <v>24</v>
          </cell>
          <cell r="AF81">
            <v>24</v>
          </cell>
          <cell r="AH81">
            <v>78</v>
          </cell>
          <cell r="AI81">
            <v>1.2999999999999999E-2</v>
          </cell>
        </row>
        <row r="82">
          <cell r="Y82" t="str">
            <v>1607</v>
          </cell>
          <cell r="Z82">
            <v>16</v>
          </cell>
          <cell r="AA82" t="str">
            <v>ライスセンター</v>
          </cell>
          <cell r="AB82">
            <v>7</v>
          </cell>
          <cell r="AC82" t="str">
            <v>鉄骨組４㎜以上</v>
          </cell>
          <cell r="AD82" t="str">
            <v>ライスセンター鉄骨組４㎜以上</v>
          </cell>
          <cell r="AE82">
            <v>31</v>
          </cell>
          <cell r="AF82">
            <v>31</v>
          </cell>
          <cell r="AH82">
            <v>79</v>
          </cell>
          <cell r="AI82">
            <v>1.2999999999999999E-2</v>
          </cell>
        </row>
        <row r="83">
          <cell r="Y83" t="str">
            <v>1608</v>
          </cell>
          <cell r="Z83">
            <v>16</v>
          </cell>
          <cell r="AA83" t="str">
            <v>ライスセンター</v>
          </cell>
          <cell r="AB83">
            <v>8</v>
          </cell>
          <cell r="AC83" t="str">
            <v>木造モルタル</v>
          </cell>
          <cell r="AD83" t="str">
            <v>ライスセンター木造モルタル</v>
          </cell>
          <cell r="AE83">
            <v>14</v>
          </cell>
          <cell r="AF83">
            <v>14</v>
          </cell>
          <cell r="AH83">
            <v>80</v>
          </cell>
          <cell r="AI83">
            <v>1.2999999999999999E-2</v>
          </cell>
        </row>
        <row r="84">
          <cell r="Y84" t="str">
            <v>1677</v>
          </cell>
          <cell r="Z84">
            <v>16</v>
          </cell>
          <cell r="AA84" t="str">
            <v>ライスセンター</v>
          </cell>
          <cell r="AB84">
            <v>77</v>
          </cell>
          <cell r="AC84" t="str">
            <v>少額資産</v>
          </cell>
          <cell r="AD84" t="str">
            <v>ライスセンター少額資産</v>
          </cell>
          <cell r="AE84">
            <v>3</v>
          </cell>
          <cell r="AF84">
            <v>3</v>
          </cell>
          <cell r="AH84">
            <v>81</v>
          </cell>
          <cell r="AI84">
            <v>1.2999999999999999E-2</v>
          </cell>
        </row>
        <row r="85">
          <cell r="Y85" t="str">
            <v>1701</v>
          </cell>
          <cell r="Z85">
            <v>17</v>
          </cell>
          <cell r="AA85" t="str">
            <v>その他の本建築物</v>
          </cell>
          <cell r="AB85">
            <v>1</v>
          </cell>
          <cell r="AC85" t="str">
            <v>木造</v>
          </cell>
          <cell r="AD85" t="str">
            <v>その他の本建築物木造</v>
          </cell>
          <cell r="AE85">
            <v>15</v>
          </cell>
          <cell r="AF85">
            <v>15</v>
          </cell>
          <cell r="AH85">
            <v>82</v>
          </cell>
          <cell r="AI85">
            <v>1.2999999999999999E-2</v>
          </cell>
        </row>
        <row r="86">
          <cell r="Y86" t="str">
            <v>1702</v>
          </cell>
          <cell r="Z86">
            <v>17</v>
          </cell>
          <cell r="AA86" t="str">
            <v>その他の本建築物</v>
          </cell>
          <cell r="AB86">
            <v>2</v>
          </cell>
          <cell r="AC86" t="str">
            <v>合成樹脂造</v>
          </cell>
          <cell r="AD86" t="str">
            <v>その他の本建築物合成樹脂造</v>
          </cell>
          <cell r="AE86">
            <v>15</v>
          </cell>
          <cell r="AF86">
            <v>15</v>
          </cell>
          <cell r="AH86">
            <v>83</v>
          </cell>
          <cell r="AI86">
            <v>1.2999999999999999E-2</v>
          </cell>
        </row>
        <row r="87">
          <cell r="Y87" t="str">
            <v>1703</v>
          </cell>
          <cell r="Z87">
            <v>17</v>
          </cell>
          <cell r="AA87" t="str">
            <v>その他の本建築物</v>
          </cell>
          <cell r="AB87">
            <v>3</v>
          </cell>
          <cell r="AC87" t="str">
            <v>鉄筋コンクリート</v>
          </cell>
          <cell r="AD87" t="str">
            <v>その他の本建築物鉄筋コンクリート</v>
          </cell>
          <cell r="AE87">
            <v>38</v>
          </cell>
          <cell r="AF87">
            <v>38</v>
          </cell>
          <cell r="AH87">
            <v>84</v>
          </cell>
          <cell r="AI87">
            <v>1.2E-2</v>
          </cell>
        </row>
        <row r="88">
          <cell r="Y88" t="str">
            <v>1704</v>
          </cell>
          <cell r="Z88">
            <v>17</v>
          </cell>
          <cell r="AA88" t="str">
            <v>その他の本建築物</v>
          </cell>
          <cell r="AB88">
            <v>4</v>
          </cell>
          <cell r="AC88" t="str">
            <v>コンクリートブロック</v>
          </cell>
          <cell r="AD88" t="str">
            <v>その他の本建築物コンクリートブロック</v>
          </cell>
          <cell r="AE88">
            <v>34</v>
          </cell>
          <cell r="AF88">
            <v>34</v>
          </cell>
          <cell r="AH88">
            <v>85</v>
          </cell>
          <cell r="AI88">
            <v>1.2E-2</v>
          </cell>
        </row>
        <row r="89">
          <cell r="Y89" t="str">
            <v>1705</v>
          </cell>
          <cell r="Z89">
            <v>17</v>
          </cell>
          <cell r="AA89" t="str">
            <v>その他の本建築物</v>
          </cell>
          <cell r="AB89">
            <v>5</v>
          </cell>
          <cell r="AC89" t="str">
            <v>鉄骨組３㎜以下</v>
          </cell>
          <cell r="AD89" t="str">
            <v>その他の本建築物鉄骨組３㎜以下</v>
          </cell>
          <cell r="AE89">
            <v>17</v>
          </cell>
          <cell r="AF89">
            <v>17</v>
          </cell>
          <cell r="AH89">
            <v>86</v>
          </cell>
          <cell r="AI89">
            <v>1.2E-2</v>
          </cell>
        </row>
        <row r="90">
          <cell r="Y90" t="str">
            <v>1706</v>
          </cell>
          <cell r="Z90">
            <v>17</v>
          </cell>
          <cell r="AA90" t="str">
            <v>その他の本建築物</v>
          </cell>
          <cell r="AB90">
            <v>6</v>
          </cell>
          <cell r="AC90" t="str">
            <v>鉄骨組３～４㎜以下</v>
          </cell>
          <cell r="AD90" t="str">
            <v>その他の本建築物鉄骨組３～４㎜以下</v>
          </cell>
          <cell r="AE90">
            <v>24</v>
          </cell>
          <cell r="AF90">
            <v>24</v>
          </cell>
          <cell r="AH90">
            <v>87</v>
          </cell>
          <cell r="AI90">
            <v>1.2E-2</v>
          </cell>
        </row>
        <row r="91">
          <cell r="Y91" t="str">
            <v>1707</v>
          </cell>
          <cell r="Z91">
            <v>17</v>
          </cell>
          <cell r="AA91" t="str">
            <v>その他の本建築物</v>
          </cell>
          <cell r="AB91">
            <v>7</v>
          </cell>
          <cell r="AC91" t="str">
            <v>鉄骨組４㎜以上</v>
          </cell>
          <cell r="AD91" t="str">
            <v>その他の本建築物鉄骨組４㎜以上</v>
          </cell>
          <cell r="AE91">
            <v>31</v>
          </cell>
          <cell r="AF91">
            <v>31</v>
          </cell>
          <cell r="AH91">
            <v>88</v>
          </cell>
          <cell r="AI91">
            <v>1.2E-2</v>
          </cell>
        </row>
        <row r="92">
          <cell r="Y92" t="str">
            <v>1708</v>
          </cell>
          <cell r="Z92">
            <v>17</v>
          </cell>
          <cell r="AA92" t="str">
            <v>その他の本建築物</v>
          </cell>
          <cell r="AB92">
            <v>8</v>
          </cell>
          <cell r="AC92" t="str">
            <v>木造モルタル</v>
          </cell>
          <cell r="AD92" t="str">
            <v>その他の本建築物木造モルタル</v>
          </cell>
          <cell r="AE92">
            <v>14</v>
          </cell>
          <cell r="AF92">
            <v>14</v>
          </cell>
          <cell r="AH92">
            <v>89</v>
          </cell>
          <cell r="AI92">
            <v>1.2E-2</v>
          </cell>
        </row>
        <row r="93">
          <cell r="Y93" t="str">
            <v>1777</v>
          </cell>
          <cell r="Z93">
            <v>17</v>
          </cell>
          <cell r="AA93" t="str">
            <v>その他の本建築物</v>
          </cell>
          <cell r="AB93">
            <v>77</v>
          </cell>
          <cell r="AC93" t="str">
            <v>少額資産</v>
          </cell>
          <cell r="AD93" t="str">
            <v>その他の本建築物少額資産</v>
          </cell>
          <cell r="AE93">
            <v>3</v>
          </cell>
          <cell r="AF93">
            <v>3</v>
          </cell>
          <cell r="AH93">
            <v>90</v>
          </cell>
          <cell r="AI93">
            <v>1.2E-2</v>
          </cell>
        </row>
        <row r="94">
          <cell r="Y94" t="str">
            <v>2101</v>
          </cell>
          <cell r="Z94">
            <v>21</v>
          </cell>
          <cell r="AA94" t="str">
            <v>簡易建物</v>
          </cell>
          <cell r="AB94">
            <v>1</v>
          </cell>
          <cell r="AC94" t="str">
            <v>木造</v>
          </cell>
          <cell r="AD94" t="str">
            <v>簡易建物木造</v>
          </cell>
          <cell r="AE94">
            <v>10</v>
          </cell>
          <cell r="AF94">
            <v>10</v>
          </cell>
          <cell r="AH94">
            <v>91</v>
          </cell>
          <cell r="AI94">
            <v>1.0999999999999999E-2</v>
          </cell>
        </row>
        <row r="95">
          <cell r="Y95" t="str">
            <v>2102</v>
          </cell>
          <cell r="Z95">
            <v>21</v>
          </cell>
          <cell r="AA95" t="str">
            <v>簡易建物</v>
          </cell>
          <cell r="AB95">
            <v>2</v>
          </cell>
          <cell r="AC95" t="str">
            <v>合成樹脂造</v>
          </cell>
          <cell r="AD95" t="str">
            <v>簡易建物合成樹脂造</v>
          </cell>
          <cell r="AE95">
            <v>10</v>
          </cell>
          <cell r="AF95">
            <v>10</v>
          </cell>
          <cell r="AH95">
            <v>92</v>
          </cell>
          <cell r="AI95">
            <v>1.0999999999999999E-2</v>
          </cell>
        </row>
        <row r="96">
          <cell r="Y96" t="str">
            <v>2177</v>
          </cell>
          <cell r="Z96">
            <v>21</v>
          </cell>
          <cell r="AA96" t="str">
            <v>簡易建物</v>
          </cell>
          <cell r="AB96">
            <v>77</v>
          </cell>
          <cell r="AC96" t="str">
            <v>少額資産</v>
          </cell>
          <cell r="AD96" t="str">
            <v>簡易建物少額資産</v>
          </cell>
          <cell r="AE96">
            <v>3</v>
          </cell>
          <cell r="AF96">
            <v>3</v>
          </cell>
          <cell r="AH96">
            <v>93</v>
          </cell>
          <cell r="AI96">
            <v>1.0999999999999999E-2</v>
          </cell>
        </row>
        <row r="97">
          <cell r="Y97" t="str">
            <v>2201</v>
          </cell>
          <cell r="Z97">
            <v>22</v>
          </cell>
          <cell r="AA97" t="str">
            <v>温室(ｶﾞﾗｽ室)・育苗施設</v>
          </cell>
          <cell r="AB97">
            <v>1</v>
          </cell>
          <cell r="AC97" t="str">
            <v>木造</v>
          </cell>
          <cell r="AD97" t="str">
            <v>温室(ｶﾞﾗｽ室)・育苗施設木造</v>
          </cell>
          <cell r="AE97">
            <v>5</v>
          </cell>
          <cell r="AF97">
            <v>5</v>
          </cell>
          <cell r="AH97">
            <v>94</v>
          </cell>
          <cell r="AI97">
            <v>1.0999999999999999E-2</v>
          </cell>
        </row>
        <row r="98">
          <cell r="Y98" t="str">
            <v>2202</v>
          </cell>
          <cell r="Z98">
            <v>22</v>
          </cell>
          <cell r="AA98" t="str">
            <v>温室(ｶﾞﾗｽ室)・育苗施設</v>
          </cell>
          <cell r="AB98">
            <v>2</v>
          </cell>
          <cell r="AC98" t="str">
            <v>合成樹脂造</v>
          </cell>
          <cell r="AD98" t="str">
            <v>温室(ｶﾞﾗｽ室)・育苗施設合成樹脂造</v>
          </cell>
          <cell r="AE98">
            <v>8</v>
          </cell>
          <cell r="AF98">
            <v>8</v>
          </cell>
          <cell r="AH98">
            <v>95</v>
          </cell>
          <cell r="AI98">
            <v>1.0999999999999999E-2</v>
          </cell>
        </row>
        <row r="99">
          <cell r="Y99" t="str">
            <v>2209</v>
          </cell>
          <cell r="Z99">
            <v>22</v>
          </cell>
          <cell r="AA99" t="str">
            <v>温室(ｶﾞﾗｽ室)・育苗施設</v>
          </cell>
          <cell r="AB99">
            <v>9</v>
          </cell>
          <cell r="AC99" t="str">
            <v>金属</v>
          </cell>
          <cell r="AD99" t="str">
            <v>温室(ｶﾞﾗｽ室)・育苗施設金属</v>
          </cell>
          <cell r="AE99">
            <v>15</v>
          </cell>
          <cell r="AF99">
            <v>14</v>
          </cell>
          <cell r="AH99">
            <v>96</v>
          </cell>
          <cell r="AI99">
            <v>1.0999999999999999E-2</v>
          </cell>
        </row>
        <row r="100">
          <cell r="Y100" t="str">
            <v>2277</v>
          </cell>
          <cell r="Z100">
            <v>22</v>
          </cell>
          <cell r="AA100" t="str">
            <v>温室(ｶﾞﾗｽ室)・育苗施設</v>
          </cell>
          <cell r="AB100">
            <v>77</v>
          </cell>
          <cell r="AC100" t="str">
            <v>少額資産</v>
          </cell>
          <cell r="AD100" t="str">
            <v>温室(ｶﾞﾗｽ室)・育苗施設少額資産</v>
          </cell>
          <cell r="AE100">
            <v>3</v>
          </cell>
          <cell r="AF100">
            <v>3</v>
          </cell>
          <cell r="AH100">
            <v>97</v>
          </cell>
          <cell r="AI100">
            <v>1.0999999999999999E-2</v>
          </cell>
        </row>
        <row r="101">
          <cell r="Y101" t="str">
            <v>2401</v>
          </cell>
          <cell r="Z101">
            <v>24</v>
          </cell>
          <cell r="AA101" t="str">
            <v>ﾌﾟﾗｽﾁｯｸﾊｳｽ・育苗施設</v>
          </cell>
          <cell r="AB101">
            <v>1</v>
          </cell>
          <cell r="AC101" t="str">
            <v>木造</v>
          </cell>
          <cell r="AD101" t="str">
            <v>ﾌﾟﾗｽﾁｯｸﾊｳｽ・育苗施設木造</v>
          </cell>
          <cell r="AE101">
            <v>5</v>
          </cell>
          <cell r="AF101">
            <v>5</v>
          </cell>
          <cell r="AH101">
            <v>98</v>
          </cell>
          <cell r="AI101">
            <v>1.0999999999999999E-2</v>
          </cell>
        </row>
        <row r="102">
          <cell r="Y102" t="str">
            <v>2402</v>
          </cell>
          <cell r="Z102">
            <v>24</v>
          </cell>
          <cell r="AA102" t="str">
            <v>ﾌﾟﾗｽﾁｯｸﾊｳｽ・育苗施設</v>
          </cell>
          <cell r="AB102">
            <v>2</v>
          </cell>
          <cell r="AC102" t="str">
            <v>合成樹脂造</v>
          </cell>
          <cell r="AD102" t="str">
            <v>ﾌﾟﾗｽﾁｯｸﾊｳｽ・育苗施設合成樹脂造</v>
          </cell>
          <cell r="AE102">
            <v>8</v>
          </cell>
          <cell r="AF102">
            <v>8</v>
          </cell>
          <cell r="AH102">
            <v>99</v>
          </cell>
          <cell r="AI102">
            <v>1.0999999999999999E-2</v>
          </cell>
        </row>
        <row r="103">
          <cell r="Y103" t="str">
            <v>2409</v>
          </cell>
          <cell r="Z103">
            <v>24</v>
          </cell>
          <cell r="AA103" t="str">
            <v>ﾌﾟﾗｽﾁｯｸﾊｳｽ・育苗施設</v>
          </cell>
          <cell r="AB103">
            <v>9</v>
          </cell>
          <cell r="AC103" t="str">
            <v>金属</v>
          </cell>
          <cell r="AD103" t="str">
            <v>ﾌﾟﾗｽﾁｯｸﾊｳｽ・育苗施設金属</v>
          </cell>
          <cell r="AE103">
            <v>15</v>
          </cell>
          <cell r="AF103">
            <v>14</v>
          </cell>
          <cell r="AH103">
            <v>100</v>
          </cell>
          <cell r="AI103">
            <v>0.01</v>
          </cell>
        </row>
        <row r="104">
          <cell r="Y104" t="str">
            <v>2477</v>
          </cell>
          <cell r="Z104">
            <v>24</v>
          </cell>
          <cell r="AA104" t="str">
            <v>ﾌﾟﾗｽﾁｯｸﾊｳｽ・育苗施設</v>
          </cell>
          <cell r="AB104">
            <v>77</v>
          </cell>
          <cell r="AC104" t="str">
            <v>少額資産</v>
          </cell>
          <cell r="AD104" t="str">
            <v>ﾌﾟﾗｽﾁｯｸﾊｳｽ・育苗施設少額資産</v>
          </cell>
          <cell r="AE104">
            <v>3</v>
          </cell>
          <cell r="AF104">
            <v>3</v>
          </cell>
        </row>
        <row r="105">
          <cell r="Y105" t="str">
            <v>2601</v>
          </cell>
          <cell r="Z105">
            <v>26</v>
          </cell>
          <cell r="AA105" t="str">
            <v>その他の建築物</v>
          </cell>
          <cell r="AB105">
            <v>1</v>
          </cell>
          <cell r="AC105" t="str">
            <v>木造</v>
          </cell>
          <cell r="AD105" t="str">
            <v>その他の建築物木造</v>
          </cell>
          <cell r="AE105">
            <v>24</v>
          </cell>
          <cell r="AF105">
            <v>24</v>
          </cell>
        </row>
        <row r="106">
          <cell r="Y106" t="str">
            <v>2602</v>
          </cell>
          <cell r="Z106">
            <v>26</v>
          </cell>
          <cell r="AA106" t="str">
            <v>その他の建築物</v>
          </cell>
          <cell r="AB106">
            <v>2</v>
          </cell>
          <cell r="AC106" t="str">
            <v>合成樹脂造</v>
          </cell>
          <cell r="AD106" t="str">
            <v>その他の建築物合成樹脂造</v>
          </cell>
          <cell r="AE106">
            <v>24</v>
          </cell>
          <cell r="AF106">
            <v>24</v>
          </cell>
        </row>
        <row r="107">
          <cell r="Y107" t="str">
            <v>2603</v>
          </cell>
          <cell r="Z107">
            <v>26</v>
          </cell>
          <cell r="AA107" t="str">
            <v>その他の建築物</v>
          </cell>
          <cell r="AB107">
            <v>3</v>
          </cell>
          <cell r="AC107" t="str">
            <v>鉄筋コンクリート</v>
          </cell>
          <cell r="AD107" t="str">
            <v>その他の建築物鉄筋コンクリート</v>
          </cell>
          <cell r="AE107">
            <v>50</v>
          </cell>
          <cell r="AF107">
            <v>50</v>
          </cell>
        </row>
        <row r="108">
          <cell r="Y108" t="str">
            <v>2604</v>
          </cell>
          <cell r="Z108">
            <v>26</v>
          </cell>
          <cell r="AA108" t="str">
            <v>その他の建築物</v>
          </cell>
          <cell r="AB108">
            <v>4</v>
          </cell>
          <cell r="AC108" t="str">
            <v>コンクリートブロック</v>
          </cell>
          <cell r="AD108" t="str">
            <v>その他の建築物コンクリートブロック</v>
          </cell>
          <cell r="AE108">
            <v>41</v>
          </cell>
          <cell r="AF108">
            <v>41</v>
          </cell>
        </row>
        <row r="109">
          <cell r="Y109" t="str">
            <v>2605</v>
          </cell>
          <cell r="Z109">
            <v>26</v>
          </cell>
          <cell r="AA109" t="str">
            <v>その他の建築物</v>
          </cell>
          <cell r="AB109">
            <v>5</v>
          </cell>
          <cell r="AC109" t="str">
            <v>鉄骨組３㎜以下</v>
          </cell>
          <cell r="AD109" t="str">
            <v>その他の建築物鉄骨組３㎜以下</v>
          </cell>
          <cell r="AE109">
            <v>22</v>
          </cell>
          <cell r="AF109">
            <v>22</v>
          </cell>
        </row>
        <row r="110">
          <cell r="Y110" t="str">
            <v>2606</v>
          </cell>
          <cell r="Z110">
            <v>26</v>
          </cell>
          <cell r="AA110" t="str">
            <v>その他の建築物</v>
          </cell>
          <cell r="AB110">
            <v>6</v>
          </cell>
          <cell r="AC110" t="str">
            <v>鉄骨組３～４㎜以下</v>
          </cell>
          <cell r="AD110" t="str">
            <v>その他の建築物鉄骨組３～４㎜以下</v>
          </cell>
          <cell r="AE110">
            <v>30</v>
          </cell>
          <cell r="AF110">
            <v>30</v>
          </cell>
        </row>
        <row r="111">
          <cell r="Y111" t="str">
            <v>2607</v>
          </cell>
          <cell r="Z111">
            <v>26</v>
          </cell>
          <cell r="AA111" t="str">
            <v>その他の建築物</v>
          </cell>
          <cell r="AB111">
            <v>7</v>
          </cell>
          <cell r="AC111" t="str">
            <v>鉄骨組４㎜以上</v>
          </cell>
          <cell r="AD111" t="str">
            <v>その他の建築物鉄骨組４㎜以上</v>
          </cell>
          <cell r="AE111">
            <v>38</v>
          </cell>
          <cell r="AF111">
            <v>38</v>
          </cell>
        </row>
        <row r="112">
          <cell r="Y112" t="str">
            <v>2608</v>
          </cell>
          <cell r="Z112">
            <v>26</v>
          </cell>
          <cell r="AA112" t="str">
            <v>その他の建築物</v>
          </cell>
          <cell r="AB112">
            <v>8</v>
          </cell>
          <cell r="AC112" t="str">
            <v>木造モルタル</v>
          </cell>
          <cell r="AD112" t="str">
            <v>その他の建築物木造モルタル</v>
          </cell>
          <cell r="AE112">
            <v>22</v>
          </cell>
          <cell r="AF112">
            <v>22</v>
          </cell>
        </row>
        <row r="113">
          <cell r="Y113" t="str">
            <v>2677</v>
          </cell>
          <cell r="Z113">
            <v>26</v>
          </cell>
          <cell r="AA113" t="str">
            <v>その他の建築物</v>
          </cell>
          <cell r="AB113">
            <v>77</v>
          </cell>
          <cell r="AC113" t="str">
            <v>少額資産</v>
          </cell>
          <cell r="AD113" t="str">
            <v>その他の建築物少額資産</v>
          </cell>
          <cell r="AE113">
            <v>3</v>
          </cell>
          <cell r="AF113">
            <v>3</v>
          </cell>
        </row>
        <row r="114">
          <cell r="Y114" t="str">
            <v>2901</v>
          </cell>
          <cell r="Z114">
            <v>29</v>
          </cell>
          <cell r="AA114" t="str">
            <v>農外専用住宅</v>
          </cell>
          <cell r="AB114">
            <v>1</v>
          </cell>
          <cell r="AC114" t="str">
            <v>木造</v>
          </cell>
          <cell r="AD114" t="str">
            <v>農外専用住宅木造</v>
          </cell>
          <cell r="AE114">
            <v>22</v>
          </cell>
          <cell r="AF114">
            <v>22</v>
          </cell>
        </row>
        <row r="115">
          <cell r="Y115" t="str">
            <v>2902</v>
          </cell>
          <cell r="Z115">
            <v>29</v>
          </cell>
          <cell r="AA115" t="str">
            <v>農外専用住宅</v>
          </cell>
          <cell r="AB115">
            <v>2</v>
          </cell>
          <cell r="AC115" t="str">
            <v>合成樹脂造</v>
          </cell>
          <cell r="AD115" t="str">
            <v>農外専用住宅合成樹脂造</v>
          </cell>
          <cell r="AE115">
            <v>22</v>
          </cell>
          <cell r="AF115">
            <v>22</v>
          </cell>
        </row>
        <row r="116">
          <cell r="Y116" t="str">
            <v>2903</v>
          </cell>
          <cell r="Z116">
            <v>29</v>
          </cell>
          <cell r="AA116" t="str">
            <v>農外専用住宅</v>
          </cell>
          <cell r="AB116">
            <v>3</v>
          </cell>
          <cell r="AC116" t="str">
            <v>鉄筋コンクリート</v>
          </cell>
          <cell r="AD116" t="str">
            <v>農外専用住宅鉄筋コンクリート</v>
          </cell>
          <cell r="AE116">
            <v>47</v>
          </cell>
          <cell r="AF116">
            <v>47</v>
          </cell>
        </row>
        <row r="117">
          <cell r="Y117" t="str">
            <v>2904</v>
          </cell>
          <cell r="Z117">
            <v>29</v>
          </cell>
          <cell r="AA117" t="str">
            <v>農外専用住宅</v>
          </cell>
          <cell r="AB117">
            <v>4</v>
          </cell>
          <cell r="AC117" t="str">
            <v>コンクリートブロック</v>
          </cell>
          <cell r="AD117" t="str">
            <v>農外専用住宅コンクリートブロック</v>
          </cell>
          <cell r="AE117">
            <v>38</v>
          </cell>
          <cell r="AF117">
            <v>38</v>
          </cell>
        </row>
        <row r="118">
          <cell r="Y118" t="str">
            <v>2905</v>
          </cell>
          <cell r="Z118">
            <v>29</v>
          </cell>
          <cell r="AA118" t="str">
            <v>農外専用住宅</v>
          </cell>
          <cell r="AB118">
            <v>5</v>
          </cell>
          <cell r="AC118" t="str">
            <v>鉄骨組３㎜以下</v>
          </cell>
          <cell r="AD118" t="str">
            <v>農外専用住宅鉄骨組３㎜以下</v>
          </cell>
          <cell r="AE118">
            <v>19</v>
          </cell>
          <cell r="AF118">
            <v>19</v>
          </cell>
        </row>
        <row r="119">
          <cell r="Y119" t="str">
            <v>2906</v>
          </cell>
          <cell r="Z119">
            <v>29</v>
          </cell>
          <cell r="AA119" t="str">
            <v>農外専用住宅</v>
          </cell>
          <cell r="AB119">
            <v>6</v>
          </cell>
          <cell r="AC119" t="str">
            <v>鉄骨組３～４㎜以下</v>
          </cell>
          <cell r="AD119" t="str">
            <v>農外専用住宅鉄骨組３～４㎜以下</v>
          </cell>
          <cell r="AE119">
            <v>27</v>
          </cell>
          <cell r="AF119">
            <v>27</v>
          </cell>
        </row>
        <row r="120">
          <cell r="Y120" t="str">
            <v>2907</v>
          </cell>
          <cell r="Z120">
            <v>29</v>
          </cell>
          <cell r="AA120" t="str">
            <v>農外専用住宅</v>
          </cell>
          <cell r="AB120">
            <v>7</v>
          </cell>
          <cell r="AC120" t="str">
            <v>鉄骨組４㎜以上</v>
          </cell>
          <cell r="AD120" t="str">
            <v>農外専用住宅鉄骨組４㎜以上</v>
          </cell>
          <cell r="AE120">
            <v>34</v>
          </cell>
          <cell r="AF120">
            <v>34</v>
          </cell>
        </row>
        <row r="121">
          <cell r="Y121" t="str">
            <v>2908</v>
          </cell>
          <cell r="Z121">
            <v>29</v>
          </cell>
          <cell r="AA121" t="str">
            <v>農外専用住宅</v>
          </cell>
          <cell r="AB121">
            <v>8</v>
          </cell>
          <cell r="AC121" t="str">
            <v>木造モルタル</v>
          </cell>
          <cell r="AD121" t="str">
            <v>農外専用住宅木造モルタル</v>
          </cell>
          <cell r="AE121">
            <v>20</v>
          </cell>
          <cell r="AF121">
            <v>20</v>
          </cell>
        </row>
        <row r="122">
          <cell r="Y122" t="str">
            <v>2977</v>
          </cell>
          <cell r="Z122">
            <v>29</v>
          </cell>
          <cell r="AA122" t="str">
            <v>農外専用住宅</v>
          </cell>
          <cell r="AB122">
            <v>77</v>
          </cell>
          <cell r="AC122" t="str">
            <v>少額資産</v>
          </cell>
          <cell r="AD122" t="str">
            <v>農外専用住宅少額資産</v>
          </cell>
          <cell r="AE122">
            <v>3</v>
          </cell>
          <cell r="AF122">
            <v>3</v>
          </cell>
        </row>
        <row r="124">
          <cell r="AA124" t="str">
            <v>構築物</v>
          </cell>
          <cell r="AC124" t="str">
            <v>構造</v>
          </cell>
          <cell r="AE124" t="str">
            <v>税制改正前</v>
          </cell>
          <cell r="AF124" t="str">
            <v>税制改正後</v>
          </cell>
        </row>
        <row r="125">
          <cell r="Y125" t="str">
            <v>4105</v>
          </cell>
          <cell r="Z125">
            <v>41</v>
          </cell>
          <cell r="AA125" t="str">
            <v>稲架</v>
          </cell>
          <cell r="AB125">
            <v>5</v>
          </cell>
          <cell r="AC125" t="str">
            <v>金属</v>
          </cell>
          <cell r="AD125" t="str">
            <v>稲架金属</v>
          </cell>
          <cell r="AE125">
            <v>15</v>
          </cell>
          <cell r="AF125">
            <v>14</v>
          </cell>
        </row>
        <row r="126">
          <cell r="Y126" t="str">
            <v>4106</v>
          </cell>
          <cell r="Z126">
            <v>41</v>
          </cell>
          <cell r="AA126" t="str">
            <v>稲架</v>
          </cell>
          <cell r="AB126">
            <v>6</v>
          </cell>
          <cell r="AC126" t="str">
            <v>木造</v>
          </cell>
          <cell r="AD126" t="str">
            <v>稲架木造</v>
          </cell>
          <cell r="AE126">
            <v>5</v>
          </cell>
          <cell r="AF126">
            <v>5</v>
          </cell>
        </row>
        <row r="127">
          <cell r="Y127" t="str">
            <v>4177</v>
          </cell>
          <cell r="Z127">
            <v>41</v>
          </cell>
          <cell r="AA127" t="str">
            <v>稲架</v>
          </cell>
          <cell r="AB127">
            <v>77</v>
          </cell>
          <cell r="AC127" t="str">
            <v>少額資産</v>
          </cell>
          <cell r="AD127" t="str">
            <v>稲架少額資産</v>
          </cell>
          <cell r="AE127">
            <v>3</v>
          </cell>
          <cell r="AF127">
            <v>3</v>
          </cell>
        </row>
        <row r="128">
          <cell r="Y128" t="str">
            <v>4199</v>
          </cell>
          <cell r="Z128">
            <v>41</v>
          </cell>
          <cell r="AA128" t="str">
            <v>稲架</v>
          </cell>
          <cell r="AB128">
            <v>99</v>
          </cell>
          <cell r="AC128" t="str">
            <v>その他</v>
          </cell>
          <cell r="AD128" t="str">
            <v>稲架その他</v>
          </cell>
          <cell r="AE128">
            <v>30</v>
          </cell>
          <cell r="AF128">
            <v>30</v>
          </cell>
        </row>
        <row r="129">
          <cell r="Y129" t="str">
            <v>4201</v>
          </cell>
          <cell r="Z129">
            <v>42</v>
          </cell>
          <cell r="AA129" t="str">
            <v>けい畔</v>
          </cell>
          <cell r="AB129">
            <v>1</v>
          </cell>
          <cell r="AC129" t="str">
            <v>コンクリート</v>
          </cell>
          <cell r="AD129" t="str">
            <v>けい畔コンクリート</v>
          </cell>
          <cell r="AE129">
            <v>20</v>
          </cell>
          <cell r="AF129">
            <v>17</v>
          </cell>
        </row>
        <row r="130">
          <cell r="Y130" t="str">
            <v>4202</v>
          </cell>
          <cell r="Z130">
            <v>42</v>
          </cell>
          <cell r="AA130" t="str">
            <v>けい畔</v>
          </cell>
          <cell r="AB130">
            <v>2</v>
          </cell>
          <cell r="AC130" t="str">
            <v>れんが</v>
          </cell>
          <cell r="AD130" t="str">
            <v>けい畔れんが</v>
          </cell>
          <cell r="AE130">
            <v>20</v>
          </cell>
          <cell r="AF130">
            <v>17</v>
          </cell>
        </row>
        <row r="131">
          <cell r="Y131" t="str">
            <v>4203</v>
          </cell>
          <cell r="Z131">
            <v>42</v>
          </cell>
          <cell r="AA131" t="str">
            <v>けい畔</v>
          </cell>
          <cell r="AB131">
            <v>3</v>
          </cell>
          <cell r="AC131" t="str">
            <v>石</v>
          </cell>
          <cell r="AD131" t="str">
            <v>けい畔石</v>
          </cell>
          <cell r="AE131">
            <v>20</v>
          </cell>
          <cell r="AF131">
            <v>17</v>
          </cell>
        </row>
        <row r="132">
          <cell r="Y132" t="str">
            <v>4204</v>
          </cell>
          <cell r="Z132">
            <v>42</v>
          </cell>
          <cell r="AA132" t="str">
            <v>けい畔</v>
          </cell>
          <cell r="AB132">
            <v>4</v>
          </cell>
          <cell r="AC132" t="str">
            <v>ブロック</v>
          </cell>
          <cell r="AD132" t="str">
            <v>けい畔ブロック</v>
          </cell>
          <cell r="AE132">
            <v>20</v>
          </cell>
          <cell r="AF132">
            <v>17</v>
          </cell>
        </row>
        <row r="133">
          <cell r="Y133" t="str">
            <v>4277</v>
          </cell>
          <cell r="Z133">
            <v>42</v>
          </cell>
          <cell r="AA133" t="str">
            <v>けい畔</v>
          </cell>
          <cell r="AB133">
            <v>77</v>
          </cell>
          <cell r="AC133" t="str">
            <v>少額資産</v>
          </cell>
          <cell r="AD133" t="str">
            <v>けい畔少額資産</v>
          </cell>
          <cell r="AE133">
            <v>3</v>
          </cell>
          <cell r="AF133">
            <v>3</v>
          </cell>
        </row>
        <row r="134">
          <cell r="Y134" t="str">
            <v>4299</v>
          </cell>
          <cell r="Z134">
            <v>42</v>
          </cell>
          <cell r="AA134" t="str">
            <v>けい畔</v>
          </cell>
          <cell r="AB134">
            <v>99</v>
          </cell>
          <cell r="AC134" t="str">
            <v>その他</v>
          </cell>
          <cell r="AD134" t="str">
            <v>けい畔その他</v>
          </cell>
          <cell r="AE134">
            <v>30</v>
          </cell>
          <cell r="AF134">
            <v>30</v>
          </cell>
        </row>
        <row r="135">
          <cell r="Y135" t="str">
            <v>4307</v>
          </cell>
          <cell r="Z135">
            <v>43</v>
          </cell>
          <cell r="AA135" t="str">
            <v>暗きょ</v>
          </cell>
          <cell r="AB135">
            <v>7</v>
          </cell>
          <cell r="AC135" t="str">
            <v>土管</v>
          </cell>
          <cell r="AD135" t="str">
            <v>暗きょ土管</v>
          </cell>
          <cell r="AE135">
            <v>10</v>
          </cell>
          <cell r="AF135">
            <v>10</v>
          </cell>
        </row>
        <row r="136">
          <cell r="Y136" t="str">
            <v>4309</v>
          </cell>
          <cell r="Z136">
            <v>43</v>
          </cell>
          <cell r="AA136" t="str">
            <v>暗きょ</v>
          </cell>
          <cell r="AB136">
            <v>9</v>
          </cell>
          <cell r="AC136" t="str">
            <v>塩化ビニール</v>
          </cell>
          <cell r="AD136" t="str">
            <v>暗きょ塩化ビニール</v>
          </cell>
          <cell r="AE136">
            <v>8</v>
          </cell>
          <cell r="AF136">
            <v>8</v>
          </cell>
        </row>
        <row r="137">
          <cell r="Y137" t="str">
            <v>4377</v>
          </cell>
          <cell r="Z137">
            <v>43</v>
          </cell>
          <cell r="AA137" t="str">
            <v>暗きょ</v>
          </cell>
          <cell r="AB137">
            <v>77</v>
          </cell>
          <cell r="AC137" t="str">
            <v>少額資産</v>
          </cell>
          <cell r="AD137" t="str">
            <v>暗きょ少額資産</v>
          </cell>
          <cell r="AE137">
            <v>3</v>
          </cell>
          <cell r="AF137">
            <v>3</v>
          </cell>
        </row>
        <row r="138">
          <cell r="Y138" t="str">
            <v>4399</v>
          </cell>
          <cell r="Z138">
            <v>43</v>
          </cell>
          <cell r="AA138" t="str">
            <v>暗きょ</v>
          </cell>
          <cell r="AB138">
            <v>99</v>
          </cell>
          <cell r="AC138" t="str">
            <v>その他</v>
          </cell>
          <cell r="AD138" t="str">
            <v>暗きょその他</v>
          </cell>
          <cell r="AE138">
            <v>30</v>
          </cell>
          <cell r="AF138">
            <v>30</v>
          </cell>
        </row>
        <row r="139">
          <cell r="Y139" t="str">
            <v>4477</v>
          </cell>
          <cell r="Z139">
            <v>44</v>
          </cell>
          <cell r="AA139" t="str">
            <v>客土</v>
          </cell>
          <cell r="AB139">
            <v>77</v>
          </cell>
          <cell r="AC139" t="str">
            <v>少額資産</v>
          </cell>
          <cell r="AD139" t="str">
            <v>客土少額資産</v>
          </cell>
          <cell r="AE139">
            <v>3</v>
          </cell>
          <cell r="AF139">
            <v>3</v>
          </cell>
        </row>
        <row r="140">
          <cell r="Y140" t="str">
            <v>4488</v>
          </cell>
          <cell r="Z140">
            <v>44</v>
          </cell>
          <cell r="AA140" t="str">
            <v>客土</v>
          </cell>
          <cell r="AB140">
            <v>88</v>
          </cell>
          <cell r="AC140" t="str">
            <v>10万円未満</v>
          </cell>
          <cell r="AD140" t="str">
            <v>客土10万円未満</v>
          </cell>
          <cell r="AE140">
            <v>1</v>
          </cell>
          <cell r="AF140">
            <v>1</v>
          </cell>
        </row>
        <row r="141">
          <cell r="Y141" t="str">
            <v>4499</v>
          </cell>
          <cell r="Z141">
            <v>44</v>
          </cell>
          <cell r="AA141" t="str">
            <v>客土</v>
          </cell>
          <cell r="AB141">
            <v>99</v>
          </cell>
          <cell r="AC141" t="str">
            <v>その他</v>
          </cell>
          <cell r="AD141" t="str">
            <v>客土その他</v>
          </cell>
          <cell r="AE141">
            <v>8</v>
          </cell>
          <cell r="AF141">
            <v>8</v>
          </cell>
        </row>
        <row r="142">
          <cell r="Y142" t="str">
            <v>4577</v>
          </cell>
          <cell r="Z142">
            <v>45</v>
          </cell>
          <cell r="AA142" t="str">
            <v>作業道</v>
          </cell>
          <cell r="AB142">
            <v>77</v>
          </cell>
          <cell r="AC142" t="str">
            <v>少額資産</v>
          </cell>
          <cell r="AD142" t="str">
            <v>作業道少額資産</v>
          </cell>
          <cell r="AE142">
            <v>3</v>
          </cell>
          <cell r="AF142">
            <v>3</v>
          </cell>
        </row>
        <row r="143">
          <cell r="Y143" t="str">
            <v>4599</v>
          </cell>
          <cell r="Z143">
            <v>45</v>
          </cell>
          <cell r="AA143" t="str">
            <v>作業道</v>
          </cell>
          <cell r="AB143">
            <v>99</v>
          </cell>
          <cell r="AC143" t="str">
            <v>その他</v>
          </cell>
          <cell r="AD143" t="str">
            <v>作業道その他</v>
          </cell>
          <cell r="AE143">
            <v>8</v>
          </cell>
          <cell r="AF143">
            <v>8</v>
          </cell>
        </row>
        <row r="144">
          <cell r="Y144" t="str">
            <v>4601</v>
          </cell>
          <cell r="Z144">
            <v>46</v>
          </cell>
          <cell r="AA144" t="str">
            <v>ひ門</v>
          </cell>
          <cell r="AB144">
            <v>1</v>
          </cell>
          <cell r="AC144" t="str">
            <v>コンクリート</v>
          </cell>
          <cell r="AD144" t="str">
            <v>ひ門コンクリート</v>
          </cell>
          <cell r="AE144">
            <v>20</v>
          </cell>
          <cell r="AF144">
            <v>17</v>
          </cell>
        </row>
        <row r="145">
          <cell r="Y145" t="str">
            <v>4602</v>
          </cell>
          <cell r="Z145">
            <v>46</v>
          </cell>
          <cell r="AA145" t="str">
            <v>ひ門</v>
          </cell>
          <cell r="AB145">
            <v>2</v>
          </cell>
          <cell r="AC145" t="str">
            <v>れんが</v>
          </cell>
          <cell r="AD145" t="str">
            <v>ひ門れんが</v>
          </cell>
          <cell r="AE145">
            <v>20</v>
          </cell>
          <cell r="AF145">
            <v>17</v>
          </cell>
        </row>
        <row r="146">
          <cell r="Y146" t="str">
            <v>4603</v>
          </cell>
          <cell r="Z146">
            <v>46</v>
          </cell>
          <cell r="AA146" t="str">
            <v>ひ門</v>
          </cell>
          <cell r="AB146">
            <v>3</v>
          </cell>
          <cell r="AC146" t="str">
            <v>石</v>
          </cell>
          <cell r="AD146" t="str">
            <v>ひ門石</v>
          </cell>
          <cell r="AE146">
            <v>20</v>
          </cell>
          <cell r="AF146">
            <v>17</v>
          </cell>
        </row>
        <row r="147">
          <cell r="Y147" t="str">
            <v>4604</v>
          </cell>
          <cell r="Z147">
            <v>46</v>
          </cell>
          <cell r="AA147" t="str">
            <v>ひ門</v>
          </cell>
          <cell r="AB147">
            <v>4</v>
          </cell>
          <cell r="AC147" t="str">
            <v>ブロック</v>
          </cell>
          <cell r="AD147" t="str">
            <v>ひ門ブロック</v>
          </cell>
          <cell r="AE147">
            <v>20</v>
          </cell>
          <cell r="AF147">
            <v>17</v>
          </cell>
        </row>
        <row r="148">
          <cell r="Y148" t="str">
            <v>4677</v>
          </cell>
          <cell r="Z148">
            <v>46</v>
          </cell>
          <cell r="AA148" t="str">
            <v>ひ門</v>
          </cell>
          <cell r="AB148">
            <v>77</v>
          </cell>
          <cell r="AC148" t="str">
            <v>少額資産</v>
          </cell>
          <cell r="AD148" t="str">
            <v>ひ門少額資産</v>
          </cell>
          <cell r="AE148">
            <v>3</v>
          </cell>
          <cell r="AF148">
            <v>3</v>
          </cell>
        </row>
        <row r="149">
          <cell r="Y149" t="str">
            <v>4699</v>
          </cell>
          <cell r="Z149">
            <v>46</v>
          </cell>
          <cell r="AA149" t="str">
            <v>ひ門</v>
          </cell>
          <cell r="AB149">
            <v>99</v>
          </cell>
          <cell r="AC149" t="str">
            <v>その他</v>
          </cell>
          <cell r="AD149" t="str">
            <v>ひ門その他</v>
          </cell>
          <cell r="AE149">
            <v>30</v>
          </cell>
          <cell r="AF149">
            <v>30</v>
          </cell>
        </row>
        <row r="150">
          <cell r="Y150" t="str">
            <v>4701</v>
          </cell>
          <cell r="Z150">
            <v>47</v>
          </cell>
          <cell r="AA150" t="str">
            <v>用水路</v>
          </cell>
          <cell r="AB150">
            <v>1</v>
          </cell>
          <cell r="AC150" t="str">
            <v>コンクリート</v>
          </cell>
          <cell r="AD150" t="str">
            <v>用水路コンクリート</v>
          </cell>
          <cell r="AE150">
            <v>20</v>
          </cell>
          <cell r="AF150">
            <v>17</v>
          </cell>
        </row>
        <row r="151">
          <cell r="Y151" t="str">
            <v>4702</v>
          </cell>
          <cell r="Z151">
            <v>47</v>
          </cell>
          <cell r="AA151" t="str">
            <v>用水路</v>
          </cell>
          <cell r="AB151">
            <v>2</v>
          </cell>
          <cell r="AC151" t="str">
            <v>れんが</v>
          </cell>
          <cell r="AD151" t="str">
            <v>用水路れんが</v>
          </cell>
          <cell r="AE151">
            <v>20</v>
          </cell>
          <cell r="AF151">
            <v>17</v>
          </cell>
        </row>
        <row r="152">
          <cell r="Y152" t="str">
            <v>4703</v>
          </cell>
          <cell r="Z152">
            <v>47</v>
          </cell>
          <cell r="AA152" t="str">
            <v>用水路</v>
          </cell>
          <cell r="AB152">
            <v>3</v>
          </cell>
          <cell r="AC152" t="str">
            <v>石</v>
          </cell>
          <cell r="AD152" t="str">
            <v>用水路石</v>
          </cell>
          <cell r="AE152">
            <v>20</v>
          </cell>
          <cell r="AF152">
            <v>17</v>
          </cell>
        </row>
        <row r="153">
          <cell r="Y153" t="str">
            <v>4704</v>
          </cell>
          <cell r="Z153">
            <v>47</v>
          </cell>
          <cell r="AA153" t="str">
            <v>用水路</v>
          </cell>
          <cell r="AB153">
            <v>4</v>
          </cell>
          <cell r="AC153" t="str">
            <v>ブロック</v>
          </cell>
          <cell r="AD153" t="str">
            <v>用水路ブロック</v>
          </cell>
          <cell r="AE153">
            <v>20</v>
          </cell>
          <cell r="AF153">
            <v>17</v>
          </cell>
        </row>
        <row r="154">
          <cell r="Y154" t="str">
            <v>4777</v>
          </cell>
          <cell r="Z154">
            <v>47</v>
          </cell>
          <cell r="AA154" t="str">
            <v>用水路</v>
          </cell>
          <cell r="AB154">
            <v>77</v>
          </cell>
          <cell r="AC154" t="str">
            <v>少額資産</v>
          </cell>
          <cell r="AD154" t="str">
            <v>用水路少額資産</v>
          </cell>
          <cell r="AE154">
            <v>3</v>
          </cell>
          <cell r="AF154">
            <v>3</v>
          </cell>
        </row>
        <row r="155">
          <cell r="Y155" t="str">
            <v>4799</v>
          </cell>
          <cell r="Z155">
            <v>47</v>
          </cell>
          <cell r="AA155" t="str">
            <v>用水路</v>
          </cell>
          <cell r="AB155">
            <v>99</v>
          </cell>
          <cell r="AC155" t="str">
            <v>その他</v>
          </cell>
          <cell r="AD155" t="str">
            <v>用水路その他</v>
          </cell>
          <cell r="AE155">
            <v>30</v>
          </cell>
          <cell r="AF155">
            <v>30</v>
          </cell>
        </row>
        <row r="156">
          <cell r="Y156" t="str">
            <v>4801</v>
          </cell>
          <cell r="Z156">
            <v>48</v>
          </cell>
          <cell r="AA156" t="str">
            <v>配管</v>
          </cell>
          <cell r="AB156">
            <v>1</v>
          </cell>
          <cell r="AC156" t="str">
            <v>コンクリート</v>
          </cell>
          <cell r="AD156" t="str">
            <v>配管コンクリート</v>
          </cell>
          <cell r="AE156">
            <v>20</v>
          </cell>
          <cell r="AF156">
            <v>17</v>
          </cell>
        </row>
        <row r="157">
          <cell r="Y157" t="str">
            <v>4802</v>
          </cell>
          <cell r="Z157">
            <v>48</v>
          </cell>
          <cell r="AA157" t="str">
            <v>配管</v>
          </cell>
          <cell r="AB157">
            <v>2</v>
          </cell>
          <cell r="AC157" t="str">
            <v>れんが</v>
          </cell>
          <cell r="AD157" t="str">
            <v>配管れんが</v>
          </cell>
          <cell r="AE157">
            <v>20</v>
          </cell>
          <cell r="AF157">
            <v>17</v>
          </cell>
        </row>
        <row r="158">
          <cell r="Y158" t="str">
            <v>4803</v>
          </cell>
          <cell r="Z158">
            <v>48</v>
          </cell>
          <cell r="AA158" t="str">
            <v>配管</v>
          </cell>
          <cell r="AB158">
            <v>3</v>
          </cell>
          <cell r="AC158" t="str">
            <v>石</v>
          </cell>
          <cell r="AD158" t="str">
            <v>配管石</v>
          </cell>
          <cell r="AE158">
            <v>20</v>
          </cell>
          <cell r="AF158">
            <v>17</v>
          </cell>
        </row>
        <row r="159">
          <cell r="Y159" t="str">
            <v>4804</v>
          </cell>
          <cell r="Z159">
            <v>48</v>
          </cell>
          <cell r="AA159" t="str">
            <v>配管</v>
          </cell>
          <cell r="AB159">
            <v>4</v>
          </cell>
          <cell r="AC159" t="str">
            <v>ブロック</v>
          </cell>
          <cell r="AD159" t="str">
            <v>配管ブロック</v>
          </cell>
          <cell r="AE159">
            <v>20</v>
          </cell>
          <cell r="AF159">
            <v>17</v>
          </cell>
        </row>
        <row r="160">
          <cell r="Y160" t="str">
            <v>4805</v>
          </cell>
          <cell r="Z160">
            <v>48</v>
          </cell>
          <cell r="AA160" t="str">
            <v>配管</v>
          </cell>
          <cell r="AB160">
            <v>5</v>
          </cell>
          <cell r="AC160" t="str">
            <v>金属</v>
          </cell>
          <cell r="AD160" t="str">
            <v>配管金属</v>
          </cell>
          <cell r="AE160">
            <v>15</v>
          </cell>
          <cell r="AF160">
            <v>14</v>
          </cell>
        </row>
        <row r="161">
          <cell r="Y161" t="str">
            <v>4807</v>
          </cell>
          <cell r="Z161">
            <v>48</v>
          </cell>
          <cell r="AA161" t="str">
            <v>配管</v>
          </cell>
          <cell r="AB161">
            <v>7</v>
          </cell>
          <cell r="AC161" t="str">
            <v>土管</v>
          </cell>
          <cell r="AD161" t="str">
            <v>配管土管</v>
          </cell>
          <cell r="AE161">
            <v>10</v>
          </cell>
          <cell r="AF161">
            <v>10</v>
          </cell>
        </row>
        <row r="162">
          <cell r="Y162" t="str">
            <v>4809</v>
          </cell>
          <cell r="Z162">
            <v>48</v>
          </cell>
          <cell r="AA162" t="str">
            <v>配管</v>
          </cell>
          <cell r="AB162">
            <v>9</v>
          </cell>
          <cell r="AC162" t="str">
            <v>塩化ビニール</v>
          </cell>
          <cell r="AD162" t="str">
            <v>配管塩化ビニール</v>
          </cell>
          <cell r="AE162">
            <v>8</v>
          </cell>
          <cell r="AF162">
            <v>8</v>
          </cell>
        </row>
        <row r="163">
          <cell r="Y163" t="str">
            <v>4877</v>
          </cell>
          <cell r="Z163">
            <v>48</v>
          </cell>
          <cell r="AA163" t="str">
            <v>配管</v>
          </cell>
          <cell r="AB163">
            <v>77</v>
          </cell>
          <cell r="AC163" t="str">
            <v>少額資産</v>
          </cell>
          <cell r="AD163" t="str">
            <v>配管少額資産</v>
          </cell>
          <cell r="AE163">
            <v>3</v>
          </cell>
          <cell r="AF163">
            <v>3</v>
          </cell>
        </row>
        <row r="164">
          <cell r="Y164" t="str">
            <v>4899</v>
          </cell>
          <cell r="Z164">
            <v>48</v>
          </cell>
          <cell r="AA164" t="str">
            <v>配管</v>
          </cell>
          <cell r="AB164">
            <v>99</v>
          </cell>
          <cell r="AC164" t="str">
            <v>その他</v>
          </cell>
          <cell r="AD164" t="str">
            <v>配管その他</v>
          </cell>
          <cell r="AE164">
            <v>30</v>
          </cell>
          <cell r="AF164">
            <v>30</v>
          </cell>
        </row>
        <row r="165">
          <cell r="Y165" t="str">
            <v>4901</v>
          </cell>
          <cell r="Z165">
            <v>49</v>
          </cell>
          <cell r="AA165" t="str">
            <v>農用井戸</v>
          </cell>
          <cell r="AB165">
            <v>1</v>
          </cell>
          <cell r="AC165" t="str">
            <v>コンクリート</v>
          </cell>
          <cell r="AD165" t="str">
            <v>農用井戸コンクリート</v>
          </cell>
          <cell r="AE165">
            <v>20</v>
          </cell>
          <cell r="AF165">
            <v>17</v>
          </cell>
        </row>
        <row r="166">
          <cell r="Y166" t="str">
            <v>4902</v>
          </cell>
          <cell r="Z166">
            <v>49</v>
          </cell>
          <cell r="AA166" t="str">
            <v>農用井戸</v>
          </cell>
          <cell r="AB166">
            <v>2</v>
          </cell>
          <cell r="AC166" t="str">
            <v>れんが</v>
          </cell>
          <cell r="AD166" t="str">
            <v>農用井戸れんが</v>
          </cell>
          <cell r="AE166">
            <v>20</v>
          </cell>
          <cell r="AF166">
            <v>17</v>
          </cell>
        </row>
        <row r="167">
          <cell r="Y167" t="str">
            <v>4903</v>
          </cell>
          <cell r="Z167">
            <v>49</v>
          </cell>
          <cell r="AA167" t="str">
            <v>農用井戸</v>
          </cell>
          <cell r="AB167">
            <v>3</v>
          </cell>
          <cell r="AC167" t="str">
            <v>石</v>
          </cell>
          <cell r="AD167" t="str">
            <v>農用井戸石</v>
          </cell>
          <cell r="AE167">
            <v>20</v>
          </cell>
          <cell r="AF167">
            <v>17</v>
          </cell>
        </row>
        <row r="168">
          <cell r="Y168" t="str">
            <v>4904</v>
          </cell>
          <cell r="Z168">
            <v>49</v>
          </cell>
          <cell r="AA168" t="str">
            <v>農用井戸</v>
          </cell>
          <cell r="AB168">
            <v>4</v>
          </cell>
          <cell r="AC168" t="str">
            <v>ブロック</v>
          </cell>
          <cell r="AD168" t="str">
            <v>農用井戸ブロック</v>
          </cell>
          <cell r="AE168">
            <v>20</v>
          </cell>
          <cell r="AF168">
            <v>17</v>
          </cell>
        </row>
        <row r="169">
          <cell r="Y169" t="str">
            <v>4905</v>
          </cell>
          <cell r="Z169">
            <v>49</v>
          </cell>
          <cell r="AA169" t="str">
            <v>農用井戸</v>
          </cell>
          <cell r="AB169">
            <v>5</v>
          </cell>
          <cell r="AC169" t="str">
            <v>金属</v>
          </cell>
          <cell r="AD169" t="str">
            <v>農用井戸金属</v>
          </cell>
          <cell r="AE169">
            <v>15</v>
          </cell>
          <cell r="AF169">
            <v>14</v>
          </cell>
        </row>
        <row r="170">
          <cell r="Y170" t="str">
            <v>4907</v>
          </cell>
          <cell r="Z170">
            <v>49</v>
          </cell>
          <cell r="AA170" t="str">
            <v>農用井戸</v>
          </cell>
          <cell r="AB170">
            <v>7</v>
          </cell>
          <cell r="AC170" t="str">
            <v>土管</v>
          </cell>
          <cell r="AD170" t="str">
            <v>農用井戸土管</v>
          </cell>
          <cell r="AE170">
            <v>10</v>
          </cell>
          <cell r="AF170">
            <v>10</v>
          </cell>
        </row>
        <row r="171">
          <cell r="Y171" t="str">
            <v>4977</v>
          </cell>
          <cell r="Z171">
            <v>49</v>
          </cell>
          <cell r="AA171" t="str">
            <v>農用井戸</v>
          </cell>
          <cell r="AB171">
            <v>77</v>
          </cell>
          <cell r="AC171" t="str">
            <v>少額資産</v>
          </cell>
          <cell r="AD171" t="str">
            <v>農用井戸少額資産</v>
          </cell>
          <cell r="AE171">
            <v>3</v>
          </cell>
          <cell r="AF171">
            <v>3</v>
          </cell>
        </row>
        <row r="172">
          <cell r="Y172" t="str">
            <v>4999</v>
          </cell>
          <cell r="Z172">
            <v>49</v>
          </cell>
          <cell r="AA172" t="str">
            <v>農用井戸</v>
          </cell>
          <cell r="AB172">
            <v>99</v>
          </cell>
          <cell r="AC172" t="str">
            <v>その他</v>
          </cell>
          <cell r="AD172" t="str">
            <v>農用井戸その他</v>
          </cell>
          <cell r="AE172">
            <v>30</v>
          </cell>
          <cell r="AF172">
            <v>30</v>
          </cell>
        </row>
        <row r="173">
          <cell r="Y173" t="str">
            <v>5001</v>
          </cell>
          <cell r="Z173">
            <v>50</v>
          </cell>
          <cell r="AA173" t="str">
            <v>貯水槽</v>
          </cell>
          <cell r="AB173">
            <v>1</v>
          </cell>
          <cell r="AC173" t="str">
            <v>コンクリート</v>
          </cell>
          <cell r="AD173" t="str">
            <v>貯水槽コンクリート</v>
          </cell>
          <cell r="AE173">
            <v>20</v>
          </cell>
          <cell r="AF173">
            <v>17</v>
          </cell>
        </row>
        <row r="174">
          <cell r="Y174" t="str">
            <v>5002</v>
          </cell>
          <cell r="Z174">
            <v>50</v>
          </cell>
          <cell r="AA174" t="str">
            <v>貯水槽</v>
          </cell>
          <cell r="AB174">
            <v>2</v>
          </cell>
          <cell r="AC174" t="str">
            <v>れんが</v>
          </cell>
          <cell r="AD174" t="str">
            <v>貯水槽れんが</v>
          </cell>
          <cell r="AE174">
            <v>20</v>
          </cell>
          <cell r="AF174">
            <v>17</v>
          </cell>
        </row>
        <row r="175">
          <cell r="Y175" t="str">
            <v>5003</v>
          </cell>
          <cell r="Z175">
            <v>50</v>
          </cell>
          <cell r="AA175" t="str">
            <v>貯水槽</v>
          </cell>
          <cell r="AB175">
            <v>3</v>
          </cell>
          <cell r="AC175" t="str">
            <v>石</v>
          </cell>
          <cell r="AD175" t="str">
            <v>貯水槽石</v>
          </cell>
          <cell r="AE175">
            <v>20</v>
          </cell>
          <cell r="AF175">
            <v>17</v>
          </cell>
        </row>
        <row r="176">
          <cell r="Y176" t="str">
            <v>5004</v>
          </cell>
          <cell r="Z176">
            <v>50</v>
          </cell>
          <cell r="AA176" t="str">
            <v>貯水槽</v>
          </cell>
          <cell r="AB176">
            <v>4</v>
          </cell>
          <cell r="AC176" t="str">
            <v>ブロック</v>
          </cell>
          <cell r="AD176" t="str">
            <v>貯水槽ブロック</v>
          </cell>
          <cell r="AE176">
            <v>20</v>
          </cell>
          <cell r="AF176">
            <v>17</v>
          </cell>
        </row>
        <row r="177">
          <cell r="Y177" t="str">
            <v>5077</v>
          </cell>
          <cell r="Z177">
            <v>50</v>
          </cell>
          <cell r="AA177" t="str">
            <v>貯水槽</v>
          </cell>
          <cell r="AB177">
            <v>77</v>
          </cell>
          <cell r="AC177" t="str">
            <v>少額資産</v>
          </cell>
          <cell r="AD177" t="str">
            <v>貯水槽少額資産</v>
          </cell>
          <cell r="AE177">
            <v>3</v>
          </cell>
          <cell r="AF177">
            <v>3</v>
          </cell>
        </row>
        <row r="178">
          <cell r="Y178" t="str">
            <v>5099</v>
          </cell>
          <cell r="Z178">
            <v>50</v>
          </cell>
          <cell r="AA178" t="str">
            <v>貯水槽</v>
          </cell>
          <cell r="AB178">
            <v>99</v>
          </cell>
          <cell r="AC178" t="str">
            <v>その他</v>
          </cell>
          <cell r="AD178" t="str">
            <v>貯水槽その他</v>
          </cell>
          <cell r="AE178">
            <v>30</v>
          </cell>
          <cell r="AF178">
            <v>30</v>
          </cell>
        </row>
        <row r="179">
          <cell r="Y179" t="str">
            <v>5101</v>
          </cell>
          <cell r="Z179">
            <v>51</v>
          </cell>
          <cell r="AA179" t="str">
            <v>肥料だめ</v>
          </cell>
          <cell r="AB179">
            <v>1</v>
          </cell>
          <cell r="AC179" t="str">
            <v>コンクリート</v>
          </cell>
          <cell r="AD179" t="str">
            <v>肥料だめコンクリート</v>
          </cell>
          <cell r="AE179">
            <v>20</v>
          </cell>
          <cell r="AF179">
            <v>17</v>
          </cell>
        </row>
        <row r="180">
          <cell r="Y180" t="str">
            <v>5102</v>
          </cell>
          <cell r="Z180">
            <v>51</v>
          </cell>
          <cell r="AA180" t="str">
            <v>肥料だめ</v>
          </cell>
          <cell r="AB180">
            <v>2</v>
          </cell>
          <cell r="AC180" t="str">
            <v>れんが</v>
          </cell>
          <cell r="AD180" t="str">
            <v>肥料だめれんが</v>
          </cell>
          <cell r="AE180">
            <v>20</v>
          </cell>
          <cell r="AF180">
            <v>17</v>
          </cell>
        </row>
        <row r="181">
          <cell r="Y181" t="str">
            <v>5103</v>
          </cell>
          <cell r="Z181">
            <v>51</v>
          </cell>
          <cell r="AA181" t="str">
            <v>肥料だめ</v>
          </cell>
          <cell r="AB181">
            <v>3</v>
          </cell>
          <cell r="AC181" t="str">
            <v>石</v>
          </cell>
          <cell r="AD181" t="str">
            <v>肥料だめ石</v>
          </cell>
          <cell r="AE181">
            <v>20</v>
          </cell>
          <cell r="AF181">
            <v>17</v>
          </cell>
        </row>
        <row r="182">
          <cell r="Y182" t="str">
            <v>5104</v>
          </cell>
          <cell r="Z182">
            <v>51</v>
          </cell>
          <cell r="AA182" t="str">
            <v>肥料だめ</v>
          </cell>
          <cell r="AB182">
            <v>4</v>
          </cell>
          <cell r="AC182" t="str">
            <v>ブロック</v>
          </cell>
          <cell r="AD182" t="str">
            <v>肥料だめブロック</v>
          </cell>
          <cell r="AE182">
            <v>20</v>
          </cell>
          <cell r="AF182">
            <v>17</v>
          </cell>
        </row>
        <row r="183">
          <cell r="Y183" t="str">
            <v>5177</v>
          </cell>
          <cell r="Z183">
            <v>51</v>
          </cell>
          <cell r="AA183" t="str">
            <v>肥料だめ</v>
          </cell>
          <cell r="AB183">
            <v>77</v>
          </cell>
          <cell r="AC183" t="str">
            <v>少額資産</v>
          </cell>
          <cell r="AD183" t="str">
            <v>肥料だめ少額資産</v>
          </cell>
          <cell r="AE183">
            <v>3</v>
          </cell>
          <cell r="AF183">
            <v>3</v>
          </cell>
        </row>
        <row r="184">
          <cell r="Y184" t="str">
            <v>5199</v>
          </cell>
          <cell r="Z184">
            <v>51</v>
          </cell>
          <cell r="AA184" t="str">
            <v>肥料だめ</v>
          </cell>
          <cell r="AB184">
            <v>99</v>
          </cell>
          <cell r="AC184" t="str">
            <v>その他</v>
          </cell>
          <cell r="AD184" t="str">
            <v>肥料だめその他</v>
          </cell>
          <cell r="AE184">
            <v>30</v>
          </cell>
          <cell r="AF184">
            <v>30</v>
          </cell>
        </row>
        <row r="185">
          <cell r="Y185" t="str">
            <v>5301</v>
          </cell>
          <cell r="Z185">
            <v>53</v>
          </cell>
          <cell r="AA185" t="str">
            <v>薬剤用調合槽</v>
          </cell>
          <cell r="AB185">
            <v>1</v>
          </cell>
          <cell r="AC185" t="str">
            <v>コンクリート</v>
          </cell>
          <cell r="AD185" t="str">
            <v>薬剤用調合槽コンクリート</v>
          </cell>
          <cell r="AE185">
            <v>20</v>
          </cell>
          <cell r="AF185">
            <v>17</v>
          </cell>
        </row>
        <row r="186">
          <cell r="Y186" t="str">
            <v>5302</v>
          </cell>
          <cell r="Z186">
            <v>53</v>
          </cell>
          <cell r="AA186" t="str">
            <v>薬剤用調合槽</v>
          </cell>
          <cell r="AB186">
            <v>2</v>
          </cell>
          <cell r="AC186" t="str">
            <v>れんが</v>
          </cell>
          <cell r="AD186" t="str">
            <v>薬剤用調合槽れんが</v>
          </cell>
          <cell r="AE186">
            <v>20</v>
          </cell>
          <cell r="AF186">
            <v>17</v>
          </cell>
        </row>
        <row r="187">
          <cell r="Y187" t="str">
            <v>5303</v>
          </cell>
          <cell r="Z187">
            <v>53</v>
          </cell>
          <cell r="AA187" t="str">
            <v>薬剤用調合槽</v>
          </cell>
          <cell r="AB187">
            <v>3</v>
          </cell>
          <cell r="AC187" t="str">
            <v>石</v>
          </cell>
          <cell r="AD187" t="str">
            <v>薬剤用調合槽石</v>
          </cell>
          <cell r="AE187">
            <v>20</v>
          </cell>
          <cell r="AF187">
            <v>17</v>
          </cell>
        </row>
        <row r="188">
          <cell r="Y188" t="str">
            <v>5304</v>
          </cell>
          <cell r="Z188">
            <v>53</v>
          </cell>
          <cell r="AA188" t="str">
            <v>薬剤用調合槽</v>
          </cell>
          <cell r="AB188">
            <v>4</v>
          </cell>
          <cell r="AC188" t="str">
            <v>ブロック</v>
          </cell>
          <cell r="AD188" t="str">
            <v>薬剤用調合槽ブロック</v>
          </cell>
          <cell r="AE188">
            <v>20</v>
          </cell>
          <cell r="AF188">
            <v>17</v>
          </cell>
        </row>
        <row r="189">
          <cell r="Y189" t="str">
            <v>5377</v>
          </cell>
          <cell r="Z189">
            <v>53</v>
          </cell>
          <cell r="AA189" t="str">
            <v>薬剤用調合槽</v>
          </cell>
          <cell r="AB189">
            <v>77</v>
          </cell>
          <cell r="AC189" t="str">
            <v>少額資産</v>
          </cell>
          <cell r="AD189" t="str">
            <v>薬剤用調合槽少額資産</v>
          </cell>
          <cell r="AE189">
            <v>3</v>
          </cell>
          <cell r="AF189">
            <v>3</v>
          </cell>
        </row>
        <row r="190">
          <cell r="Y190" t="str">
            <v>5399</v>
          </cell>
          <cell r="Z190">
            <v>53</v>
          </cell>
          <cell r="AA190" t="str">
            <v>薬剤用調合槽</v>
          </cell>
          <cell r="AB190">
            <v>99</v>
          </cell>
          <cell r="AC190" t="str">
            <v>その他</v>
          </cell>
          <cell r="AD190" t="str">
            <v>薬剤用調合槽その他</v>
          </cell>
          <cell r="AE190">
            <v>30</v>
          </cell>
          <cell r="AF190">
            <v>30</v>
          </cell>
        </row>
        <row r="191">
          <cell r="Y191" t="str">
            <v>5501</v>
          </cell>
          <cell r="Z191">
            <v>55</v>
          </cell>
          <cell r="AA191" t="str">
            <v>斜降索道設備</v>
          </cell>
          <cell r="AB191">
            <v>1</v>
          </cell>
          <cell r="AC191" t="str">
            <v>コンクリート</v>
          </cell>
          <cell r="AD191" t="str">
            <v>斜降索道設備コンクリート</v>
          </cell>
          <cell r="AE191">
            <v>17</v>
          </cell>
          <cell r="AF191">
            <v>17</v>
          </cell>
        </row>
        <row r="192">
          <cell r="Y192" t="str">
            <v>5502</v>
          </cell>
          <cell r="Z192">
            <v>55</v>
          </cell>
          <cell r="AA192" t="str">
            <v>斜降索道設備</v>
          </cell>
          <cell r="AB192">
            <v>2</v>
          </cell>
          <cell r="AC192" t="str">
            <v>れんが</v>
          </cell>
          <cell r="AD192" t="str">
            <v>斜降索道設備れんが</v>
          </cell>
          <cell r="AE192">
            <v>17</v>
          </cell>
          <cell r="AF192">
            <v>17</v>
          </cell>
        </row>
        <row r="193">
          <cell r="Y193" t="str">
            <v>5503</v>
          </cell>
          <cell r="Z193">
            <v>55</v>
          </cell>
          <cell r="AA193" t="str">
            <v>斜降索道設備</v>
          </cell>
          <cell r="AB193">
            <v>3</v>
          </cell>
          <cell r="AC193" t="str">
            <v>石</v>
          </cell>
          <cell r="AD193" t="str">
            <v>斜降索道設備石</v>
          </cell>
          <cell r="AE193">
            <v>17</v>
          </cell>
          <cell r="AF193">
            <v>17</v>
          </cell>
        </row>
        <row r="194">
          <cell r="Y194" t="str">
            <v>5504</v>
          </cell>
          <cell r="Z194">
            <v>55</v>
          </cell>
          <cell r="AA194" t="str">
            <v>斜降索道設備</v>
          </cell>
          <cell r="AB194">
            <v>4</v>
          </cell>
          <cell r="AC194" t="str">
            <v>ブロック</v>
          </cell>
          <cell r="AD194" t="str">
            <v>斜降索道設備ブロック</v>
          </cell>
          <cell r="AE194">
            <v>17</v>
          </cell>
          <cell r="AF194">
            <v>17</v>
          </cell>
        </row>
        <row r="195">
          <cell r="Y195" t="str">
            <v>5505</v>
          </cell>
          <cell r="Z195">
            <v>55</v>
          </cell>
          <cell r="AA195" t="str">
            <v>斜降索道設備</v>
          </cell>
          <cell r="AB195">
            <v>5</v>
          </cell>
          <cell r="AC195" t="str">
            <v>金属</v>
          </cell>
          <cell r="AD195" t="str">
            <v>斜降索道設備金属</v>
          </cell>
          <cell r="AE195">
            <v>13</v>
          </cell>
          <cell r="AF195">
            <v>14</v>
          </cell>
        </row>
        <row r="196">
          <cell r="Y196" t="str">
            <v>5506</v>
          </cell>
          <cell r="Z196">
            <v>55</v>
          </cell>
          <cell r="AA196" t="str">
            <v>斜降索道設備</v>
          </cell>
          <cell r="AB196">
            <v>6</v>
          </cell>
          <cell r="AC196" t="str">
            <v>木造</v>
          </cell>
          <cell r="AD196" t="str">
            <v>斜降索道設備木造</v>
          </cell>
          <cell r="AE196">
            <v>5</v>
          </cell>
          <cell r="AF196">
            <v>5</v>
          </cell>
        </row>
        <row r="197">
          <cell r="Y197" t="str">
            <v>5577</v>
          </cell>
          <cell r="Z197">
            <v>55</v>
          </cell>
          <cell r="AA197" t="str">
            <v>斜降索道設備</v>
          </cell>
          <cell r="AB197">
            <v>77</v>
          </cell>
          <cell r="AC197" t="str">
            <v>少額資産</v>
          </cell>
          <cell r="AD197" t="str">
            <v>斜降索道設備少額資産</v>
          </cell>
          <cell r="AE197">
            <v>3</v>
          </cell>
          <cell r="AF197">
            <v>3</v>
          </cell>
        </row>
        <row r="198">
          <cell r="Y198" t="str">
            <v>5599</v>
          </cell>
          <cell r="Z198">
            <v>55</v>
          </cell>
          <cell r="AA198" t="str">
            <v>斜降索道設備</v>
          </cell>
          <cell r="AB198">
            <v>99</v>
          </cell>
          <cell r="AC198" t="str">
            <v>その他</v>
          </cell>
          <cell r="AD198" t="str">
            <v>斜降索道設備その他</v>
          </cell>
          <cell r="AE198">
            <v>30</v>
          </cell>
          <cell r="AF198">
            <v>30</v>
          </cell>
        </row>
        <row r="199">
          <cell r="Y199" t="str">
            <v>5605</v>
          </cell>
          <cell r="Z199">
            <v>56</v>
          </cell>
          <cell r="AA199" t="str">
            <v>モノレール</v>
          </cell>
          <cell r="AB199">
            <v>5</v>
          </cell>
          <cell r="AC199" t="str">
            <v>金属</v>
          </cell>
          <cell r="AD199" t="str">
            <v>モノレール金属</v>
          </cell>
          <cell r="AE199">
            <v>15</v>
          </cell>
          <cell r="AF199">
            <v>14</v>
          </cell>
        </row>
        <row r="200">
          <cell r="Y200" t="str">
            <v>5677</v>
          </cell>
          <cell r="Z200">
            <v>56</v>
          </cell>
          <cell r="AA200" t="str">
            <v>モノレール</v>
          </cell>
          <cell r="AB200">
            <v>77</v>
          </cell>
          <cell r="AC200" t="str">
            <v>少額資産</v>
          </cell>
          <cell r="AD200" t="str">
            <v>モノレール少額資産</v>
          </cell>
          <cell r="AE200">
            <v>3</v>
          </cell>
          <cell r="AF200">
            <v>3</v>
          </cell>
        </row>
        <row r="201">
          <cell r="Y201" t="str">
            <v>5699</v>
          </cell>
          <cell r="Z201">
            <v>56</v>
          </cell>
          <cell r="AA201" t="str">
            <v>モノレール</v>
          </cell>
          <cell r="AB201">
            <v>99</v>
          </cell>
          <cell r="AC201" t="str">
            <v>その他</v>
          </cell>
          <cell r="AD201" t="str">
            <v>モノレールその他</v>
          </cell>
          <cell r="AE201">
            <v>30</v>
          </cell>
          <cell r="AF201">
            <v>30</v>
          </cell>
        </row>
        <row r="202">
          <cell r="Y202" t="str">
            <v>5905</v>
          </cell>
          <cell r="Z202">
            <v>59</v>
          </cell>
          <cell r="AA202" t="str">
            <v>給水配管・パイプ</v>
          </cell>
          <cell r="AB202">
            <v>5</v>
          </cell>
          <cell r="AC202" t="str">
            <v>金属</v>
          </cell>
          <cell r="AD202" t="str">
            <v>給水配管・パイプ金属</v>
          </cell>
          <cell r="AE202">
            <v>15</v>
          </cell>
          <cell r="AF202">
            <v>14</v>
          </cell>
        </row>
        <row r="203">
          <cell r="Y203" t="str">
            <v>5909</v>
          </cell>
          <cell r="Z203">
            <v>59</v>
          </cell>
          <cell r="AA203" t="str">
            <v>給水配管・パイプ</v>
          </cell>
          <cell r="AB203">
            <v>9</v>
          </cell>
          <cell r="AC203" t="str">
            <v>塩化ビニール</v>
          </cell>
          <cell r="AD203" t="str">
            <v>給水配管・パイプ塩化ビニール</v>
          </cell>
          <cell r="AE203">
            <v>8</v>
          </cell>
          <cell r="AF203">
            <v>8</v>
          </cell>
        </row>
        <row r="204">
          <cell r="Y204" t="str">
            <v>5977</v>
          </cell>
          <cell r="Z204">
            <v>59</v>
          </cell>
          <cell r="AA204" t="str">
            <v>給水配管・パイプ</v>
          </cell>
          <cell r="AB204">
            <v>77</v>
          </cell>
          <cell r="AC204" t="str">
            <v>少額資産</v>
          </cell>
          <cell r="AD204" t="str">
            <v>給水配管・パイプ少額資産</v>
          </cell>
          <cell r="AE204">
            <v>3</v>
          </cell>
          <cell r="AF204">
            <v>3</v>
          </cell>
        </row>
        <row r="205">
          <cell r="Y205" t="str">
            <v>5999</v>
          </cell>
          <cell r="Z205">
            <v>59</v>
          </cell>
          <cell r="AA205" t="str">
            <v>給水配管・パイプ</v>
          </cell>
          <cell r="AB205">
            <v>99</v>
          </cell>
          <cell r="AC205" t="str">
            <v>その他</v>
          </cell>
          <cell r="AD205" t="str">
            <v>給水配管・パイプその他</v>
          </cell>
          <cell r="AE205">
            <v>30</v>
          </cell>
          <cell r="AF205">
            <v>30</v>
          </cell>
        </row>
        <row r="206">
          <cell r="Y206" t="str">
            <v>6201</v>
          </cell>
          <cell r="Z206">
            <v>62</v>
          </cell>
          <cell r="AA206" t="str">
            <v>たい肥盤</v>
          </cell>
          <cell r="AB206">
            <v>1</v>
          </cell>
          <cell r="AC206" t="str">
            <v>コンクリート</v>
          </cell>
          <cell r="AD206" t="str">
            <v>たい肥盤コンクリート</v>
          </cell>
          <cell r="AE206">
            <v>20</v>
          </cell>
          <cell r="AF206">
            <v>17</v>
          </cell>
        </row>
        <row r="207">
          <cell r="Y207" t="str">
            <v>6202</v>
          </cell>
          <cell r="Z207">
            <v>62</v>
          </cell>
          <cell r="AA207" t="str">
            <v>たい肥盤</v>
          </cell>
          <cell r="AB207">
            <v>2</v>
          </cell>
          <cell r="AC207" t="str">
            <v>れんが</v>
          </cell>
          <cell r="AD207" t="str">
            <v>たい肥盤れんが</v>
          </cell>
          <cell r="AE207">
            <v>20</v>
          </cell>
          <cell r="AF207">
            <v>17</v>
          </cell>
        </row>
        <row r="208">
          <cell r="Y208" t="str">
            <v>6203</v>
          </cell>
          <cell r="Z208">
            <v>62</v>
          </cell>
          <cell r="AA208" t="str">
            <v>たい肥盤</v>
          </cell>
          <cell r="AB208">
            <v>3</v>
          </cell>
          <cell r="AC208" t="str">
            <v>石</v>
          </cell>
          <cell r="AD208" t="str">
            <v>たい肥盤石</v>
          </cell>
          <cell r="AE208">
            <v>20</v>
          </cell>
          <cell r="AF208">
            <v>17</v>
          </cell>
        </row>
        <row r="209">
          <cell r="Y209" t="str">
            <v>6204</v>
          </cell>
          <cell r="Z209">
            <v>62</v>
          </cell>
          <cell r="AA209" t="str">
            <v>たい肥盤</v>
          </cell>
          <cell r="AB209">
            <v>4</v>
          </cell>
          <cell r="AC209" t="str">
            <v>ブロック</v>
          </cell>
          <cell r="AD209" t="str">
            <v>たい肥盤ブロック</v>
          </cell>
          <cell r="AE209">
            <v>20</v>
          </cell>
          <cell r="AF209">
            <v>17</v>
          </cell>
        </row>
        <row r="210">
          <cell r="Y210" t="str">
            <v>6277</v>
          </cell>
          <cell r="Z210">
            <v>62</v>
          </cell>
          <cell r="AA210" t="str">
            <v>たい肥盤</v>
          </cell>
          <cell r="AB210">
            <v>77</v>
          </cell>
          <cell r="AC210" t="str">
            <v>少額資産</v>
          </cell>
          <cell r="AD210" t="str">
            <v>たい肥盤少額資産</v>
          </cell>
          <cell r="AE210">
            <v>3</v>
          </cell>
          <cell r="AF210">
            <v>3</v>
          </cell>
        </row>
        <row r="211">
          <cell r="Y211" t="str">
            <v>6299</v>
          </cell>
          <cell r="Z211">
            <v>62</v>
          </cell>
          <cell r="AA211" t="str">
            <v>たい肥盤</v>
          </cell>
          <cell r="AB211">
            <v>99</v>
          </cell>
          <cell r="AC211" t="str">
            <v>その他</v>
          </cell>
          <cell r="AD211" t="str">
            <v>たい肥盤その他</v>
          </cell>
          <cell r="AE211">
            <v>30</v>
          </cell>
          <cell r="AF211">
            <v>30</v>
          </cell>
        </row>
        <row r="212">
          <cell r="Y212" t="str">
            <v>9901</v>
          </cell>
          <cell r="Z212">
            <v>99</v>
          </cell>
          <cell r="AA212" t="str">
            <v>その他の構築物</v>
          </cell>
          <cell r="AB212">
            <v>1</v>
          </cell>
          <cell r="AC212" t="str">
            <v>コンクリート</v>
          </cell>
          <cell r="AD212" t="str">
            <v>その他の構築物コンクリート</v>
          </cell>
          <cell r="AE212">
            <v>20</v>
          </cell>
          <cell r="AF212">
            <v>17</v>
          </cell>
        </row>
        <row r="213">
          <cell r="Y213" t="str">
            <v>9902</v>
          </cell>
          <cell r="Z213">
            <v>99</v>
          </cell>
          <cell r="AA213" t="str">
            <v>その他の構築物</v>
          </cell>
          <cell r="AB213">
            <v>2</v>
          </cell>
          <cell r="AC213" t="str">
            <v>れんが</v>
          </cell>
          <cell r="AD213" t="str">
            <v>その他の構築物れんが</v>
          </cell>
          <cell r="AE213">
            <v>20</v>
          </cell>
          <cell r="AF213">
            <v>17</v>
          </cell>
        </row>
        <row r="214">
          <cell r="Y214" t="str">
            <v>9903</v>
          </cell>
          <cell r="Z214">
            <v>99</v>
          </cell>
          <cell r="AA214" t="str">
            <v>その他の構築物</v>
          </cell>
          <cell r="AB214">
            <v>3</v>
          </cell>
          <cell r="AC214" t="str">
            <v>石</v>
          </cell>
          <cell r="AD214" t="str">
            <v>その他の構築物石</v>
          </cell>
          <cell r="AE214">
            <v>20</v>
          </cell>
          <cell r="AF214">
            <v>17</v>
          </cell>
        </row>
        <row r="215">
          <cell r="Y215" t="str">
            <v>9904</v>
          </cell>
          <cell r="Z215">
            <v>99</v>
          </cell>
          <cell r="AA215" t="str">
            <v>その他の構築物</v>
          </cell>
          <cell r="AB215">
            <v>4</v>
          </cell>
          <cell r="AC215" t="str">
            <v>ブロック</v>
          </cell>
          <cell r="AD215" t="str">
            <v>その他の構築物ブロック</v>
          </cell>
          <cell r="AE215">
            <v>20</v>
          </cell>
          <cell r="AF215">
            <v>17</v>
          </cell>
        </row>
        <row r="216">
          <cell r="Y216" t="str">
            <v>9905</v>
          </cell>
          <cell r="Z216">
            <v>99</v>
          </cell>
          <cell r="AA216" t="str">
            <v>その他の構築物</v>
          </cell>
          <cell r="AB216">
            <v>5</v>
          </cell>
          <cell r="AC216" t="str">
            <v>金属</v>
          </cell>
          <cell r="AD216" t="str">
            <v>その他の構築物金属</v>
          </cell>
          <cell r="AE216">
            <v>15</v>
          </cell>
          <cell r="AF216">
            <v>14</v>
          </cell>
        </row>
        <row r="217">
          <cell r="Y217" t="str">
            <v>9906</v>
          </cell>
          <cell r="Z217">
            <v>99</v>
          </cell>
          <cell r="AA217" t="str">
            <v>その他の構築物</v>
          </cell>
          <cell r="AB217">
            <v>6</v>
          </cell>
          <cell r="AC217" t="str">
            <v>木造</v>
          </cell>
          <cell r="AD217" t="str">
            <v>その他の構築物木造</v>
          </cell>
          <cell r="AE217">
            <v>5</v>
          </cell>
          <cell r="AF217">
            <v>5</v>
          </cell>
        </row>
        <row r="218">
          <cell r="Y218" t="str">
            <v>9907</v>
          </cell>
          <cell r="Z218">
            <v>99</v>
          </cell>
          <cell r="AA218" t="str">
            <v>その他の構築物</v>
          </cell>
          <cell r="AB218">
            <v>7</v>
          </cell>
          <cell r="AC218" t="str">
            <v>土管</v>
          </cell>
          <cell r="AD218" t="str">
            <v>その他の構築物土管</v>
          </cell>
          <cell r="AE218">
            <v>10</v>
          </cell>
          <cell r="AF218">
            <v>10</v>
          </cell>
        </row>
        <row r="219">
          <cell r="Y219" t="str">
            <v>9908</v>
          </cell>
          <cell r="Z219">
            <v>99</v>
          </cell>
          <cell r="AA219" t="str">
            <v>その他の構築物</v>
          </cell>
          <cell r="AB219">
            <v>8</v>
          </cell>
          <cell r="AC219" t="str">
            <v>合成樹脂</v>
          </cell>
          <cell r="AD219" t="str">
            <v>その他の構築物合成樹脂</v>
          </cell>
          <cell r="AE219">
            <v>8</v>
          </cell>
          <cell r="AF219">
            <v>8</v>
          </cell>
        </row>
        <row r="220">
          <cell r="Y220" t="str">
            <v>9909</v>
          </cell>
          <cell r="Z220">
            <v>99</v>
          </cell>
          <cell r="AA220" t="str">
            <v>その他の構築物</v>
          </cell>
          <cell r="AB220">
            <v>9</v>
          </cell>
          <cell r="AC220" t="str">
            <v>塩化ビニール</v>
          </cell>
          <cell r="AD220" t="str">
            <v>その他の構築物塩化ビニール</v>
          </cell>
          <cell r="AE220">
            <v>8</v>
          </cell>
          <cell r="AF220">
            <v>8</v>
          </cell>
        </row>
        <row r="221">
          <cell r="Y221" t="str">
            <v>9977</v>
          </cell>
          <cell r="Z221">
            <v>99</v>
          </cell>
          <cell r="AA221" t="str">
            <v>その他の構築物</v>
          </cell>
          <cell r="AB221">
            <v>77</v>
          </cell>
          <cell r="AC221" t="str">
            <v>少額資産</v>
          </cell>
          <cell r="AD221" t="str">
            <v>その他の構築物少額資産</v>
          </cell>
          <cell r="AE221">
            <v>3</v>
          </cell>
          <cell r="AF221">
            <v>3</v>
          </cell>
        </row>
        <row r="222">
          <cell r="Y222" t="str">
            <v>9999</v>
          </cell>
          <cell r="Z222">
            <v>99</v>
          </cell>
          <cell r="AA222" t="str">
            <v>その他の構築物</v>
          </cell>
          <cell r="AB222">
            <v>99</v>
          </cell>
          <cell r="AC222" t="str">
            <v>その他</v>
          </cell>
          <cell r="AD222" t="str">
            <v>その他の構築物その他</v>
          </cell>
          <cell r="AE222">
            <v>8</v>
          </cell>
          <cell r="AF222">
            <v>8</v>
          </cell>
        </row>
        <row r="224">
          <cell r="AA224" t="str">
            <v>農機具</v>
          </cell>
          <cell r="AC224" t="str">
            <v>型式</v>
          </cell>
          <cell r="AE224" t="str">
            <v>税制改正前</v>
          </cell>
          <cell r="AF224" t="str">
            <v>税制改正後</v>
          </cell>
        </row>
        <row r="225">
          <cell r="Y225" t="str">
            <v>00177</v>
          </cell>
          <cell r="Z225">
            <v>1</v>
          </cell>
          <cell r="AA225" t="str">
            <v>電動機</v>
          </cell>
          <cell r="AB225">
            <v>77</v>
          </cell>
          <cell r="AC225" t="str">
            <v>少額資産</v>
          </cell>
          <cell r="AD225" t="str">
            <v>電動機少額資産</v>
          </cell>
          <cell r="AE225">
            <v>3</v>
          </cell>
          <cell r="AF225">
            <v>3</v>
          </cell>
        </row>
        <row r="226">
          <cell r="Y226" t="str">
            <v>00199</v>
          </cell>
          <cell r="Z226">
            <v>1</v>
          </cell>
          <cell r="AA226" t="str">
            <v>電動機</v>
          </cell>
          <cell r="AB226">
            <v>99</v>
          </cell>
          <cell r="AC226" t="str">
            <v>その他</v>
          </cell>
          <cell r="AD226" t="str">
            <v>電動機その他</v>
          </cell>
          <cell r="AE226">
            <v>10</v>
          </cell>
          <cell r="AF226">
            <v>7</v>
          </cell>
        </row>
        <row r="227">
          <cell r="Y227" t="str">
            <v>00277</v>
          </cell>
          <cell r="Z227">
            <v>2</v>
          </cell>
          <cell r="AA227" t="str">
            <v>発動機・発電機</v>
          </cell>
          <cell r="AB227">
            <v>77</v>
          </cell>
          <cell r="AC227" t="str">
            <v>少額資産</v>
          </cell>
          <cell r="AD227" t="str">
            <v>発動機・発電機少額資産</v>
          </cell>
          <cell r="AE227">
            <v>3</v>
          </cell>
          <cell r="AF227">
            <v>3</v>
          </cell>
        </row>
        <row r="228">
          <cell r="Y228" t="str">
            <v>00299</v>
          </cell>
          <cell r="Z228">
            <v>2</v>
          </cell>
          <cell r="AA228" t="str">
            <v>発動機・発電機</v>
          </cell>
          <cell r="AB228">
            <v>99</v>
          </cell>
          <cell r="AC228" t="str">
            <v>その他</v>
          </cell>
          <cell r="AD228" t="str">
            <v>発動機・発電機その他</v>
          </cell>
          <cell r="AE228">
            <v>8</v>
          </cell>
          <cell r="AF228">
            <v>7</v>
          </cell>
        </row>
        <row r="229">
          <cell r="Y229" t="str">
            <v>00577</v>
          </cell>
          <cell r="Z229">
            <v>5</v>
          </cell>
          <cell r="AA229" t="str">
            <v>歩行用トラクター</v>
          </cell>
          <cell r="AB229">
            <v>77</v>
          </cell>
          <cell r="AC229" t="str">
            <v>少額資産</v>
          </cell>
          <cell r="AD229" t="str">
            <v>歩行用トラクター少額資産</v>
          </cell>
          <cell r="AE229">
            <v>3</v>
          </cell>
          <cell r="AF229">
            <v>3</v>
          </cell>
        </row>
        <row r="230">
          <cell r="Y230" t="str">
            <v>00599</v>
          </cell>
          <cell r="Z230">
            <v>5</v>
          </cell>
          <cell r="AA230" t="str">
            <v>歩行用トラクター</v>
          </cell>
          <cell r="AB230">
            <v>99</v>
          </cell>
          <cell r="AC230" t="str">
            <v>その他</v>
          </cell>
          <cell r="AD230" t="str">
            <v>歩行用トラクターその他</v>
          </cell>
          <cell r="AE230">
            <v>5</v>
          </cell>
          <cell r="AF230">
            <v>7</v>
          </cell>
        </row>
        <row r="231">
          <cell r="Y231" t="str">
            <v>00677</v>
          </cell>
          <cell r="Z231">
            <v>6</v>
          </cell>
          <cell r="AA231" t="str">
            <v>乗用トラクター</v>
          </cell>
          <cell r="AB231">
            <v>77</v>
          </cell>
          <cell r="AC231" t="str">
            <v>少額資産</v>
          </cell>
          <cell r="AD231" t="str">
            <v>乗用トラクター少額資産</v>
          </cell>
          <cell r="AE231">
            <v>3</v>
          </cell>
          <cell r="AF231">
            <v>3</v>
          </cell>
        </row>
        <row r="232">
          <cell r="Y232" t="str">
            <v>00699</v>
          </cell>
          <cell r="Z232">
            <v>6</v>
          </cell>
          <cell r="AA232" t="str">
            <v>乗用トラクター</v>
          </cell>
          <cell r="AB232">
            <v>99</v>
          </cell>
          <cell r="AC232" t="str">
            <v>その他</v>
          </cell>
          <cell r="AD232" t="str">
            <v>乗用トラクターその他</v>
          </cell>
          <cell r="AE232">
            <v>8</v>
          </cell>
          <cell r="AF232">
            <v>7</v>
          </cell>
        </row>
        <row r="233">
          <cell r="Y233" t="str">
            <v>00777</v>
          </cell>
          <cell r="Z233">
            <v>7</v>
          </cell>
          <cell r="AA233" t="str">
            <v>耕土改良・耕うん・砕土・整地用機具</v>
          </cell>
          <cell r="AB233">
            <v>77</v>
          </cell>
          <cell r="AC233" t="str">
            <v>少額資産</v>
          </cell>
          <cell r="AD233" t="str">
            <v>耕土改良・耕うん・砕土・整地用機具少額資産</v>
          </cell>
          <cell r="AE233">
            <v>3</v>
          </cell>
          <cell r="AF233">
            <v>3</v>
          </cell>
        </row>
        <row r="234">
          <cell r="Y234" t="str">
            <v>00799</v>
          </cell>
          <cell r="Z234">
            <v>7</v>
          </cell>
          <cell r="AA234" t="str">
            <v>耕土改良・耕うん・砕土・整地用機具</v>
          </cell>
          <cell r="AB234">
            <v>99</v>
          </cell>
          <cell r="AC234" t="str">
            <v>その他</v>
          </cell>
          <cell r="AD234" t="str">
            <v>耕土改良・耕うん・砕土・整地用機具その他</v>
          </cell>
          <cell r="AE234">
            <v>5</v>
          </cell>
          <cell r="AF234">
            <v>7</v>
          </cell>
        </row>
        <row r="235">
          <cell r="Y235" t="str">
            <v>01177</v>
          </cell>
          <cell r="Z235">
            <v>11</v>
          </cell>
          <cell r="AA235" t="str">
            <v>畝立・マルチ用機具</v>
          </cell>
          <cell r="AB235">
            <v>77</v>
          </cell>
          <cell r="AC235" t="str">
            <v>少額資産</v>
          </cell>
          <cell r="AD235" t="str">
            <v>畝立・マルチ用機具少額資産</v>
          </cell>
          <cell r="AE235">
            <v>3</v>
          </cell>
          <cell r="AF235">
            <v>3</v>
          </cell>
        </row>
        <row r="236">
          <cell r="Y236" t="str">
            <v>01199</v>
          </cell>
          <cell r="Z236">
            <v>11</v>
          </cell>
          <cell r="AA236" t="str">
            <v>畝立・マルチ用機具</v>
          </cell>
          <cell r="AB236">
            <v>99</v>
          </cell>
          <cell r="AC236" t="str">
            <v>その他</v>
          </cell>
          <cell r="AD236" t="str">
            <v>畝立・マルチ用機具その他</v>
          </cell>
          <cell r="AE236">
            <v>5</v>
          </cell>
          <cell r="AF236">
            <v>7</v>
          </cell>
        </row>
        <row r="237">
          <cell r="Y237" t="str">
            <v>01277</v>
          </cell>
          <cell r="Z237">
            <v>12</v>
          </cell>
          <cell r="AA237" t="str">
            <v>施肥・は種用機具</v>
          </cell>
          <cell r="AB237">
            <v>77</v>
          </cell>
          <cell r="AC237" t="str">
            <v>少額資産</v>
          </cell>
          <cell r="AD237" t="str">
            <v>施肥・は種用機具少額資産</v>
          </cell>
          <cell r="AE237">
            <v>3</v>
          </cell>
          <cell r="AF237">
            <v>3</v>
          </cell>
        </row>
        <row r="238">
          <cell r="Y238" t="str">
            <v>01299</v>
          </cell>
          <cell r="Z238">
            <v>12</v>
          </cell>
          <cell r="AA238" t="str">
            <v>施肥・は種用機具</v>
          </cell>
          <cell r="AB238">
            <v>99</v>
          </cell>
          <cell r="AC238" t="str">
            <v>その他</v>
          </cell>
          <cell r="AD238" t="str">
            <v>施肥・は種用機具その他</v>
          </cell>
          <cell r="AE238">
            <v>5</v>
          </cell>
          <cell r="AF238">
            <v>7</v>
          </cell>
        </row>
        <row r="239">
          <cell r="Y239" t="str">
            <v>01777</v>
          </cell>
          <cell r="Z239">
            <v>17</v>
          </cell>
          <cell r="AA239" t="str">
            <v>移植・育苗用機具</v>
          </cell>
          <cell r="AB239">
            <v>77</v>
          </cell>
          <cell r="AC239" t="str">
            <v>少額資産</v>
          </cell>
          <cell r="AD239" t="str">
            <v>移植・育苗用機具少額資産</v>
          </cell>
          <cell r="AE239">
            <v>3</v>
          </cell>
          <cell r="AF239">
            <v>3</v>
          </cell>
        </row>
        <row r="240">
          <cell r="Y240" t="str">
            <v>01799</v>
          </cell>
          <cell r="Z240">
            <v>17</v>
          </cell>
          <cell r="AA240" t="str">
            <v>移植・育苗用機具</v>
          </cell>
          <cell r="AB240">
            <v>99</v>
          </cell>
          <cell r="AC240" t="str">
            <v>その他</v>
          </cell>
          <cell r="AD240" t="str">
            <v>移植・育苗用機具その他</v>
          </cell>
          <cell r="AE240">
            <v>5</v>
          </cell>
          <cell r="AF240">
            <v>7</v>
          </cell>
        </row>
        <row r="241">
          <cell r="Y241" t="str">
            <v>02177</v>
          </cell>
          <cell r="Z241">
            <v>21</v>
          </cell>
          <cell r="AA241" t="str">
            <v>管理用機具</v>
          </cell>
          <cell r="AB241">
            <v>77</v>
          </cell>
          <cell r="AC241" t="str">
            <v>少額資産</v>
          </cell>
          <cell r="AD241" t="str">
            <v>管理用機具少額資産</v>
          </cell>
          <cell r="AE241">
            <v>3</v>
          </cell>
          <cell r="AF241">
            <v>3</v>
          </cell>
        </row>
        <row r="242">
          <cell r="Y242" t="str">
            <v>02199</v>
          </cell>
          <cell r="Z242">
            <v>21</v>
          </cell>
          <cell r="AA242" t="str">
            <v>管理用機具</v>
          </cell>
          <cell r="AB242">
            <v>99</v>
          </cell>
          <cell r="AC242" t="str">
            <v>その他</v>
          </cell>
          <cell r="AD242" t="str">
            <v>管理用機具その他</v>
          </cell>
          <cell r="AE242">
            <v>5</v>
          </cell>
          <cell r="AF242">
            <v>7</v>
          </cell>
        </row>
        <row r="243">
          <cell r="Y243" t="str">
            <v>02677</v>
          </cell>
          <cell r="Z243">
            <v>26</v>
          </cell>
          <cell r="AA243" t="str">
            <v>防除用機具</v>
          </cell>
          <cell r="AB243">
            <v>77</v>
          </cell>
          <cell r="AC243" t="str">
            <v>少額資産</v>
          </cell>
          <cell r="AD243" t="str">
            <v>防除用機具少額資産</v>
          </cell>
          <cell r="AE243">
            <v>3</v>
          </cell>
          <cell r="AF243">
            <v>3</v>
          </cell>
        </row>
        <row r="244">
          <cell r="Y244" t="str">
            <v>02699</v>
          </cell>
          <cell r="Z244">
            <v>26</v>
          </cell>
          <cell r="AA244" t="str">
            <v>防除用機具</v>
          </cell>
          <cell r="AB244">
            <v>99</v>
          </cell>
          <cell r="AC244" t="str">
            <v>その他</v>
          </cell>
          <cell r="AD244" t="str">
            <v>防除用機具その他</v>
          </cell>
          <cell r="AE244">
            <v>5</v>
          </cell>
          <cell r="AF244">
            <v>7</v>
          </cell>
        </row>
        <row r="245">
          <cell r="Y245" t="str">
            <v>03277</v>
          </cell>
          <cell r="Z245">
            <v>32</v>
          </cell>
          <cell r="AA245" t="str">
            <v>収穫・乾燥・調整用機具</v>
          </cell>
          <cell r="AB245">
            <v>77</v>
          </cell>
          <cell r="AC245" t="str">
            <v>少額資産</v>
          </cell>
          <cell r="AD245" t="str">
            <v>収穫・乾燥・調整用機具少額資産</v>
          </cell>
          <cell r="AE245">
            <v>3</v>
          </cell>
          <cell r="AF245">
            <v>3</v>
          </cell>
        </row>
        <row r="246">
          <cell r="Y246" t="str">
            <v>03299</v>
          </cell>
          <cell r="Z246">
            <v>32</v>
          </cell>
          <cell r="AA246" t="str">
            <v>収穫・乾燥・調整用機具</v>
          </cell>
          <cell r="AB246">
            <v>99</v>
          </cell>
          <cell r="AC246" t="str">
            <v>その他</v>
          </cell>
          <cell r="AD246" t="str">
            <v>収穫・乾燥・調整用機具その他</v>
          </cell>
          <cell r="AE246">
            <v>5</v>
          </cell>
          <cell r="AF246">
            <v>7</v>
          </cell>
        </row>
        <row r="247">
          <cell r="Y247" t="str">
            <v>03477</v>
          </cell>
          <cell r="Z247">
            <v>34</v>
          </cell>
          <cell r="AA247" t="str">
            <v>普通型コンバイン</v>
          </cell>
          <cell r="AB247">
            <v>77</v>
          </cell>
          <cell r="AC247" t="str">
            <v>少額資産</v>
          </cell>
          <cell r="AD247" t="str">
            <v>普通型コンバイン少額資産</v>
          </cell>
          <cell r="AE247">
            <v>3</v>
          </cell>
          <cell r="AF247">
            <v>3</v>
          </cell>
        </row>
        <row r="248">
          <cell r="Y248" t="str">
            <v>03499</v>
          </cell>
          <cell r="Z248">
            <v>34</v>
          </cell>
          <cell r="AA248" t="str">
            <v>普通型コンバイン</v>
          </cell>
          <cell r="AB248">
            <v>99</v>
          </cell>
          <cell r="AC248" t="str">
            <v>その他</v>
          </cell>
          <cell r="AD248" t="str">
            <v>普通型コンバインその他</v>
          </cell>
          <cell r="AE248">
            <v>8</v>
          </cell>
          <cell r="AF248">
            <v>7</v>
          </cell>
        </row>
        <row r="249">
          <cell r="Y249" t="str">
            <v>04277</v>
          </cell>
          <cell r="Z249">
            <v>42</v>
          </cell>
          <cell r="AA249" t="str">
            <v>自動脱穀機</v>
          </cell>
          <cell r="AB249">
            <v>77</v>
          </cell>
          <cell r="AC249" t="str">
            <v>少額資産</v>
          </cell>
          <cell r="AD249" t="str">
            <v>自動脱穀機少額資産</v>
          </cell>
          <cell r="AE249">
            <v>3</v>
          </cell>
          <cell r="AF249">
            <v>3</v>
          </cell>
        </row>
        <row r="250">
          <cell r="Y250" t="str">
            <v>04299</v>
          </cell>
          <cell r="Z250">
            <v>42</v>
          </cell>
          <cell r="AA250" t="str">
            <v>自動脱穀機</v>
          </cell>
          <cell r="AB250">
            <v>99</v>
          </cell>
          <cell r="AC250" t="str">
            <v>その他</v>
          </cell>
          <cell r="AD250" t="str">
            <v>自動脱穀機その他</v>
          </cell>
          <cell r="AE250">
            <v>8</v>
          </cell>
          <cell r="AF250">
            <v>7</v>
          </cell>
        </row>
        <row r="251">
          <cell r="Y251" t="str">
            <v>04477</v>
          </cell>
          <cell r="Z251">
            <v>44</v>
          </cell>
          <cell r="AA251" t="str">
            <v>選別機</v>
          </cell>
          <cell r="AB251">
            <v>77</v>
          </cell>
          <cell r="AC251" t="str">
            <v>少額資産</v>
          </cell>
          <cell r="AD251" t="str">
            <v>選別機少額資産</v>
          </cell>
          <cell r="AE251">
            <v>3</v>
          </cell>
          <cell r="AF251">
            <v>3</v>
          </cell>
        </row>
        <row r="252">
          <cell r="Y252" t="str">
            <v>04499</v>
          </cell>
          <cell r="Z252">
            <v>44</v>
          </cell>
          <cell r="AA252" t="str">
            <v>選別機</v>
          </cell>
          <cell r="AB252">
            <v>99</v>
          </cell>
          <cell r="AC252" t="str">
            <v>その他</v>
          </cell>
          <cell r="AD252" t="str">
            <v>選別機その他</v>
          </cell>
          <cell r="AE252">
            <v>8</v>
          </cell>
          <cell r="AF252">
            <v>7</v>
          </cell>
        </row>
        <row r="253">
          <cell r="Y253" t="str">
            <v>04577</v>
          </cell>
          <cell r="Z253">
            <v>45</v>
          </cell>
          <cell r="AA253" t="str">
            <v>皮剥機</v>
          </cell>
          <cell r="AB253">
            <v>77</v>
          </cell>
          <cell r="AC253" t="str">
            <v>少額資産</v>
          </cell>
          <cell r="AD253" t="str">
            <v>皮剥機少額資産</v>
          </cell>
          <cell r="AE253">
            <v>3</v>
          </cell>
          <cell r="AF253">
            <v>3</v>
          </cell>
        </row>
        <row r="254">
          <cell r="Y254" t="str">
            <v>04599</v>
          </cell>
          <cell r="Z254">
            <v>45</v>
          </cell>
          <cell r="AA254" t="str">
            <v>皮剥機</v>
          </cell>
          <cell r="AB254">
            <v>99</v>
          </cell>
          <cell r="AC254" t="str">
            <v>その他</v>
          </cell>
          <cell r="AD254" t="str">
            <v>皮剥機その他</v>
          </cell>
          <cell r="AE254">
            <v>8</v>
          </cell>
          <cell r="AF254">
            <v>7</v>
          </cell>
        </row>
        <row r="255">
          <cell r="Y255" t="str">
            <v>04877</v>
          </cell>
          <cell r="Z255">
            <v>48</v>
          </cell>
          <cell r="AA255" t="str">
            <v>乾燥機</v>
          </cell>
          <cell r="AB255">
            <v>77</v>
          </cell>
          <cell r="AC255" t="str">
            <v>少額資産</v>
          </cell>
          <cell r="AD255" t="str">
            <v>乾燥機少額資産</v>
          </cell>
          <cell r="AE255">
            <v>3</v>
          </cell>
          <cell r="AF255">
            <v>3</v>
          </cell>
        </row>
        <row r="256">
          <cell r="Y256" t="str">
            <v>04899</v>
          </cell>
          <cell r="Z256">
            <v>48</v>
          </cell>
          <cell r="AA256" t="str">
            <v>乾燥機</v>
          </cell>
          <cell r="AB256">
            <v>99</v>
          </cell>
          <cell r="AC256" t="str">
            <v>その他</v>
          </cell>
          <cell r="AD256" t="str">
            <v>乾燥機その他</v>
          </cell>
          <cell r="AE256">
            <v>8</v>
          </cell>
          <cell r="AF256">
            <v>7</v>
          </cell>
        </row>
        <row r="257">
          <cell r="Y257" t="str">
            <v>04977</v>
          </cell>
          <cell r="Z257">
            <v>49</v>
          </cell>
          <cell r="AA257" t="str">
            <v>もみすり機</v>
          </cell>
          <cell r="AB257">
            <v>77</v>
          </cell>
          <cell r="AC257" t="str">
            <v>少額資産</v>
          </cell>
          <cell r="AD257" t="str">
            <v>もみすり機少額資産</v>
          </cell>
          <cell r="AE257">
            <v>3</v>
          </cell>
          <cell r="AF257">
            <v>3</v>
          </cell>
        </row>
        <row r="258">
          <cell r="Y258" t="str">
            <v>04999</v>
          </cell>
          <cell r="Z258">
            <v>49</v>
          </cell>
          <cell r="AA258" t="str">
            <v>もみすり機</v>
          </cell>
          <cell r="AB258">
            <v>99</v>
          </cell>
          <cell r="AC258" t="str">
            <v>その他</v>
          </cell>
          <cell r="AD258" t="str">
            <v>もみすり機その他</v>
          </cell>
          <cell r="AE258">
            <v>8</v>
          </cell>
          <cell r="AF258">
            <v>7</v>
          </cell>
        </row>
        <row r="259">
          <cell r="Y259" t="str">
            <v>08177</v>
          </cell>
          <cell r="Z259">
            <v>81</v>
          </cell>
          <cell r="AA259" t="str">
            <v>運搬用機具</v>
          </cell>
          <cell r="AB259">
            <v>77</v>
          </cell>
          <cell r="AC259" t="str">
            <v>少額資産</v>
          </cell>
          <cell r="AD259" t="str">
            <v>運搬用機具少額資産</v>
          </cell>
          <cell r="AE259">
            <v>3</v>
          </cell>
          <cell r="AF259">
            <v>3</v>
          </cell>
        </row>
        <row r="260">
          <cell r="Y260" t="str">
            <v>08199</v>
          </cell>
          <cell r="Z260">
            <v>81</v>
          </cell>
          <cell r="AA260" t="str">
            <v>運搬用機具</v>
          </cell>
          <cell r="AB260">
            <v>99</v>
          </cell>
          <cell r="AC260" t="str">
            <v>その他</v>
          </cell>
          <cell r="AD260" t="str">
            <v>運搬用機具その他</v>
          </cell>
          <cell r="AE260">
            <v>4</v>
          </cell>
          <cell r="AF260">
            <v>4</v>
          </cell>
        </row>
        <row r="261">
          <cell r="Y261" t="str">
            <v>08477</v>
          </cell>
          <cell r="Z261">
            <v>84</v>
          </cell>
          <cell r="AA261" t="str">
            <v>冷蔵庫</v>
          </cell>
          <cell r="AB261">
            <v>77</v>
          </cell>
          <cell r="AC261" t="str">
            <v>少額資産</v>
          </cell>
          <cell r="AD261" t="str">
            <v>冷蔵庫少額資産</v>
          </cell>
          <cell r="AE261">
            <v>3</v>
          </cell>
          <cell r="AF261">
            <v>3</v>
          </cell>
        </row>
        <row r="262">
          <cell r="Y262" t="str">
            <v>08499</v>
          </cell>
          <cell r="Z262">
            <v>84</v>
          </cell>
          <cell r="AA262" t="str">
            <v>冷蔵庫</v>
          </cell>
          <cell r="AB262">
            <v>99</v>
          </cell>
          <cell r="AC262" t="str">
            <v>その他</v>
          </cell>
          <cell r="AD262" t="str">
            <v>冷蔵庫その他</v>
          </cell>
          <cell r="AE262">
            <v>6</v>
          </cell>
          <cell r="AF262">
            <v>6</v>
          </cell>
        </row>
        <row r="263">
          <cell r="Y263" t="str">
            <v>08577</v>
          </cell>
          <cell r="Z263">
            <v>85</v>
          </cell>
          <cell r="AA263" t="str">
            <v>暖房機</v>
          </cell>
          <cell r="AB263">
            <v>77</v>
          </cell>
          <cell r="AC263" t="str">
            <v>少額資産</v>
          </cell>
          <cell r="AD263" t="str">
            <v>暖房機少額資産</v>
          </cell>
          <cell r="AE263">
            <v>3</v>
          </cell>
          <cell r="AF263">
            <v>3</v>
          </cell>
        </row>
        <row r="264">
          <cell r="Y264" t="str">
            <v>08599</v>
          </cell>
          <cell r="Z264">
            <v>85</v>
          </cell>
          <cell r="AA264" t="str">
            <v>暖房機</v>
          </cell>
          <cell r="AB264">
            <v>99</v>
          </cell>
          <cell r="AC264" t="str">
            <v>その他</v>
          </cell>
          <cell r="AD264" t="str">
            <v>暖房機その他</v>
          </cell>
          <cell r="AE264">
            <v>5</v>
          </cell>
          <cell r="AF264">
            <v>7</v>
          </cell>
        </row>
        <row r="265">
          <cell r="Y265" t="str">
            <v>09901</v>
          </cell>
          <cell r="Z265">
            <v>99</v>
          </cell>
          <cell r="AA265" t="str">
            <v>その他の農機具</v>
          </cell>
          <cell r="AB265">
            <v>1</v>
          </cell>
          <cell r="AC265" t="str">
            <v>その他・耐用年数３年</v>
          </cell>
          <cell r="AD265" t="str">
            <v>その他の農機具その他・耐用年数３年</v>
          </cell>
          <cell r="AE265">
            <v>3</v>
          </cell>
          <cell r="AF265">
            <v>3</v>
          </cell>
        </row>
        <row r="266">
          <cell r="Y266" t="str">
            <v>09902</v>
          </cell>
          <cell r="Z266">
            <v>99</v>
          </cell>
          <cell r="AA266" t="str">
            <v>その他の農機具</v>
          </cell>
          <cell r="AB266">
            <v>2</v>
          </cell>
          <cell r="AC266" t="str">
            <v>その他・耐用年数４年</v>
          </cell>
          <cell r="AD266" t="str">
            <v>その他の農機具その他・耐用年数４年</v>
          </cell>
          <cell r="AE266">
            <v>4</v>
          </cell>
          <cell r="AF266">
            <v>4</v>
          </cell>
        </row>
        <row r="267">
          <cell r="Y267" t="str">
            <v>09903</v>
          </cell>
          <cell r="Z267">
            <v>99</v>
          </cell>
          <cell r="AA267" t="str">
            <v>その他の農機具</v>
          </cell>
          <cell r="AB267">
            <v>3</v>
          </cell>
          <cell r="AC267" t="str">
            <v>その他・耐用年数５年</v>
          </cell>
          <cell r="AD267" t="str">
            <v>その他の農機具その他・耐用年数５年</v>
          </cell>
          <cell r="AE267">
            <v>5</v>
          </cell>
          <cell r="AF267">
            <v>5</v>
          </cell>
        </row>
        <row r="268">
          <cell r="Y268" t="str">
            <v>09904</v>
          </cell>
          <cell r="Z268">
            <v>99</v>
          </cell>
          <cell r="AA268" t="str">
            <v>その他の農機具</v>
          </cell>
          <cell r="AB268">
            <v>4</v>
          </cell>
          <cell r="AC268" t="str">
            <v>その他・耐用年数６年</v>
          </cell>
          <cell r="AD268" t="str">
            <v>その他の農機具その他・耐用年数６年</v>
          </cell>
          <cell r="AE268">
            <v>6</v>
          </cell>
          <cell r="AF268">
            <v>6</v>
          </cell>
        </row>
        <row r="269">
          <cell r="Y269" t="str">
            <v>09905</v>
          </cell>
          <cell r="Z269">
            <v>99</v>
          </cell>
          <cell r="AA269" t="str">
            <v>その他の農機具</v>
          </cell>
          <cell r="AB269">
            <v>5</v>
          </cell>
          <cell r="AC269" t="str">
            <v>その他・耐用年数７年</v>
          </cell>
          <cell r="AD269" t="str">
            <v>その他の農機具その他・耐用年数７年</v>
          </cell>
          <cell r="AE269">
            <v>7</v>
          </cell>
          <cell r="AF269">
            <v>7</v>
          </cell>
        </row>
        <row r="270">
          <cell r="Y270" t="str">
            <v>09977</v>
          </cell>
          <cell r="Z270">
            <v>99</v>
          </cell>
          <cell r="AA270" t="str">
            <v>その他の農機具</v>
          </cell>
          <cell r="AB270">
            <v>77</v>
          </cell>
          <cell r="AC270" t="str">
            <v>少額資産</v>
          </cell>
          <cell r="AD270" t="str">
            <v>その他の農機具少額資産</v>
          </cell>
          <cell r="AE270">
            <v>3</v>
          </cell>
          <cell r="AF270">
            <v>3</v>
          </cell>
        </row>
        <row r="271">
          <cell r="Y271" t="str">
            <v>10177</v>
          </cell>
          <cell r="Z271">
            <v>101</v>
          </cell>
          <cell r="AA271" t="str">
            <v>パソコン(ｻｰﾊﾞｰ用除く)</v>
          </cell>
          <cell r="AB271">
            <v>77</v>
          </cell>
          <cell r="AC271" t="str">
            <v>少額資産</v>
          </cell>
          <cell r="AD271" t="str">
            <v>パソコン(ｻｰﾊﾞｰ用除く)少額資産</v>
          </cell>
          <cell r="AE271">
            <v>3</v>
          </cell>
          <cell r="AF271">
            <v>3</v>
          </cell>
        </row>
        <row r="272">
          <cell r="Y272" t="str">
            <v>10199</v>
          </cell>
          <cell r="Z272">
            <v>101</v>
          </cell>
          <cell r="AA272" t="str">
            <v>パソコン(ｻｰﾊﾞｰ用除く)</v>
          </cell>
          <cell r="AB272">
            <v>99</v>
          </cell>
          <cell r="AC272" t="str">
            <v>その他</v>
          </cell>
          <cell r="AD272" t="str">
            <v>パソコン(ｻｰﾊﾞｰ用除く)その他</v>
          </cell>
          <cell r="AE272">
            <v>4</v>
          </cell>
          <cell r="AF272">
            <v>4</v>
          </cell>
        </row>
        <row r="273">
          <cell r="Y273" t="str">
            <v>10377</v>
          </cell>
          <cell r="Z273">
            <v>103</v>
          </cell>
          <cell r="AA273" t="str">
            <v>ソフトウェア</v>
          </cell>
          <cell r="AB273">
            <v>77</v>
          </cell>
          <cell r="AC273" t="str">
            <v>少額資産</v>
          </cell>
          <cell r="AD273" t="str">
            <v>ソフトウェア少額資産</v>
          </cell>
          <cell r="AE273">
            <v>3</v>
          </cell>
          <cell r="AF273">
            <v>3</v>
          </cell>
        </row>
        <row r="274">
          <cell r="Y274" t="str">
            <v>10399</v>
          </cell>
          <cell r="Z274">
            <v>103</v>
          </cell>
          <cell r="AA274" t="str">
            <v>ソフトウェア</v>
          </cell>
          <cell r="AB274">
            <v>99</v>
          </cell>
          <cell r="AC274" t="str">
            <v>その他</v>
          </cell>
          <cell r="AD274" t="str">
            <v>ソフトウェアその他</v>
          </cell>
          <cell r="AE274">
            <v>3</v>
          </cell>
          <cell r="AF274">
            <v>3</v>
          </cell>
        </row>
        <row r="275">
          <cell r="Y275" t="str">
            <v>11001</v>
          </cell>
          <cell r="Z275">
            <v>110</v>
          </cell>
          <cell r="AA275" t="str">
            <v>企画管理機器</v>
          </cell>
          <cell r="AB275">
            <v>1</v>
          </cell>
          <cell r="AC275" t="str">
            <v>その他・耐用年数３年</v>
          </cell>
          <cell r="AD275" t="str">
            <v>企画管理機器その他・耐用年数３年</v>
          </cell>
          <cell r="AE275">
            <v>3</v>
          </cell>
          <cell r="AF275">
            <v>3</v>
          </cell>
        </row>
        <row r="276">
          <cell r="Y276" t="str">
            <v>11002</v>
          </cell>
          <cell r="Z276">
            <v>110</v>
          </cell>
          <cell r="AA276" t="str">
            <v>企画管理機器</v>
          </cell>
          <cell r="AB276">
            <v>2</v>
          </cell>
          <cell r="AC276" t="str">
            <v>その他・耐用年数４年</v>
          </cell>
          <cell r="AD276" t="str">
            <v>企画管理機器その他・耐用年数４年</v>
          </cell>
          <cell r="AE276">
            <v>4</v>
          </cell>
          <cell r="AF276">
            <v>4</v>
          </cell>
        </row>
        <row r="277">
          <cell r="Y277" t="str">
            <v>11003</v>
          </cell>
          <cell r="Z277">
            <v>110</v>
          </cell>
          <cell r="AA277" t="str">
            <v>企画管理機器</v>
          </cell>
          <cell r="AB277">
            <v>3</v>
          </cell>
          <cell r="AC277" t="str">
            <v>その他・耐用年数５年</v>
          </cell>
          <cell r="AD277" t="str">
            <v>企画管理機器その他・耐用年数５年</v>
          </cell>
          <cell r="AE277">
            <v>5</v>
          </cell>
          <cell r="AF277">
            <v>5</v>
          </cell>
        </row>
        <row r="278">
          <cell r="Y278" t="str">
            <v>11004</v>
          </cell>
          <cell r="Z278">
            <v>110</v>
          </cell>
          <cell r="AA278" t="str">
            <v>企画管理機器</v>
          </cell>
          <cell r="AB278">
            <v>4</v>
          </cell>
          <cell r="AC278" t="str">
            <v>その他・耐用年数６年</v>
          </cell>
          <cell r="AD278" t="str">
            <v>企画管理機器その他・耐用年数６年</v>
          </cell>
          <cell r="AE278">
            <v>6</v>
          </cell>
          <cell r="AF278">
            <v>6</v>
          </cell>
        </row>
        <row r="279">
          <cell r="Y279" t="str">
            <v>11005</v>
          </cell>
          <cell r="Z279">
            <v>110</v>
          </cell>
          <cell r="AA279" t="str">
            <v>企画管理機器</v>
          </cell>
          <cell r="AB279">
            <v>5</v>
          </cell>
          <cell r="AC279" t="str">
            <v>その他・耐用年数７年</v>
          </cell>
          <cell r="AD279" t="str">
            <v>企画管理機器その他・耐用年数７年</v>
          </cell>
          <cell r="AE279">
            <v>7</v>
          </cell>
          <cell r="AF279">
            <v>7</v>
          </cell>
        </row>
        <row r="280">
          <cell r="Y280" t="str">
            <v>11077</v>
          </cell>
          <cell r="Z280">
            <v>110</v>
          </cell>
          <cell r="AA280" t="str">
            <v>企画管理機器</v>
          </cell>
          <cell r="AB280">
            <v>77</v>
          </cell>
          <cell r="AC280" t="str">
            <v>少額資産</v>
          </cell>
          <cell r="AD280" t="str">
            <v>企画管理機器少額資産</v>
          </cell>
          <cell r="AE280">
            <v>3</v>
          </cell>
          <cell r="AF280">
            <v>3</v>
          </cell>
        </row>
        <row r="282">
          <cell r="AA282" t="str">
            <v>自動車</v>
          </cell>
          <cell r="AC282" t="str">
            <v>型式</v>
          </cell>
          <cell r="AE282" t="str">
            <v>税制改正前</v>
          </cell>
          <cell r="AF282" t="str">
            <v>税制改正後</v>
          </cell>
        </row>
        <row r="283">
          <cell r="Y283" t="str">
            <v>20177</v>
          </cell>
          <cell r="Z283">
            <v>201</v>
          </cell>
          <cell r="AA283" t="str">
            <v>自動二・三輪</v>
          </cell>
          <cell r="AB283">
            <v>77</v>
          </cell>
          <cell r="AC283" t="str">
            <v>少額資産</v>
          </cell>
          <cell r="AD283" t="str">
            <v>自動二・三輪少額資産</v>
          </cell>
          <cell r="AE283">
            <v>3</v>
          </cell>
          <cell r="AF283">
            <v>3</v>
          </cell>
        </row>
        <row r="284">
          <cell r="Y284" t="str">
            <v>20199</v>
          </cell>
          <cell r="Z284">
            <v>201</v>
          </cell>
          <cell r="AA284" t="str">
            <v>自動二・三輪</v>
          </cell>
          <cell r="AB284">
            <v>99</v>
          </cell>
          <cell r="AC284" t="str">
            <v>その他</v>
          </cell>
          <cell r="AD284" t="str">
            <v>自動二・三輪その他</v>
          </cell>
          <cell r="AE284">
            <v>3</v>
          </cell>
          <cell r="AF284">
            <v>3</v>
          </cell>
        </row>
        <row r="285">
          <cell r="Y285" t="str">
            <v>20277</v>
          </cell>
          <cell r="Z285">
            <v>202</v>
          </cell>
          <cell r="AA285" t="str">
            <v>軽自動車</v>
          </cell>
          <cell r="AB285">
            <v>77</v>
          </cell>
          <cell r="AC285" t="str">
            <v>少額資産</v>
          </cell>
          <cell r="AD285" t="str">
            <v>軽自動車少額資産</v>
          </cell>
          <cell r="AE285">
            <v>3</v>
          </cell>
          <cell r="AF285">
            <v>3</v>
          </cell>
        </row>
        <row r="286">
          <cell r="Y286" t="str">
            <v>20299</v>
          </cell>
          <cell r="Z286">
            <v>202</v>
          </cell>
          <cell r="AA286" t="str">
            <v>軽自動車</v>
          </cell>
          <cell r="AB286">
            <v>99</v>
          </cell>
          <cell r="AC286" t="str">
            <v>その他</v>
          </cell>
          <cell r="AD286" t="str">
            <v>軽自動車その他</v>
          </cell>
          <cell r="AE286">
            <v>4</v>
          </cell>
          <cell r="AF286">
            <v>4</v>
          </cell>
        </row>
        <row r="287">
          <cell r="Y287" t="str">
            <v>20377</v>
          </cell>
          <cell r="Z287">
            <v>203</v>
          </cell>
          <cell r="AA287" t="str">
            <v>貨物ダンプ</v>
          </cell>
          <cell r="AB287">
            <v>77</v>
          </cell>
          <cell r="AC287" t="str">
            <v>少額資産</v>
          </cell>
          <cell r="AD287" t="str">
            <v>貨物ダンプ少額資産</v>
          </cell>
          <cell r="AE287">
            <v>3</v>
          </cell>
          <cell r="AF287">
            <v>3</v>
          </cell>
        </row>
        <row r="288">
          <cell r="Y288" t="str">
            <v>20399</v>
          </cell>
          <cell r="Z288">
            <v>203</v>
          </cell>
          <cell r="AA288" t="str">
            <v>貨物ダンプ</v>
          </cell>
          <cell r="AB288">
            <v>99</v>
          </cell>
          <cell r="AC288" t="str">
            <v>その他</v>
          </cell>
          <cell r="AD288" t="str">
            <v>貨物ダンプその他</v>
          </cell>
          <cell r="AE288">
            <v>4</v>
          </cell>
          <cell r="AF288">
            <v>4</v>
          </cell>
        </row>
        <row r="289">
          <cell r="Y289" t="str">
            <v>20477</v>
          </cell>
          <cell r="Z289">
            <v>204</v>
          </cell>
          <cell r="AA289" t="str">
            <v>貨物自動車</v>
          </cell>
          <cell r="AB289">
            <v>77</v>
          </cell>
          <cell r="AC289" t="str">
            <v>少額資産</v>
          </cell>
          <cell r="AD289" t="str">
            <v>貨物自動車少額資産</v>
          </cell>
          <cell r="AE289">
            <v>3</v>
          </cell>
          <cell r="AF289">
            <v>3</v>
          </cell>
        </row>
        <row r="290">
          <cell r="Y290" t="str">
            <v>20499</v>
          </cell>
          <cell r="Z290">
            <v>204</v>
          </cell>
          <cell r="AA290" t="str">
            <v>貨物自動車</v>
          </cell>
          <cell r="AB290">
            <v>99</v>
          </cell>
          <cell r="AC290" t="str">
            <v>その他</v>
          </cell>
          <cell r="AD290" t="str">
            <v>貨物自動車その他</v>
          </cell>
          <cell r="AE290">
            <v>5</v>
          </cell>
          <cell r="AF290">
            <v>5</v>
          </cell>
        </row>
        <row r="291">
          <cell r="Y291" t="str">
            <v>20577</v>
          </cell>
          <cell r="Z291">
            <v>205</v>
          </cell>
          <cell r="AA291" t="str">
            <v>乗用車</v>
          </cell>
          <cell r="AB291">
            <v>77</v>
          </cell>
          <cell r="AC291" t="str">
            <v>少額資産</v>
          </cell>
          <cell r="AD291" t="str">
            <v>乗用車少額資産</v>
          </cell>
          <cell r="AE291">
            <v>3</v>
          </cell>
          <cell r="AF291">
            <v>3</v>
          </cell>
        </row>
        <row r="292">
          <cell r="Y292" t="str">
            <v>20599</v>
          </cell>
          <cell r="Z292">
            <v>205</v>
          </cell>
          <cell r="AA292" t="str">
            <v>乗用車</v>
          </cell>
          <cell r="AB292">
            <v>99</v>
          </cell>
          <cell r="AC292" t="str">
            <v>その他</v>
          </cell>
          <cell r="AD292" t="str">
            <v>乗用車その他</v>
          </cell>
          <cell r="AE292">
            <v>6</v>
          </cell>
          <cell r="AF292">
            <v>6</v>
          </cell>
        </row>
        <row r="294">
          <cell r="AA294" t="str">
            <v>牛</v>
          </cell>
          <cell r="AC294" t="str">
            <v>品種</v>
          </cell>
          <cell r="AD294" t="str">
            <v>性別</v>
          </cell>
          <cell r="AE294" t="str">
            <v>税制改正前</v>
          </cell>
          <cell r="AF294" t="str">
            <v>税制改正後</v>
          </cell>
        </row>
        <row r="295">
          <cell r="Y295" t="str">
            <v>020101</v>
          </cell>
          <cell r="Z295">
            <v>2</v>
          </cell>
          <cell r="AA295" t="str">
            <v>繁殖牛</v>
          </cell>
          <cell r="AB295">
            <v>1</v>
          </cell>
          <cell r="AC295" t="str">
            <v>ホルスタイン</v>
          </cell>
          <cell r="AD295">
            <v>1</v>
          </cell>
          <cell r="AE295">
            <v>4</v>
          </cell>
          <cell r="AF295">
            <v>4</v>
          </cell>
        </row>
        <row r="296">
          <cell r="Y296" t="str">
            <v>020201</v>
          </cell>
          <cell r="Z296">
            <v>2</v>
          </cell>
          <cell r="AA296" t="str">
            <v>繁殖牛</v>
          </cell>
          <cell r="AB296">
            <v>2</v>
          </cell>
          <cell r="AC296" t="str">
            <v>ジャージー</v>
          </cell>
          <cell r="AD296">
            <v>1</v>
          </cell>
          <cell r="AE296">
            <v>4</v>
          </cell>
          <cell r="AF296">
            <v>4</v>
          </cell>
        </row>
        <row r="297">
          <cell r="Y297" t="str">
            <v>020301</v>
          </cell>
          <cell r="Z297">
            <v>2</v>
          </cell>
          <cell r="AA297" t="str">
            <v>繁殖牛</v>
          </cell>
          <cell r="AB297">
            <v>3</v>
          </cell>
          <cell r="AC297" t="str">
            <v>その他乳用種</v>
          </cell>
          <cell r="AD297">
            <v>1</v>
          </cell>
          <cell r="AE297">
            <v>4</v>
          </cell>
          <cell r="AF297">
            <v>4</v>
          </cell>
        </row>
        <row r="298">
          <cell r="Y298" t="str">
            <v>020501</v>
          </cell>
          <cell r="Z298">
            <v>2</v>
          </cell>
          <cell r="AA298" t="str">
            <v>繁殖牛</v>
          </cell>
          <cell r="AB298">
            <v>5</v>
          </cell>
          <cell r="AC298" t="str">
            <v>黒毛和種</v>
          </cell>
          <cell r="AD298">
            <v>1</v>
          </cell>
          <cell r="AE298">
            <v>4</v>
          </cell>
          <cell r="AF298">
            <v>4</v>
          </cell>
        </row>
        <row r="299">
          <cell r="Y299" t="str">
            <v>020601</v>
          </cell>
          <cell r="Z299">
            <v>2</v>
          </cell>
          <cell r="AA299" t="str">
            <v>繁殖牛</v>
          </cell>
          <cell r="AB299">
            <v>6</v>
          </cell>
          <cell r="AC299" t="str">
            <v>褐毛和種</v>
          </cell>
          <cell r="AD299">
            <v>1</v>
          </cell>
          <cell r="AE299">
            <v>4</v>
          </cell>
          <cell r="AF299">
            <v>4</v>
          </cell>
        </row>
        <row r="300">
          <cell r="Y300" t="str">
            <v>020701</v>
          </cell>
          <cell r="Z300">
            <v>2</v>
          </cell>
          <cell r="AA300" t="str">
            <v>繁殖牛</v>
          </cell>
          <cell r="AB300">
            <v>7</v>
          </cell>
          <cell r="AC300" t="str">
            <v>日本短角種</v>
          </cell>
          <cell r="AD300">
            <v>1</v>
          </cell>
          <cell r="AE300">
            <v>4</v>
          </cell>
          <cell r="AF300">
            <v>4</v>
          </cell>
        </row>
        <row r="301">
          <cell r="Y301" t="str">
            <v>020801</v>
          </cell>
          <cell r="Z301">
            <v>2</v>
          </cell>
          <cell r="AA301" t="str">
            <v>繁殖牛</v>
          </cell>
          <cell r="AB301">
            <v>8</v>
          </cell>
          <cell r="AC301" t="str">
            <v>無角和種</v>
          </cell>
          <cell r="AD301">
            <v>1</v>
          </cell>
          <cell r="AE301">
            <v>4</v>
          </cell>
          <cell r="AF301">
            <v>4</v>
          </cell>
        </row>
        <row r="302">
          <cell r="Y302" t="str">
            <v>020901</v>
          </cell>
          <cell r="Z302">
            <v>2</v>
          </cell>
          <cell r="AA302" t="str">
            <v>繁殖牛</v>
          </cell>
          <cell r="AB302">
            <v>9</v>
          </cell>
          <cell r="AC302" t="str">
            <v>外国種①</v>
          </cell>
          <cell r="AD302">
            <v>1</v>
          </cell>
          <cell r="AE302">
            <v>4</v>
          </cell>
          <cell r="AF302">
            <v>4</v>
          </cell>
        </row>
        <row r="303">
          <cell r="Y303" t="str">
            <v>021001</v>
          </cell>
          <cell r="Z303">
            <v>2</v>
          </cell>
          <cell r="AA303" t="str">
            <v>繁殖牛</v>
          </cell>
          <cell r="AB303">
            <v>10</v>
          </cell>
          <cell r="AC303" t="str">
            <v>外国種②</v>
          </cell>
          <cell r="AD303">
            <v>1</v>
          </cell>
          <cell r="AE303">
            <v>4</v>
          </cell>
          <cell r="AF303">
            <v>4</v>
          </cell>
        </row>
        <row r="304">
          <cell r="Y304" t="str">
            <v>029901</v>
          </cell>
          <cell r="Z304">
            <v>2</v>
          </cell>
          <cell r="AA304" t="str">
            <v>繁殖牛</v>
          </cell>
          <cell r="AB304">
            <v>99</v>
          </cell>
          <cell r="AC304" t="str">
            <v>その他</v>
          </cell>
          <cell r="AD304">
            <v>1</v>
          </cell>
          <cell r="AE304">
            <v>6</v>
          </cell>
          <cell r="AF304">
            <v>6</v>
          </cell>
        </row>
        <row r="305">
          <cell r="Y305" t="str">
            <v>020102</v>
          </cell>
          <cell r="Z305">
            <v>2</v>
          </cell>
          <cell r="AA305" t="str">
            <v>繁殖牛</v>
          </cell>
          <cell r="AB305">
            <v>1</v>
          </cell>
          <cell r="AC305" t="str">
            <v>ホルスタイン</v>
          </cell>
          <cell r="AD305">
            <v>2</v>
          </cell>
          <cell r="AE305">
            <v>4</v>
          </cell>
          <cell r="AF305">
            <v>4</v>
          </cell>
        </row>
        <row r="306">
          <cell r="Y306" t="str">
            <v>020202</v>
          </cell>
          <cell r="Z306">
            <v>2</v>
          </cell>
          <cell r="AA306" t="str">
            <v>繁殖牛</v>
          </cell>
          <cell r="AB306">
            <v>2</v>
          </cell>
          <cell r="AC306" t="str">
            <v>ジャージー</v>
          </cell>
          <cell r="AD306">
            <v>2</v>
          </cell>
          <cell r="AE306">
            <v>4</v>
          </cell>
          <cell r="AF306">
            <v>4</v>
          </cell>
        </row>
        <row r="307">
          <cell r="Y307" t="str">
            <v>020302</v>
          </cell>
          <cell r="Z307">
            <v>2</v>
          </cell>
          <cell r="AA307" t="str">
            <v>繁殖牛</v>
          </cell>
          <cell r="AB307">
            <v>3</v>
          </cell>
          <cell r="AC307" t="str">
            <v>その他乳用種</v>
          </cell>
          <cell r="AD307">
            <v>2</v>
          </cell>
          <cell r="AE307">
            <v>4</v>
          </cell>
          <cell r="AF307">
            <v>4</v>
          </cell>
        </row>
        <row r="308">
          <cell r="Y308" t="str">
            <v>020502</v>
          </cell>
          <cell r="Z308">
            <v>2</v>
          </cell>
          <cell r="AA308" t="str">
            <v>繁殖牛</v>
          </cell>
          <cell r="AB308">
            <v>5</v>
          </cell>
          <cell r="AC308" t="str">
            <v>黒毛和種</v>
          </cell>
          <cell r="AD308">
            <v>2</v>
          </cell>
          <cell r="AE308">
            <v>5</v>
          </cell>
          <cell r="AF308">
            <v>6</v>
          </cell>
        </row>
        <row r="309">
          <cell r="Y309" t="str">
            <v>020602</v>
          </cell>
          <cell r="Z309">
            <v>2</v>
          </cell>
          <cell r="AA309" t="str">
            <v>繁殖牛</v>
          </cell>
          <cell r="AB309">
            <v>6</v>
          </cell>
          <cell r="AC309" t="str">
            <v>褐毛和種</v>
          </cell>
          <cell r="AD309">
            <v>2</v>
          </cell>
          <cell r="AE309">
            <v>5</v>
          </cell>
          <cell r="AF309">
            <v>6</v>
          </cell>
        </row>
        <row r="310">
          <cell r="Y310" t="str">
            <v>020702</v>
          </cell>
          <cell r="Z310">
            <v>2</v>
          </cell>
          <cell r="AA310" t="str">
            <v>繁殖牛</v>
          </cell>
          <cell r="AB310">
            <v>7</v>
          </cell>
          <cell r="AC310" t="str">
            <v>日本短角種</v>
          </cell>
          <cell r="AD310">
            <v>2</v>
          </cell>
          <cell r="AE310">
            <v>5</v>
          </cell>
          <cell r="AF310">
            <v>6</v>
          </cell>
        </row>
        <row r="311">
          <cell r="Y311" t="str">
            <v>020802</v>
          </cell>
          <cell r="Z311">
            <v>2</v>
          </cell>
          <cell r="AA311" t="str">
            <v>繁殖牛</v>
          </cell>
          <cell r="AB311">
            <v>8</v>
          </cell>
          <cell r="AC311" t="str">
            <v>無角和種</v>
          </cell>
          <cell r="AD311">
            <v>2</v>
          </cell>
          <cell r="AE311">
            <v>5</v>
          </cell>
          <cell r="AF311">
            <v>6</v>
          </cell>
        </row>
        <row r="312">
          <cell r="Y312" t="str">
            <v>020902</v>
          </cell>
          <cell r="Z312">
            <v>2</v>
          </cell>
          <cell r="AA312" t="str">
            <v>繁殖牛</v>
          </cell>
          <cell r="AB312">
            <v>9</v>
          </cell>
          <cell r="AC312" t="str">
            <v>外国種①</v>
          </cell>
          <cell r="AD312">
            <v>2</v>
          </cell>
          <cell r="AE312">
            <v>5</v>
          </cell>
          <cell r="AF312">
            <v>6</v>
          </cell>
        </row>
        <row r="313">
          <cell r="Y313" t="str">
            <v>021002</v>
          </cell>
          <cell r="Z313">
            <v>2</v>
          </cell>
          <cell r="AA313" t="str">
            <v>繁殖牛</v>
          </cell>
          <cell r="AB313">
            <v>10</v>
          </cell>
          <cell r="AC313" t="str">
            <v>外国種②</v>
          </cell>
          <cell r="AD313">
            <v>2</v>
          </cell>
          <cell r="AE313">
            <v>5</v>
          </cell>
          <cell r="AF313">
            <v>6</v>
          </cell>
        </row>
        <row r="314">
          <cell r="Y314" t="str">
            <v>029902</v>
          </cell>
          <cell r="Z314">
            <v>2</v>
          </cell>
          <cell r="AA314" t="str">
            <v>繁殖牛</v>
          </cell>
          <cell r="AB314">
            <v>99</v>
          </cell>
          <cell r="AC314" t="str">
            <v>その他</v>
          </cell>
          <cell r="AD314">
            <v>2</v>
          </cell>
          <cell r="AE314">
            <v>6</v>
          </cell>
          <cell r="AF314">
            <v>6</v>
          </cell>
        </row>
        <row r="316">
          <cell r="AA316" t="str">
            <v>馬</v>
          </cell>
          <cell r="AC316" t="str">
            <v>品種</v>
          </cell>
          <cell r="AD316" t="str">
            <v>性別</v>
          </cell>
          <cell r="AE316" t="str">
            <v>税制改正前</v>
          </cell>
          <cell r="AF316" t="str">
            <v>税制改正後</v>
          </cell>
        </row>
        <row r="317">
          <cell r="Y317" t="str">
            <v>030201</v>
          </cell>
          <cell r="Z317">
            <v>3</v>
          </cell>
          <cell r="AA317" t="str">
            <v>馬</v>
          </cell>
          <cell r="AB317">
            <v>2</v>
          </cell>
          <cell r="AC317" t="str">
            <v>繁殖用</v>
          </cell>
          <cell r="AD317">
            <v>1</v>
          </cell>
          <cell r="AE317">
            <v>6</v>
          </cell>
          <cell r="AF317">
            <v>6</v>
          </cell>
        </row>
        <row r="318">
          <cell r="Y318" t="str">
            <v>030301</v>
          </cell>
          <cell r="Z318">
            <v>3</v>
          </cell>
          <cell r="AA318" t="str">
            <v>馬</v>
          </cell>
          <cell r="AB318">
            <v>3</v>
          </cell>
          <cell r="AC318" t="str">
            <v>農業使役用</v>
          </cell>
          <cell r="AD318">
            <v>1</v>
          </cell>
          <cell r="AE318">
            <v>8</v>
          </cell>
          <cell r="AF318">
            <v>8</v>
          </cell>
        </row>
        <row r="319">
          <cell r="Y319" t="str">
            <v>030401</v>
          </cell>
          <cell r="Z319">
            <v>3</v>
          </cell>
          <cell r="AA319" t="str">
            <v>馬</v>
          </cell>
          <cell r="AB319">
            <v>4</v>
          </cell>
          <cell r="AC319" t="str">
            <v>小運搬使役用</v>
          </cell>
          <cell r="AD319">
            <v>1</v>
          </cell>
          <cell r="AE319">
            <v>6</v>
          </cell>
          <cell r="AF319">
            <v>6</v>
          </cell>
        </row>
        <row r="320">
          <cell r="Y320" t="str">
            <v>030202</v>
          </cell>
          <cell r="Z320">
            <v>3</v>
          </cell>
          <cell r="AA320" t="str">
            <v>馬</v>
          </cell>
          <cell r="AB320">
            <v>2</v>
          </cell>
          <cell r="AC320" t="str">
            <v>繁殖用</v>
          </cell>
          <cell r="AD320">
            <v>2</v>
          </cell>
          <cell r="AE320">
            <v>7</v>
          </cell>
          <cell r="AF320">
            <v>7</v>
          </cell>
        </row>
        <row r="321">
          <cell r="Y321" t="str">
            <v>030302</v>
          </cell>
          <cell r="Z321">
            <v>3</v>
          </cell>
          <cell r="AA321" t="str">
            <v>馬</v>
          </cell>
          <cell r="AB321">
            <v>3</v>
          </cell>
          <cell r="AC321" t="str">
            <v>農業使役用</v>
          </cell>
          <cell r="AD321">
            <v>2</v>
          </cell>
          <cell r="AE321">
            <v>8</v>
          </cell>
          <cell r="AF321">
            <v>8</v>
          </cell>
        </row>
        <row r="322">
          <cell r="Y322" t="str">
            <v>030402</v>
          </cell>
          <cell r="Z322">
            <v>3</v>
          </cell>
          <cell r="AA322" t="str">
            <v>馬</v>
          </cell>
          <cell r="AB322">
            <v>4</v>
          </cell>
          <cell r="AC322" t="str">
            <v>小運搬使役用</v>
          </cell>
          <cell r="AD322">
            <v>2</v>
          </cell>
          <cell r="AE322">
            <v>6</v>
          </cell>
          <cell r="AF322">
            <v>6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8A549-3498-4196-ABB1-F7D8C37CE984}">
  <dimension ref="B1:Y570"/>
  <sheetViews>
    <sheetView showGridLines="0" tabSelected="1" zoomScaleNormal="100" workbookViewId="0">
      <pane xSplit="1" ySplit="8" topLeftCell="B9" activePane="bottomRight" state="frozen"/>
      <selection activeCell="P11" sqref="P11:U11"/>
      <selection pane="topRight" activeCell="P11" sqref="P11:U11"/>
      <selection pane="bottomLeft" activeCell="P11" sqref="P11:U11"/>
      <selection pane="bottomRight"/>
    </sheetView>
  </sheetViews>
  <sheetFormatPr defaultColWidth="1.21875" defaultRowHeight="7.5" customHeight="1" x14ac:dyDescent="0.2"/>
  <cols>
    <col min="1" max="1" width="1" style="1" customWidth="1"/>
    <col min="2" max="2" width="4.77734375" style="1" customWidth="1"/>
    <col min="3" max="3" width="13" style="1" customWidth="1"/>
    <col min="4" max="6" width="9.77734375" style="1" customWidth="1"/>
    <col min="7" max="7" width="10.44140625" style="1" customWidth="1"/>
    <col min="8" max="14" width="9.77734375" style="1" customWidth="1"/>
    <col min="15" max="15" width="1.6640625" style="1" customWidth="1"/>
    <col min="16" max="22" width="9.77734375" style="1" customWidth="1"/>
    <col min="23" max="25" width="1.21875" style="1" customWidth="1"/>
    <col min="26" max="16384" width="1.21875" style="1"/>
  </cols>
  <sheetData>
    <row r="1" spans="2:25" ht="22.5" customHeight="1" thickBot="1" x14ac:dyDescent="0.25">
      <c r="C1" s="119" t="s">
        <v>90</v>
      </c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20"/>
      <c r="P1" s="20"/>
      <c r="Q1" s="20"/>
      <c r="R1" s="20"/>
      <c r="S1" s="20"/>
      <c r="T1" s="20"/>
      <c r="U1" s="20"/>
      <c r="V1" s="20"/>
      <c r="W1" s="20"/>
      <c r="X1" s="20"/>
      <c r="Y1" s="20"/>
    </row>
    <row r="2" spans="2:25" ht="22.5" customHeight="1" x14ac:dyDescent="0.2">
      <c r="C2" s="120" t="s">
        <v>93</v>
      </c>
      <c r="D2" s="121"/>
      <c r="E2" s="122"/>
      <c r="F2" s="4"/>
      <c r="G2" s="4"/>
      <c r="H2" s="4"/>
      <c r="I2" s="4"/>
      <c r="J2" s="4"/>
      <c r="K2" s="4"/>
      <c r="L2" s="4"/>
      <c r="M2" s="4"/>
      <c r="N2" s="4"/>
      <c r="O2" s="20"/>
      <c r="P2" s="20"/>
      <c r="Q2" s="20"/>
      <c r="R2" s="20"/>
      <c r="S2" s="20"/>
      <c r="T2" s="20"/>
      <c r="U2" s="20"/>
      <c r="V2" s="20"/>
      <c r="W2" s="20"/>
      <c r="X2" s="20"/>
      <c r="Y2" s="20"/>
    </row>
    <row r="3" spans="2:25" ht="22.5" customHeight="1" thickBot="1" x14ac:dyDescent="0.25">
      <c r="C3" s="123"/>
      <c r="D3" s="124"/>
      <c r="E3" s="125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</row>
    <row r="4" spans="2:25" ht="7.5" customHeight="1" thickBot="1" x14ac:dyDescent="0.25">
      <c r="F4" s="2"/>
    </row>
    <row r="5" spans="2:25" ht="15" customHeight="1" thickBot="1" x14ac:dyDescent="0.25">
      <c r="B5" s="57"/>
      <c r="C5" s="126" t="s">
        <v>77</v>
      </c>
      <c r="D5" s="127"/>
      <c r="E5" s="127"/>
      <c r="F5" s="127"/>
      <c r="G5" s="128"/>
      <c r="H5" s="129" t="s">
        <v>87</v>
      </c>
      <c r="I5" s="130"/>
      <c r="J5" s="130"/>
      <c r="K5" s="130"/>
      <c r="L5" s="130"/>
      <c r="M5" s="130"/>
      <c r="N5" s="131"/>
    </row>
    <row r="6" spans="2:25" s="3" customFormat="1" ht="30" customHeight="1" x14ac:dyDescent="0.2">
      <c r="B6" s="74" t="s">
        <v>71</v>
      </c>
      <c r="C6" s="61" t="s">
        <v>14</v>
      </c>
      <c r="D6" s="62" t="s">
        <v>1</v>
      </c>
      <c r="E6" s="63" t="s">
        <v>2</v>
      </c>
      <c r="F6" s="63" t="s">
        <v>3</v>
      </c>
      <c r="G6" s="64" t="s">
        <v>15</v>
      </c>
      <c r="H6" s="65"/>
      <c r="I6" s="66"/>
      <c r="J6" s="66"/>
      <c r="K6" s="66"/>
      <c r="L6" s="66"/>
      <c r="M6" s="67"/>
      <c r="N6" s="68"/>
    </row>
    <row r="7" spans="2:25" s="3" customFormat="1" ht="30" customHeight="1" thickBot="1" x14ac:dyDescent="0.25">
      <c r="B7" s="102" t="s">
        <v>73</v>
      </c>
      <c r="C7" s="103" t="s">
        <v>69</v>
      </c>
      <c r="D7" s="104" t="s">
        <v>70</v>
      </c>
      <c r="E7" s="105" t="s">
        <v>69</v>
      </c>
      <c r="F7" s="105" t="s">
        <v>70</v>
      </c>
      <c r="G7" s="106" t="s">
        <v>70</v>
      </c>
      <c r="H7" s="69" t="s">
        <v>4</v>
      </c>
      <c r="I7" s="70" t="s">
        <v>68</v>
      </c>
      <c r="J7" s="71" t="s">
        <v>7</v>
      </c>
      <c r="K7" s="71" t="s">
        <v>76</v>
      </c>
      <c r="L7" s="71" t="s">
        <v>5</v>
      </c>
      <c r="M7" s="72" t="s">
        <v>74</v>
      </c>
      <c r="N7" s="73" t="s">
        <v>6</v>
      </c>
    </row>
    <row r="8" spans="2:25" s="3" customFormat="1" ht="10.5" customHeight="1" x14ac:dyDescent="0.2">
      <c r="B8" s="21"/>
      <c r="C8" s="23"/>
      <c r="D8" s="5"/>
      <c r="E8" s="10"/>
      <c r="F8" s="10"/>
      <c r="G8" s="11"/>
      <c r="H8" s="9" t="s">
        <v>0</v>
      </c>
      <c r="I8" s="5"/>
      <c r="J8" s="10" t="s">
        <v>0</v>
      </c>
      <c r="K8" s="10" t="s">
        <v>0</v>
      </c>
      <c r="L8" s="10" t="s">
        <v>0</v>
      </c>
      <c r="M8" s="10" t="s">
        <v>0</v>
      </c>
      <c r="N8" s="11" t="s">
        <v>0</v>
      </c>
    </row>
    <row r="9" spans="2:25" s="3" customFormat="1" ht="15" customHeight="1" x14ac:dyDescent="0.2">
      <c r="B9" s="22" t="s">
        <v>72</v>
      </c>
      <c r="C9" s="24"/>
      <c r="D9" s="6"/>
      <c r="E9" s="12"/>
      <c r="F9" s="12"/>
      <c r="G9" s="13"/>
      <c r="H9" s="58">
        <f t="shared" ref="H9:H38" si="0">SUM(I9,M9,N9)</f>
        <v>0</v>
      </c>
      <c r="I9" s="6">
        <f t="shared" ref="I9:I38" si="1">SUM(J9:L9)</f>
        <v>0</v>
      </c>
      <c r="J9" s="12">
        <f>SUMIFS(日別入力!$AP:$AP,日別入力!$E:$E,設定!$C9,日別入力!$D:$D,設定!J$7,日別入力!$B:$B,設定!$B9)</f>
        <v>0</v>
      </c>
      <c r="K9" s="12">
        <f>SUMIFS(日別入力!$AP:$AP,日別入力!$E:$E,設定!$C9,日別入力!$D:$D,設定!K$7,日別入力!$B:$B,設定!$B9)</f>
        <v>0</v>
      </c>
      <c r="L9" s="12">
        <f>SUMIFS(日別入力!$AP:$AP,日別入力!$E:$E,設定!$C9,日別入力!$D:$D,設定!L$7,日別入力!$B:$B,設定!$B9)</f>
        <v>0</v>
      </c>
      <c r="M9" s="12">
        <f>SUMIFS(日別入力!$AP:$AP,日別入力!$E:$E,設定!$C9,日別入力!$D:$D,設定!M$7,日別入力!$B:$B,設定!$B9)</f>
        <v>0</v>
      </c>
      <c r="N9" s="13">
        <f>SUMIFS(日別入力!$AP:$AP,日別入力!$E:$E,設定!$C9,日別入力!$D:$D,設定!N$7,日別入力!$B:$B,設定!$B9)</f>
        <v>0</v>
      </c>
    </row>
    <row r="10" spans="2:25" s="3" customFormat="1" ht="15" customHeight="1" x14ac:dyDescent="0.2">
      <c r="B10" s="75" t="str">
        <f>B$9</f>
        <v>&lt;=12</v>
      </c>
      <c r="C10" s="25"/>
      <c r="D10" s="7"/>
      <c r="E10" s="14"/>
      <c r="F10" s="15"/>
      <c r="G10" s="16"/>
      <c r="H10" s="59">
        <f t="shared" si="0"/>
        <v>0</v>
      </c>
      <c r="I10" s="7">
        <f t="shared" si="1"/>
        <v>0</v>
      </c>
      <c r="J10" s="14">
        <f>SUMIFS(日別入力!$AP:$AP,日別入力!$E:$E,設定!$C10,日別入力!$D:$D,設定!J$7,日別入力!$B:$B,設定!$B10)</f>
        <v>0</v>
      </c>
      <c r="K10" s="14">
        <f>SUMIFS(日別入力!$AP:$AP,日別入力!$E:$E,設定!$C10,日別入力!$D:$D,設定!K$7,日別入力!$B:$B,設定!$B10)</f>
        <v>0</v>
      </c>
      <c r="L10" s="14">
        <f>SUMIFS(日別入力!$AP:$AP,日別入力!$E:$E,設定!$C10,日別入力!$D:$D,設定!L$7,日別入力!$B:$B,設定!$B10)</f>
        <v>0</v>
      </c>
      <c r="M10" s="14">
        <f>SUMIFS(日別入力!$AP:$AP,日別入力!$E:$E,設定!$C10,日別入力!$D:$D,設定!M$7,日別入力!$B:$B,設定!$B10)</f>
        <v>0</v>
      </c>
      <c r="N10" s="16">
        <f>SUMIFS(日別入力!$AP:$AP,日別入力!$E:$E,設定!$C10,日別入力!$D:$D,設定!N$7,日別入力!$B:$B,設定!$B10)</f>
        <v>0</v>
      </c>
    </row>
    <row r="11" spans="2:25" s="3" customFormat="1" ht="15" customHeight="1" x14ac:dyDescent="0.2">
      <c r="B11" s="75" t="str">
        <f t="shared" ref="B11:B74" si="2">B$9</f>
        <v>&lt;=12</v>
      </c>
      <c r="C11" s="25"/>
      <c r="D11" s="7"/>
      <c r="E11" s="14"/>
      <c r="F11" s="15"/>
      <c r="G11" s="16"/>
      <c r="H11" s="59">
        <f t="shared" si="0"/>
        <v>0</v>
      </c>
      <c r="I11" s="7">
        <f t="shared" si="1"/>
        <v>0</v>
      </c>
      <c r="J11" s="14">
        <f>SUMIFS(日別入力!$AP:$AP,日別入力!$E:$E,設定!$C11,日別入力!$D:$D,設定!J$7,日別入力!$B:$B,設定!$B11)</f>
        <v>0</v>
      </c>
      <c r="K11" s="14">
        <f>SUMIFS(日別入力!$AP:$AP,日別入力!$E:$E,設定!$C11,日別入力!$D:$D,設定!K$7,日別入力!$B:$B,設定!$B11)</f>
        <v>0</v>
      </c>
      <c r="L11" s="14">
        <f>SUMIFS(日別入力!$AP:$AP,日別入力!$E:$E,設定!$C11,日別入力!$D:$D,設定!L$7,日別入力!$B:$B,設定!$B11)</f>
        <v>0</v>
      </c>
      <c r="M11" s="14">
        <f>SUMIFS(日別入力!$AP:$AP,日別入力!$E:$E,設定!$C11,日別入力!$D:$D,設定!M$7,日別入力!$B:$B,設定!$B11)</f>
        <v>0</v>
      </c>
      <c r="N11" s="16">
        <f>SUMIFS(日別入力!$AP:$AP,日別入力!$E:$E,設定!$C11,日別入力!$D:$D,設定!N$7,日別入力!$B:$B,設定!$B11)</f>
        <v>0</v>
      </c>
    </row>
    <row r="12" spans="2:25" s="3" customFormat="1" ht="15" customHeight="1" x14ac:dyDescent="0.2">
      <c r="B12" s="75" t="str">
        <f t="shared" si="2"/>
        <v>&lt;=12</v>
      </c>
      <c r="C12" s="25"/>
      <c r="D12" s="7"/>
      <c r="E12" s="14"/>
      <c r="F12" s="15"/>
      <c r="G12" s="16"/>
      <c r="H12" s="59">
        <f t="shared" si="0"/>
        <v>0</v>
      </c>
      <c r="I12" s="7">
        <f t="shared" si="1"/>
        <v>0</v>
      </c>
      <c r="J12" s="14">
        <f>SUMIFS(日別入力!$AP:$AP,日別入力!$E:$E,設定!$C12,日別入力!$D:$D,設定!J$7,日別入力!$B:$B,設定!$B12)</f>
        <v>0</v>
      </c>
      <c r="K12" s="14">
        <f>SUMIFS(日別入力!$AP:$AP,日別入力!$E:$E,設定!$C12,日別入力!$D:$D,設定!K$7,日別入力!$B:$B,設定!$B12)</f>
        <v>0</v>
      </c>
      <c r="L12" s="14">
        <f>SUMIFS(日別入力!$AP:$AP,日別入力!$E:$E,設定!$C12,日別入力!$D:$D,設定!L$7,日別入力!$B:$B,設定!$B12)</f>
        <v>0</v>
      </c>
      <c r="M12" s="14">
        <f>SUMIFS(日別入力!$AP:$AP,日別入力!$E:$E,設定!$C12,日別入力!$D:$D,設定!M$7,日別入力!$B:$B,設定!$B12)</f>
        <v>0</v>
      </c>
      <c r="N12" s="16">
        <f>SUMIFS(日別入力!$AP:$AP,日別入力!$E:$E,設定!$C12,日別入力!$D:$D,設定!N$7,日別入力!$B:$B,設定!$B12)</f>
        <v>0</v>
      </c>
    </row>
    <row r="13" spans="2:25" s="3" customFormat="1" ht="15" customHeight="1" x14ac:dyDescent="0.2">
      <c r="B13" s="75" t="str">
        <f t="shared" si="2"/>
        <v>&lt;=12</v>
      </c>
      <c r="C13" s="25"/>
      <c r="D13" s="7"/>
      <c r="E13" s="14"/>
      <c r="F13" s="15"/>
      <c r="G13" s="16"/>
      <c r="H13" s="59">
        <f t="shared" si="0"/>
        <v>0</v>
      </c>
      <c r="I13" s="7">
        <f t="shared" si="1"/>
        <v>0</v>
      </c>
      <c r="J13" s="14">
        <f>SUMIFS(日別入力!$AP:$AP,日別入力!$E:$E,設定!$C13,日別入力!$D:$D,設定!J$7,日別入力!$B:$B,設定!$B13)</f>
        <v>0</v>
      </c>
      <c r="K13" s="14">
        <f>SUMIFS(日別入力!$AP:$AP,日別入力!$E:$E,設定!$C13,日別入力!$D:$D,設定!K$7,日別入力!$B:$B,設定!$B13)</f>
        <v>0</v>
      </c>
      <c r="L13" s="14">
        <f>SUMIFS(日別入力!$AP:$AP,日別入力!$E:$E,設定!$C13,日別入力!$D:$D,設定!L$7,日別入力!$B:$B,設定!$B13)</f>
        <v>0</v>
      </c>
      <c r="M13" s="14">
        <f>SUMIFS(日別入力!$AP:$AP,日別入力!$E:$E,設定!$C13,日別入力!$D:$D,設定!M$7,日別入力!$B:$B,設定!$B13)</f>
        <v>0</v>
      </c>
      <c r="N13" s="16">
        <f>SUMIFS(日別入力!$AP:$AP,日別入力!$E:$E,設定!$C13,日別入力!$D:$D,設定!N$7,日別入力!$B:$B,設定!$B13)</f>
        <v>0</v>
      </c>
    </row>
    <row r="14" spans="2:25" s="3" customFormat="1" ht="15" customHeight="1" x14ac:dyDescent="0.2">
      <c r="B14" s="76" t="str">
        <f t="shared" si="2"/>
        <v>&lt;=12</v>
      </c>
      <c r="C14" s="26"/>
      <c r="D14" s="7"/>
      <c r="E14" s="14"/>
      <c r="F14" s="15"/>
      <c r="G14" s="16"/>
      <c r="H14" s="59">
        <f t="shared" si="0"/>
        <v>0</v>
      </c>
      <c r="I14" s="7">
        <f t="shared" si="1"/>
        <v>0</v>
      </c>
      <c r="J14" s="14">
        <f>SUMIFS(日別入力!$AP:$AP,日別入力!$E:$E,設定!$C14,日別入力!$D:$D,設定!J$7,日別入力!$B:$B,設定!$B14)</f>
        <v>0</v>
      </c>
      <c r="K14" s="14">
        <f>SUMIFS(日別入力!$AP:$AP,日別入力!$E:$E,設定!$C14,日別入力!$D:$D,設定!K$7,日別入力!$B:$B,設定!$B14)</f>
        <v>0</v>
      </c>
      <c r="L14" s="14">
        <f>SUMIFS(日別入力!$AP:$AP,日別入力!$E:$E,設定!$C14,日別入力!$D:$D,設定!L$7,日別入力!$B:$B,設定!$B14)</f>
        <v>0</v>
      </c>
      <c r="M14" s="14">
        <f>SUMIFS(日別入力!$AP:$AP,日別入力!$E:$E,設定!$C14,日別入力!$D:$D,設定!M$7,日別入力!$B:$B,設定!$B14)</f>
        <v>0</v>
      </c>
      <c r="N14" s="16">
        <f>SUMIFS(日別入力!$AP:$AP,日別入力!$E:$E,設定!$C14,日別入力!$D:$D,設定!N$7,日別入力!$B:$B,設定!$B14)</f>
        <v>0</v>
      </c>
    </row>
    <row r="15" spans="2:25" s="3" customFormat="1" ht="15" customHeight="1" x14ac:dyDescent="0.2">
      <c r="B15" s="76" t="str">
        <f t="shared" si="2"/>
        <v>&lt;=12</v>
      </c>
      <c r="C15" s="26"/>
      <c r="D15" s="7"/>
      <c r="E15" s="14"/>
      <c r="F15" s="15"/>
      <c r="G15" s="16"/>
      <c r="H15" s="59">
        <f t="shared" si="0"/>
        <v>0</v>
      </c>
      <c r="I15" s="7">
        <f t="shared" si="1"/>
        <v>0</v>
      </c>
      <c r="J15" s="14">
        <f>SUMIFS(日別入力!$AP:$AP,日別入力!$E:$E,設定!$C15,日別入力!$D:$D,設定!J$7,日別入力!$B:$B,設定!$B15)</f>
        <v>0</v>
      </c>
      <c r="K15" s="14">
        <f>SUMIFS(日別入力!$AP:$AP,日別入力!$E:$E,設定!$C15,日別入力!$D:$D,設定!K$7,日別入力!$B:$B,設定!$B15)</f>
        <v>0</v>
      </c>
      <c r="L15" s="14">
        <f>SUMIFS(日別入力!$AP:$AP,日別入力!$E:$E,設定!$C15,日別入力!$D:$D,設定!L$7,日別入力!$B:$B,設定!$B15)</f>
        <v>0</v>
      </c>
      <c r="M15" s="14">
        <f>SUMIFS(日別入力!$AP:$AP,日別入力!$E:$E,設定!$C15,日別入力!$D:$D,設定!M$7,日別入力!$B:$B,設定!$B15)</f>
        <v>0</v>
      </c>
      <c r="N15" s="16">
        <f>SUMIFS(日別入力!$AP:$AP,日別入力!$E:$E,設定!$C15,日別入力!$D:$D,設定!N$7,日別入力!$B:$B,設定!$B15)</f>
        <v>0</v>
      </c>
    </row>
    <row r="16" spans="2:25" s="3" customFormat="1" ht="15" customHeight="1" x14ac:dyDescent="0.2">
      <c r="B16" s="76" t="str">
        <f t="shared" si="2"/>
        <v>&lt;=12</v>
      </c>
      <c r="C16" s="26"/>
      <c r="D16" s="7"/>
      <c r="E16" s="14"/>
      <c r="F16" s="15"/>
      <c r="G16" s="16"/>
      <c r="H16" s="59">
        <f t="shared" si="0"/>
        <v>0</v>
      </c>
      <c r="I16" s="7">
        <f t="shared" si="1"/>
        <v>0</v>
      </c>
      <c r="J16" s="14">
        <f>SUMIFS(日別入力!$AP:$AP,日別入力!$E:$E,設定!$C16,日別入力!$D:$D,設定!J$7,日別入力!$B:$B,設定!$B16)</f>
        <v>0</v>
      </c>
      <c r="K16" s="14">
        <f>SUMIFS(日別入力!$AP:$AP,日別入力!$E:$E,設定!$C16,日別入力!$D:$D,設定!K$7,日別入力!$B:$B,設定!$B16)</f>
        <v>0</v>
      </c>
      <c r="L16" s="14">
        <f>SUMIFS(日別入力!$AP:$AP,日別入力!$E:$E,設定!$C16,日別入力!$D:$D,設定!L$7,日別入力!$B:$B,設定!$B16)</f>
        <v>0</v>
      </c>
      <c r="M16" s="14">
        <f>SUMIFS(日別入力!$AP:$AP,日別入力!$E:$E,設定!$C16,日別入力!$D:$D,設定!M$7,日別入力!$B:$B,設定!$B16)</f>
        <v>0</v>
      </c>
      <c r="N16" s="16">
        <f>SUMIFS(日別入力!$AP:$AP,日別入力!$E:$E,設定!$C16,日別入力!$D:$D,設定!N$7,日別入力!$B:$B,設定!$B16)</f>
        <v>0</v>
      </c>
    </row>
    <row r="17" spans="2:14" s="3" customFormat="1" ht="15" customHeight="1" x14ac:dyDescent="0.2">
      <c r="B17" s="76" t="str">
        <f t="shared" si="2"/>
        <v>&lt;=12</v>
      </c>
      <c r="C17" s="26"/>
      <c r="D17" s="7"/>
      <c r="E17" s="14"/>
      <c r="F17" s="15"/>
      <c r="G17" s="16"/>
      <c r="H17" s="59">
        <f t="shared" si="0"/>
        <v>0</v>
      </c>
      <c r="I17" s="7">
        <f t="shared" si="1"/>
        <v>0</v>
      </c>
      <c r="J17" s="14">
        <f>SUMIFS(日別入力!$AP:$AP,日別入力!$E:$E,設定!$C17,日別入力!$D:$D,設定!J$7,日別入力!$B:$B,設定!$B17)</f>
        <v>0</v>
      </c>
      <c r="K17" s="14">
        <f>SUMIFS(日別入力!$AP:$AP,日別入力!$E:$E,設定!$C17,日別入力!$D:$D,設定!K$7,日別入力!$B:$B,設定!$B17)</f>
        <v>0</v>
      </c>
      <c r="L17" s="14">
        <f>SUMIFS(日別入力!$AP:$AP,日別入力!$E:$E,設定!$C17,日別入力!$D:$D,設定!L$7,日別入力!$B:$B,設定!$B17)</f>
        <v>0</v>
      </c>
      <c r="M17" s="14">
        <f>SUMIFS(日別入力!$AP:$AP,日別入力!$E:$E,設定!$C17,日別入力!$D:$D,設定!M$7,日別入力!$B:$B,設定!$B17)</f>
        <v>0</v>
      </c>
      <c r="N17" s="16">
        <f>SUMIFS(日別入力!$AP:$AP,日別入力!$E:$E,設定!$C17,日別入力!$D:$D,設定!N$7,日別入力!$B:$B,設定!$B17)</f>
        <v>0</v>
      </c>
    </row>
    <row r="18" spans="2:14" s="3" customFormat="1" ht="15" customHeight="1" x14ac:dyDescent="0.2">
      <c r="B18" s="76" t="str">
        <f t="shared" si="2"/>
        <v>&lt;=12</v>
      </c>
      <c r="C18" s="26"/>
      <c r="D18" s="7"/>
      <c r="E18" s="14"/>
      <c r="F18" s="15"/>
      <c r="G18" s="16"/>
      <c r="H18" s="59">
        <f t="shared" si="0"/>
        <v>0</v>
      </c>
      <c r="I18" s="7">
        <f t="shared" si="1"/>
        <v>0</v>
      </c>
      <c r="J18" s="14">
        <f>SUMIFS(日別入力!$AP:$AP,日別入力!$E:$E,設定!$C18,日別入力!$D:$D,設定!J$7,日別入力!$B:$B,設定!$B18)</f>
        <v>0</v>
      </c>
      <c r="K18" s="14">
        <f>SUMIFS(日別入力!$AP:$AP,日別入力!$E:$E,設定!$C18,日別入力!$D:$D,設定!K$7,日別入力!$B:$B,設定!$B18)</f>
        <v>0</v>
      </c>
      <c r="L18" s="14">
        <f>SUMIFS(日別入力!$AP:$AP,日別入力!$E:$E,設定!$C18,日別入力!$D:$D,設定!L$7,日別入力!$B:$B,設定!$B18)</f>
        <v>0</v>
      </c>
      <c r="M18" s="14">
        <f>SUMIFS(日別入力!$AP:$AP,日別入力!$E:$E,設定!$C18,日別入力!$D:$D,設定!M$7,日別入力!$B:$B,設定!$B18)</f>
        <v>0</v>
      </c>
      <c r="N18" s="16">
        <f>SUMIFS(日別入力!$AP:$AP,日別入力!$E:$E,設定!$C18,日別入力!$D:$D,設定!N$7,日別入力!$B:$B,設定!$B18)</f>
        <v>0</v>
      </c>
    </row>
    <row r="19" spans="2:14" s="3" customFormat="1" ht="15" customHeight="1" x14ac:dyDescent="0.2">
      <c r="B19" s="76" t="str">
        <f t="shared" si="2"/>
        <v>&lt;=12</v>
      </c>
      <c r="C19" s="26"/>
      <c r="D19" s="7"/>
      <c r="E19" s="14"/>
      <c r="F19" s="15"/>
      <c r="G19" s="16"/>
      <c r="H19" s="59">
        <f t="shared" si="0"/>
        <v>0</v>
      </c>
      <c r="I19" s="7">
        <f t="shared" si="1"/>
        <v>0</v>
      </c>
      <c r="J19" s="14">
        <f>SUMIFS(日別入力!$AP:$AP,日別入力!$E:$E,設定!$C19,日別入力!$D:$D,設定!J$7,日別入力!$B:$B,設定!$B19)</f>
        <v>0</v>
      </c>
      <c r="K19" s="14">
        <f>SUMIFS(日別入力!$AP:$AP,日別入力!$E:$E,設定!$C19,日別入力!$D:$D,設定!K$7,日別入力!$B:$B,設定!$B19)</f>
        <v>0</v>
      </c>
      <c r="L19" s="14">
        <f>SUMIFS(日別入力!$AP:$AP,日別入力!$E:$E,設定!$C19,日別入力!$D:$D,設定!L$7,日別入力!$B:$B,設定!$B19)</f>
        <v>0</v>
      </c>
      <c r="M19" s="14">
        <f>SUMIFS(日別入力!$AP:$AP,日別入力!$E:$E,設定!$C19,日別入力!$D:$D,設定!M$7,日別入力!$B:$B,設定!$B19)</f>
        <v>0</v>
      </c>
      <c r="N19" s="16">
        <f>SUMIFS(日別入力!$AP:$AP,日別入力!$E:$E,設定!$C19,日別入力!$D:$D,設定!N$7,日別入力!$B:$B,設定!$B19)</f>
        <v>0</v>
      </c>
    </row>
    <row r="20" spans="2:14" s="3" customFormat="1" ht="15" customHeight="1" x14ac:dyDescent="0.2">
      <c r="B20" s="76" t="str">
        <f t="shared" si="2"/>
        <v>&lt;=12</v>
      </c>
      <c r="C20" s="26"/>
      <c r="D20" s="7"/>
      <c r="E20" s="14"/>
      <c r="F20" s="15"/>
      <c r="G20" s="16"/>
      <c r="H20" s="59">
        <f t="shared" si="0"/>
        <v>0</v>
      </c>
      <c r="I20" s="7">
        <f t="shared" si="1"/>
        <v>0</v>
      </c>
      <c r="J20" s="14">
        <f>SUMIFS(日別入力!$AP:$AP,日別入力!$E:$E,設定!$C20,日別入力!$D:$D,設定!J$7,日別入力!$B:$B,設定!$B20)</f>
        <v>0</v>
      </c>
      <c r="K20" s="14">
        <f>SUMIFS(日別入力!$AP:$AP,日別入力!$E:$E,設定!$C20,日別入力!$D:$D,設定!K$7,日別入力!$B:$B,設定!$B20)</f>
        <v>0</v>
      </c>
      <c r="L20" s="14">
        <f>SUMIFS(日別入力!$AP:$AP,日別入力!$E:$E,設定!$C20,日別入力!$D:$D,設定!L$7,日別入力!$B:$B,設定!$B20)</f>
        <v>0</v>
      </c>
      <c r="M20" s="14">
        <f>SUMIFS(日別入力!$AP:$AP,日別入力!$E:$E,設定!$C20,日別入力!$D:$D,設定!M$7,日別入力!$B:$B,設定!$B20)</f>
        <v>0</v>
      </c>
      <c r="N20" s="16">
        <f>SUMIFS(日別入力!$AP:$AP,日別入力!$E:$E,設定!$C20,日別入力!$D:$D,設定!N$7,日別入力!$B:$B,設定!$B20)</f>
        <v>0</v>
      </c>
    </row>
    <row r="21" spans="2:14" s="3" customFormat="1" ht="15" customHeight="1" x14ac:dyDescent="0.2">
      <c r="B21" s="76" t="str">
        <f t="shared" si="2"/>
        <v>&lt;=12</v>
      </c>
      <c r="C21" s="26"/>
      <c r="D21" s="7"/>
      <c r="E21" s="14"/>
      <c r="F21" s="15"/>
      <c r="G21" s="16"/>
      <c r="H21" s="59">
        <f t="shared" si="0"/>
        <v>0</v>
      </c>
      <c r="I21" s="7">
        <f t="shared" si="1"/>
        <v>0</v>
      </c>
      <c r="J21" s="14">
        <f>SUMIFS(日別入力!$AP:$AP,日別入力!$E:$E,設定!$C21,日別入力!$D:$D,設定!J$7,日別入力!$B:$B,設定!$B21)</f>
        <v>0</v>
      </c>
      <c r="K21" s="14">
        <f>SUMIFS(日別入力!$AP:$AP,日別入力!$E:$E,設定!$C21,日別入力!$D:$D,設定!K$7,日別入力!$B:$B,設定!$B21)</f>
        <v>0</v>
      </c>
      <c r="L21" s="14">
        <f>SUMIFS(日別入力!$AP:$AP,日別入力!$E:$E,設定!$C21,日別入力!$D:$D,設定!L$7,日別入力!$B:$B,設定!$B21)</f>
        <v>0</v>
      </c>
      <c r="M21" s="14">
        <f>SUMIFS(日別入力!$AP:$AP,日別入力!$E:$E,設定!$C21,日別入力!$D:$D,設定!M$7,日別入力!$B:$B,設定!$B21)</f>
        <v>0</v>
      </c>
      <c r="N21" s="16">
        <f>SUMIFS(日別入力!$AP:$AP,日別入力!$E:$E,設定!$C21,日別入力!$D:$D,設定!N$7,日別入力!$B:$B,設定!$B21)</f>
        <v>0</v>
      </c>
    </row>
    <row r="22" spans="2:14" s="3" customFormat="1" ht="15" customHeight="1" x14ac:dyDescent="0.2">
      <c r="B22" s="76" t="str">
        <f t="shared" si="2"/>
        <v>&lt;=12</v>
      </c>
      <c r="C22" s="26"/>
      <c r="D22" s="7"/>
      <c r="E22" s="14"/>
      <c r="F22" s="15"/>
      <c r="G22" s="16"/>
      <c r="H22" s="59">
        <f t="shared" si="0"/>
        <v>0</v>
      </c>
      <c r="I22" s="7">
        <f t="shared" si="1"/>
        <v>0</v>
      </c>
      <c r="J22" s="14">
        <f>SUMIFS(日別入力!$AP:$AP,日別入力!$E:$E,設定!$C22,日別入力!$D:$D,設定!J$7,日別入力!$B:$B,設定!$B22)</f>
        <v>0</v>
      </c>
      <c r="K22" s="14">
        <f>SUMIFS(日別入力!$AP:$AP,日別入力!$E:$E,設定!$C22,日別入力!$D:$D,設定!K$7,日別入力!$B:$B,設定!$B22)</f>
        <v>0</v>
      </c>
      <c r="L22" s="14">
        <f>SUMIFS(日別入力!$AP:$AP,日別入力!$E:$E,設定!$C22,日別入力!$D:$D,設定!L$7,日別入力!$B:$B,設定!$B22)</f>
        <v>0</v>
      </c>
      <c r="M22" s="14">
        <f>SUMIFS(日別入力!$AP:$AP,日別入力!$E:$E,設定!$C22,日別入力!$D:$D,設定!M$7,日別入力!$B:$B,設定!$B22)</f>
        <v>0</v>
      </c>
      <c r="N22" s="16">
        <f>SUMIFS(日別入力!$AP:$AP,日別入力!$E:$E,設定!$C22,日別入力!$D:$D,設定!N$7,日別入力!$B:$B,設定!$B22)</f>
        <v>0</v>
      </c>
    </row>
    <row r="23" spans="2:14" s="3" customFormat="1" ht="15" customHeight="1" x14ac:dyDescent="0.2">
      <c r="B23" s="76" t="str">
        <f t="shared" si="2"/>
        <v>&lt;=12</v>
      </c>
      <c r="C23" s="26"/>
      <c r="D23" s="7"/>
      <c r="E23" s="14"/>
      <c r="F23" s="15"/>
      <c r="G23" s="16"/>
      <c r="H23" s="59">
        <f t="shared" si="0"/>
        <v>0</v>
      </c>
      <c r="I23" s="7">
        <f t="shared" si="1"/>
        <v>0</v>
      </c>
      <c r="J23" s="14">
        <f>SUMIFS(日別入力!$AP:$AP,日別入力!$E:$E,設定!$C23,日別入力!$D:$D,設定!J$7,日別入力!$B:$B,設定!$B23)</f>
        <v>0</v>
      </c>
      <c r="K23" s="14">
        <f>SUMIFS(日別入力!$AP:$AP,日別入力!$E:$E,設定!$C23,日別入力!$D:$D,設定!K$7,日別入力!$B:$B,設定!$B23)</f>
        <v>0</v>
      </c>
      <c r="L23" s="14">
        <f>SUMIFS(日別入力!$AP:$AP,日別入力!$E:$E,設定!$C23,日別入力!$D:$D,設定!L$7,日別入力!$B:$B,設定!$B23)</f>
        <v>0</v>
      </c>
      <c r="M23" s="14">
        <f>SUMIFS(日別入力!$AP:$AP,日別入力!$E:$E,設定!$C23,日別入力!$D:$D,設定!M$7,日別入力!$B:$B,設定!$B23)</f>
        <v>0</v>
      </c>
      <c r="N23" s="16">
        <f>SUMIFS(日別入力!$AP:$AP,日別入力!$E:$E,設定!$C23,日別入力!$D:$D,設定!N$7,日別入力!$B:$B,設定!$B23)</f>
        <v>0</v>
      </c>
    </row>
    <row r="24" spans="2:14" s="3" customFormat="1" ht="15" customHeight="1" x14ac:dyDescent="0.2">
      <c r="B24" s="76" t="str">
        <f t="shared" si="2"/>
        <v>&lt;=12</v>
      </c>
      <c r="C24" s="26"/>
      <c r="D24" s="7"/>
      <c r="E24" s="14"/>
      <c r="F24" s="15"/>
      <c r="G24" s="16"/>
      <c r="H24" s="59">
        <f t="shared" si="0"/>
        <v>0</v>
      </c>
      <c r="I24" s="7">
        <f t="shared" si="1"/>
        <v>0</v>
      </c>
      <c r="J24" s="14">
        <f>SUMIFS(日別入力!$AP:$AP,日別入力!$E:$E,設定!$C24,日別入力!$D:$D,設定!J$7,日別入力!$B:$B,設定!$B24)</f>
        <v>0</v>
      </c>
      <c r="K24" s="14">
        <f>SUMIFS(日別入力!$AP:$AP,日別入力!$E:$E,設定!$C24,日別入力!$D:$D,設定!K$7,日別入力!$B:$B,設定!$B24)</f>
        <v>0</v>
      </c>
      <c r="L24" s="14">
        <f>SUMIFS(日別入力!$AP:$AP,日別入力!$E:$E,設定!$C24,日別入力!$D:$D,設定!L$7,日別入力!$B:$B,設定!$B24)</f>
        <v>0</v>
      </c>
      <c r="M24" s="14">
        <f>SUMIFS(日別入力!$AP:$AP,日別入力!$E:$E,設定!$C24,日別入力!$D:$D,設定!M$7,日別入力!$B:$B,設定!$B24)</f>
        <v>0</v>
      </c>
      <c r="N24" s="16">
        <f>SUMIFS(日別入力!$AP:$AP,日別入力!$E:$E,設定!$C24,日別入力!$D:$D,設定!N$7,日別入力!$B:$B,設定!$B24)</f>
        <v>0</v>
      </c>
    </row>
    <row r="25" spans="2:14" s="3" customFormat="1" ht="15" customHeight="1" x14ac:dyDescent="0.2">
      <c r="B25" s="76" t="str">
        <f t="shared" si="2"/>
        <v>&lt;=12</v>
      </c>
      <c r="C25" s="26"/>
      <c r="D25" s="7"/>
      <c r="E25" s="14"/>
      <c r="F25" s="15"/>
      <c r="G25" s="16"/>
      <c r="H25" s="59">
        <f t="shared" si="0"/>
        <v>0</v>
      </c>
      <c r="I25" s="7">
        <f t="shared" si="1"/>
        <v>0</v>
      </c>
      <c r="J25" s="14">
        <f>SUMIFS(日別入力!$AP:$AP,日別入力!$E:$E,設定!$C25,日別入力!$D:$D,設定!J$7,日別入力!$B:$B,設定!$B25)</f>
        <v>0</v>
      </c>
      <c r="K25" s="14">
        <f>SUMIFS(日別入力!$AP:$AP,日別入力!$E:$E,設定!$C25,日別入力!$D:$D,設定!K$7,日別入力!$B:$B,設定!$B25)</f>
        <v>0</v>
      </c>
      <c r="L25" s="14">
        <f>SUMIFS(日別入力!$AP:$AP,日別入力!$E:$E,設定!$C25,日別入力!$D:$D,設定!L$7,日別入力!$B:$B,設定!$B25)</f>
        <v>0</v>
      </c>
      <c r="M25" s="14">
        <f>SUMIFS(日別入力!$AP:$AP,日別入力!$E:$E,設定!$C25,日別入力!$D:$D,設定!M$7,日別入力!$B:$B,設定!$B25)</f>
        <v>0</v>
      </c>
      <c r="N25" s="16">
        <f>SUMIFS(日別入力!$AP:$AP,日別入力!$E:$E,設定!$C25,日別入力!$D:$D,設定!N$7,日別入力!$B:$B,設定!$B25)</f>
        <v>0</v>
      </c>
    </row>
    <row r="26" spans="2:14" s="3" customFormat="1" ht="15" customHeight="1" x14ac:dyDescent="0.2">
      <c r="B26" s="76" t="str">
        <f t="shared" si="2"/>
        <v>&lt;=12</v>
      </c>
      <c r="C26" s="26"/>
      <c r="D26" s="7"/>
      <c r="E26" s="14"/>
      <c r="F26" s="15"/>
      <c r="G26" s="16"/>
      <c r="H26" s="59">
        <f t="shared" si="0"/>
        <v>0</v>
      </c>
      <c r="I26" s="7">
        <f t="shared" si="1"/>
        <v>0</v>
      </c>
      <c r="J26" s="14">
        <f>SUMIFS(日別入力!$AP:$AP,日別入力!$E:$E,設定!$C26,日別入力!$D:$D,設定!J$7,日別入力!$B:$B,設定!$B26)</f>
        <v>0</v>
      </c>
      <c r="K26" s="14">
        <f>SUMIFS(日別入力!$AP:$AP,日別入力!$E:$E,設定!$C26,日別入力!$D:$D,設定!K$7,日別入力!$B:$B,設定!$B26)</f>
        <v>0</v>
      </c>
      <c r="L26" s="14">
        <f>SUMIFS(日別入力!$AP:$AP,日別入力!$E:$E,設定!$C26,日別入力!$D:$D,設定!L$7,日別入力!$B:$B,設定!$B26)</f>
        <v>0</v>
      </c>
      <c r="M26" s="14">
        <f>SUMIFS(日別入力!$AP:$AP,日別入力!$E:$E,設定!$C26,日別入力!$D:$D,設定!M$7,日別入力!$B:$B,設定!$B26)</f>
        <v>0</v>
      </c>
      <c r="N26" s="16">
        <f>SUMIFS(日別入力!$AP:$AP,日別入力!$E:$E,設定!$C26,日別入力!$D:$D,設定!N$7,日別入力!$B:$B,設定!$B26)</f>
        <v>0</v>
      </c>
    </row>
    <row r="27" spans="2:14" s="3" customFormat="1" ht="15" customHeight="1" x14ac:dyDescent="0.2">
      <c r="B27" s="76" t="str">
        <f t="shared" si="2"/>
        <v>&lt;=12</v>
      </c>
      <c r="C27" s="26"/>
      <c r="D27" s="7"/>
      <c r="E27" s="14"/>
      <c r="F27" s="15"/>
      <c r="G27" s="16"/>
      <c r="H27" s="59">
        <f t="shared" si="0"/>
        <v>0</v>
      </c>
      <c r="I27" s="7">
        <f t="shared" si="1"/>
        <v>0</v>
      </c>
      <c r="J27" s="14">
        <f>SUMIFS(日別入力!$AP:$AP,日別入力!$E:$E,設定!$C27,日別入力!$D:$D,設定!J$7,日別入力!$B:$B,設定!$B27)</f>
        <v>0</v>
      </c>
      <c r="K27" s="14">
        <f>SUMIFS(日別入力!$AP:$AP,日別入力!$E:$E,設定!$C27,日別入力!$D:$D,設定!K$7,日別入力!$B:$B,設定!$B27)</f>
        <v>0</v>
      </c>
      <c r="L27" s="14">
        <f>SUMIFS(日別入力!$AP:$AP,日別入力!$E:$E,設定!$C27,日別入力!$D:$D,設定!L$7,日別入力!$B:$B,設定!$B27)</f>
        <v>0</v>
      </c>
      <c r="M27" s="14">
        <f>SUMIFS(日別入力!$AP:$AP,日別入力!$E:$E,設定!$C27,日別入力!$D:$D,設定!M$7,日別入力!$B:$B,設定!$B27)</f>
        <v>0</v>
      </c>
      <c r="N27" s="16">
        <f>SUMIFS(日別入力!$AP:$AP,日別入力!$E:$E,設定!$C27,日別入力!$D:$D,設定!N$7,日別入力!$B:$B,設定!$B27)</f>
        <v>0</v>
      </c>
    </row>
    <row r="28" spans="2:14" s="3" customFormat="1" ht="15" customHeight="1" x14ac:dyDescent="0.2">
      <c r="B28" s="76" t="str">
        <f t="shared" si="2"/>
        <v>&lt;=12</v>
      </c>
      <c r="C28" s="26"/>
      <c r="D28" s="7"/>
      <c r="E28" s="14"/>
      <c r="F28" s="15"/>
      <c r="G28" s="16"/>
      <c r="H28" s="59">
        <f t="shared" si="0"/>
        <v>0</v>
      </c>
      <c r="I28" s="7">
        <f t="shared" si="1"/>
        <v>0</v>
      </c>
      <c r="J28" s="14">
        <f>SUMIFS(日別入力!$AP:$AP,日別入力!$E:$E,設定!$C28,日別入力!$D:$D,設定!J$7,日別入力!$B:$B,設定!$B28)</f>
        <v>0</v>
      </c>
      <c r="K28" s="14">
        <f>SUMIFS(日別入力!$AP:$AP,日別入力!$E:$E,設定!$C28,日別入力!$D:$D,設定!K$7,日別入力!$B:$B,設定!$B28)</f>
        <v>0</v>
      </c>
      <c r="L28" s="14">
        <f>SUMIFS(日別入力!$AP:$AP,日別入力!$E:$E,設定!$C28,日別入力!$D:$D,設定!L$7,日別入力!$B:$B,設定!$B28)</f>
        <v>0</v>
      </c>
      <c r="M28" s="14">
        <f>SUMIFS(日別入力!$AP:$AP,日別入力!$E:$E,設定!$C28,日別入力!$D:$D,設定!M$7,日別入力!$B:$B,設定!$B28)</f>
        <v>0</v>
      </c>
      <c r="N28" s="16">
        <f>SUMIFS(日別入力!$AP:$AP,日別入力!$E:$E,設定!$C28,日別入力!$D:$D,設定!N$7,日別入力!$B:$B,設定!$B28)</f>
        <v>0</v>
      </c>
    </row>
    <row r="29" spans="2:14" s="3" customFormat="1" ht="15" customHeight="1" x14ac:dyDescent="0.2">
      <c r="B29" s="76" t="str">
        <f t="shared" si="2"/>
        <v>&lt;=12</v>
      </c>
      <c r="C29" s="26"/>
      <c r="D29" s="7"/>
      <c r="E29" s="14"/>
      <c r="F29" s="15"/>
      <c r="G29" s="16"/>
      <c r="H29" s="59">
        <f t="shared" si="0"/>
        <v>0</v>
      </c>
      <c r="I29" s="7">
        <f t="shared" si="1"/>
        <v>0</v>
      </c>
      <c r="J29" s="14">
        <f>SUMIFS(日別入力!$AP:$AP,日別入力!$E:$E,設定!$C29,日別入力!$D:$D,設定!J$7,日別入力!$B:$B,設定!$B29)</f>
        <v>0</v>
      </c>
      <c r="K29" s="14">
        <f>SUMIFS(日別入力!$AP:$AP,日別入力!$E:$E,設定!$C29,日別入力!$D:$D,設定!K$7,日別入力!$B:$B,設定!$B29)</f>
        <v>0</v>
      </c>
      <c r="L29" s="14">
        <f>SUMIFS(日別入力!$AP:$AP,日別入力!$E:$E,設定!$C29,日別入力!$D:$D,設定!L$7,日別入力!$B:$B,設定!$B29)</f>
        <v>0</v>
      </c>
      <c r="M29" s="14">
        <f>SUMIFS(日別入力!$AP:$AP,日別入力!$E:$E,設定!$C29,日別入力!$D:$D,設定!M$7,日別入力!$B:$B,設定!$B29)</f>
        <v>0</v>
      </c>
      <c r="N29" s="16">
        <f>SUMIFS(日別入力!$AP:$AP,日別入力!$E:$E,設定!$C29,日別入力!$D:$D,設定!N$7,日別入力!$B:$B,設定!$B29)</f>
        <v>0</v>
      </c>
    </row>
    <row r="30" spans="2:14" s="3" customFormat="1" ht="15" customHeight="1" x14ac:dyDescent="0.2">
      <c r="B30" s="76" t="str">
        <f t="shared" si="2"/>
        <v>&lt;=12</v>
      </c>
      <c r="C30" s="26"/>
      <c r="D30" s="7"/>
      <c r="E30" s="14"/>
      <c r="F30" s="15"/>
      <c r="G30" s="16"/>
      <c r="H30" s="59">
        <f t="shared" si="0"/>
        <v>0</v>
      </c>
      <c r="I30" s="7">
        <f t="shared" si="1"/>
        <v>0</v>
      </c>
      <c r="J30" s="14">
        <f>SUMIFS(日別入力!$AP:$AP,日別入力!$E:$E,設定!$C30,日別入力!$D:$D,設定!J$7,日別入力!$B:$B,設定!$B30)</f>
        <v>0</v>
      </c>
      <c r="K30" s="14">
        <f>SUMIFS(日別入力!$AP:$AP,日別入力!$E:$E,設定!$C30,日別入力!$D:$D,設定!K$7,日別入力!$B:$B,設定!$B30)</f>
        <v>0</v>
      </c>
      <c r="L30" s="14">
        <f>SUMIFS(日別入力!$AP:$AP,日別入力!$E:$E,設定!$C30,日別入力!$D:$D,設定!L$7,日別入力!$B:$B,設定!$B30)</f>
        <v>0</v>
      </c>
      <c r="M30" s="14">
        <f>SUMIFS(日別入力!$AP:$AP,日別入力!$E:$E,設定!$C30,日別入力!$D:$D,設定!M$7,日別入力!$B:$B,設定!$B30)</f>
        <v>0</v>
      </c>
      <c r="N30" s="16">
        <f>SUMIFS(日別入力!$AP:$AP,日別入力!$E:$E,設定!$C30,日別入力!$D:$D,設定!N$7,日別入力!$B:$B,設定!$B30)</f>
        <v>0</v>
      </c>
    </row>
    <row r="31" spans="2:14" s="3" customFormat="1" ht="15" customHeight="1" x14ac:dyDescent="0.2">
      <c r="B31" s="76" t="str">
        <f t="shared" si="2"/>
        <v>&lt;=12</v>
      </c>
      <c r="C31" s="26"/>
      <c r="D31" s="7"/>
      <c r="E31" s="14"/>
      <c r="F31" s="15"/>
      <c r="G31" s="16"/>
      <c r="H31" s="59">
        <f t="shared" si="0"/>
        <v>0</v>
      </c>
      <c r="I31" s="7">
        <f t="shared" si="1"/>
        <v>0</v>
      </c>
      <c r="J31" s="14">
        <f>SUMIFS(日別入力!$AP:$AP,日別入力!$E:$E,設定!$C31,日別入力!$D:$D,設定!J$7,日別入力!$B:$B,設定!$B31)</f>
        <v>0</v>
      </c>
      <c r="K31" s="14">
        <f>SUMIFS(日別入力!$AP:$AP,日別入力!$E:$E,設定!$C31,日別入力!$D:$D,設定!K$7,日別入力!$B:$B,設定!$B31)</f>
        <v>0</v>
      </c>
      <c r="L31" s="14">
        <f>SUMIFS(日別入力!$AP:$AP,日別入力!$E:$E,設定!$C31,日別入力!$D:$D,設定!L$7,日別入力!$B:$B,設定!$B31)</f>
        <v>0</v>
      </c>
      <c r="M31" s="14">
        <f>SUMIFS(日別入力!$AP:$AP,日別入力!$E:$E,設定!$C31,日別入力!$D:$D,設定!M$7,日別入力!$B:$B,設定!$B31)</f>
        <v>0</v>
      </c>
      <c r="N31" s="16">
        <f>SUMIFS(日別入力!$AP:$AP,日別入力!$E:$E,設定!$C31,日別入力!$D:$D,設定!N$7,日別入力!$B:$B,設定!$B31)</f>
        <v>0</v>
      </c>
    </row>
    <row r="32" spans="2:14" s="3" customFormat="1" ht="15" customHeight="1" x14ac:dyDescent="0.2">
      <c r="B32" s="76" t="str">
        <f t="shared" si="2"/>
        <v>&lt;=12</v>
      </c>
      <c r="C32" s="26"/>
      <c r="D32" s="7"/>
      <c r="E32" s="14"/>
      <c r="F32" s="15"/>
      <c r="G32" s="16"/>
      <c r="H32" s="59">
        <f t="shared" si="0"/>
        <v>0</v>
      </c>
      <c r="I32" s="7">
        <f t="shared" si="1"/>
        <v>0</v>
      </c>
      <c r="J32" s="14">
        <f>SUMIFS(日別入力!$AP:$AP,日別入力!$E:$E,設定!$C32,日別入力!$D:$D,設定!J$7,日別入力!$B:$B,設定!$B32)</f>
        <v>0</v>
      </c>
      <c r="K32" s="14">
        <f>SUMIFS(日別入力!$AP:$AP,日別入力!$E:$E,設定!$C32,日別入力!$D:$D,設定!K$7,日別入力!$B:$B,設定!$B32)</f>
        <v>0</v>
      </c>
      <c r="L32" s="14">
        <f>SUMIFS(日別入力!$AP:$AP,日別入力!$E:$E,設定!$C32,日別入力!$D:$D,設定!L$7,日別入力!$B:$B,設定!$B32)</f>
        <v>0</v>
      </c>
      <c r="M32" s="14">
        <f>SUMIFS(日別入力!$AP:$AP,日別入力!$E:$E,設定!$C32,日別入力!$D:$D,設定!M$7,日別入力!$B:$B,設定!$B32)</f>
        <v>0</v>
      </c>
      <c r="N32" s="16">
        <f>SUMIFS(日別入力!$AP:$AP,日別入力!$E:$E,設定!$C32,日別入力!$D:$D,設定!N$7,日別入力!$B:$B,設定!$B32)</f>
        <v>0</v>
      </c>
    </row>
    <row r="33" spans="2:14" s="3" customFormat="1" ht="15" customHeight="1" x14ac:dyDescent="0.2">
      <c r="B33" s="76" t="str">
        <f t="shared" si="2"/>
        <v>&lt;=12</v>
      </c>
      <c r="C33" s="26"/>
      <c r="D33" s="7"/>
      <c r="E33" s="14"/>
      <c r="F33" s="15"/>
      <c r="G33" s="16"/>
      <c r="H33" s="59">
        <f t="shared" si="0"/>
        <v>0</v>
      </c>
      <c r="I33" s="7">
        <f t="shared" si="1"/>
        <v>0</v>
      </c>
      <c r="J33" s="14">
        <f>SUMIFS(日別入力!$AP:$AP,日別入力!$E:$E,設定!$C33,日別入力!$D:$D,設定!J$7,日別入力!$B:$B,設定!$B33)</f>
        <v>0</v>
      </c>
      <c r="K33" s="14">
        <f>SUMIFS(日別入力!$AP:$AP,日別入力!$E:$E,設定!$C33,日別入力!$D:$D,設定!K$7,日別入力!$B:$B,設定!$B33)</f>
        <v>0</v>
      </c>
      <c r="L33" s="14">
        <f>SUMIFS(日別入力!$AP:$AP,日別入力!$E:$E,設定!$C33,日別入力!$D:$D,設定!L$7,日別入力!$B:$B,設定!$B33)</f>
        <v>0</v>
      </c>
      <c r="M33" s="14">
        <f>SUMIFS(日別入力!$AP:$AP,日別入力!$E:$E,設定!$C33,日別入力!$D:$D,設定!M$7,日別入力!$B:$B,設定!$B33)</f>
        <v>0</v>
      </c>
      <c r="N33" s="16">
        <f>SUMIFS(日別入力!$AP:$AP,日別入力!$E:$E,設定!$C33,日別入力!$D:$D,設定!N$7,日別入力!$B:$B,設定!$B33)</f>
        <v>0</v>
      </c>
    </row>
    <row r="34" spans="2:14" s="3" customFormat="1" ht="15" customHeight="1" x14ac:dyDescent="0.2">
      <c r="B34" s="76" t="str">
        <f t="shared" si="2"/>
        <v>&lt;=12</v>
      </c>
      <c r="C34" s="26"/>
      <c r="D34" s="7"/>
      <c r="E34" s="14"/>
      <c r="F34" s="15"/>
      <c r="G34" s="16"/>
      <c r="H34" s="59">
        <f t="shared" si="0"/>
        <v>0</v>
      </c>
      <c r="I34" s="7">
        <f t="shared" si="1"/>
        <v>0</v>
      </c>
      <c r="J34" s="14">
        <f>SUMIFS(日別入力!$AP:$AP,日別入力!$E:$E,設定!$C34,日別入力!$D:$D,設定!J$7,日別入力!$B:$B,設定!$B34)</f>
        <v>0</v>
      </c>
      <c r="K34" s="14">
        <f>SUMIFS(日別入力!$AP:$AP,日別入力!$E:$E,設定!$C34,日別入力!$D:$D,設定!K$7,日別入力!$B:$B,設定!$B34)</f>
        <v>0</v>
      </c>
      <c r="L34" s="14">
        <f>SUMIFS(日別入力!$AP:$AP,日別入力!$E:$E,設定!$C34,日別入力!$D:$D,設定!L$7,日別入力!$B:$B,設定!$B34)</f>
        <v>0</v>
      </c>
      <c r="M34" s="14">
        <f>SUMIFS(日別入力!$AP:$AP,日別入力!$E:$E,設定!$C34,日別入力!$D:$D,設定!M$7,日別入力!$B:$B,設定!$B34)</f>
        <v>0</v>
      </c>
      <c r="N34" s="16">
        <f>SUMIFS(日別入力!$AP:$AP,日別入力!$E:$E,設定!$C34,日別入力!$D:$D,設定!N$7,日別入力!$B:$B,設定!$B34)</f>
        <v>0</v>
      </c>
    </row>
    <row r="35" spans="2:14" s="3" customFormat="1" ht="15" customHeight="1" x14ac:dyDescent="0.2">
      <c r="B35" s="76" t="str">
        <f t="shared" si="2"/>
        <v>&lt;=12</v>
      </c>
      <c r="C35" s="26"/>
      <c r="D35" s="7"/>
      <c r="E35" s="14"/>
      <c r="F35" s="15"/>
      <c r="G35" s="16"/>
      <c r="H35" s="59">
        <f t="shared" si="0"/>
        <v>0</v>
      </c>
      <c r="I35" s="7">
        <f t="shared" si="1"/>
        <v>0</v>
      </c>
      <c r="J35" s="14">
        <f>SUMIFS(日別入力!$AP:$AP,日別入力!$E:$E,設定!$C35,日別入力!$D:$D,設定!J$7,日別入力!$B:$B,設定!$B35)</f>
        <v>0</v>
      </c>
      <c r="K35" s="14">
        <f>SUMIFS(日別入力!$AP:$AP,日別入力!$E:$E,設定!$C35,日別入力!$D:$D,設定!K$7,日別入力!$B:$B,設定!$B35)</f>
        <v>0</v>
      </c>
      <c r="L35" s="14">
        <f>SUMIFS(日別入力!$AP:$AP,日別入力!$E:$E,設定!$C35,日別入力!$D:$D,設定!L$7,日別入力!$B:$B,設定!$B35)</f>
        <v>0</v>
      </c>
      <c r="M35" s="14">
        <f>SUMIFS(日別入力!$AP:$AP,日別入力!$E:$E,設定!$C35,日別入力!$D:$D,設定!M$7,日別入力!$B:$B,設定!$B35)</f>
        <v>0</v>
      </c>
      <c r="N35" s="16">
        <f>SUMIFS(日別入力!$AP:$AP,日別入力!$E:$E,設定!$C35,日別入力!$D:$D,設定!N$7,日別入力!$B:$B,設定!$B35)</f>
        <v>0</v>
      </c>
    </row>
    <row r="36" spans="2:14" s="3" customFormat="1" ht="15" customHeight="1" x14ac:dyDescent="0.2">
      <c r="B36" s="76" t="str">
        <f t="shared" si="2"/>
        <v>&lt;=12</v>
      </c>
      <c r="C36" s="26"/>
      <c r="D36" s="7"/>
      <c r="E36" s="14"/>
      <c r="F36" s="15"/>
      <c r="G36" s="16"/>
      <c r="H36" s="59">
        <f t="shared" si="0"/>
        <v>0</v>
      </c>
      <c r="I36" s="7">
        <f t="shared" si="1"/>
        <v>0</v>
      </c>
      <c r="J36" s="14">
        <f>SUMIFS(日別入力!$AP:$AP,日別入力!$E:$E,設定!$C36,日別入力!$D:$D,設定!J$7,日別入力!$B:$B,設定!$B36)</f>
        <v>0</v>
      </c>
      <c r="K36" s="14">
        <f>SUMIFS(日別入力!$AP:$AP,日別入力!$E:$E,設定!$C36,日別入力!$D:$D,設定!K$7,日別入力!$B:$B,設定!$B36)</f>
        <v>0</v>
      </c>
      <c r="L36" s="14">
        <f>SUMIFS(日別入力!$AP:$AP,日別入力!$E:$E,設定!$C36,日別入力!$D:$D,設定!L$7,日別入力!$B:$B,設定!$B36)</f>
        <v>0</v>
      </c>
      <c r="M36" s="14">
        <f>SUMIFS(日別入力!$AP:$AP,日別入力!$E:$E,設定!$C36,日別入力!$D:$D,設定!M$7,日別入力!$B:$B,設定!$B36)</f>
        <v>0</v>
      </c>
      <c r="N36" s="16">
        <f>SUMIFS(日別入力!$AP:$AP,日別入力!$E:$E,設定!$C36,日別入力!$D:$D,設定!N$7,日別入力!$B:$B,設定!$B36)</f>
        <v>0</v>
      </c>
    </row>
    <row r="37" spans="2:14" s="3" customFormat="1" ht="15" customHeight="1" x14ac:dyDescent="0.2">
      <c r="B37" s="76" t="str">
        <f t="shared" si="2"/>
        <v>&lt;=12</v>
      </c>
      <c r="C37" s="26"/>
      <c r="D37" s="7"/>
      <c r="E37" s="14"/>
      <c r="F37" s="15"/>
      <c r="G37" s="16"/>
      <c r="H37" s="59">
        <f t="shared" si="0"/>
        <v>0</v>
      </c>
      <c r="I37" s="7">
        <f t="shared" si="1"/>
        <v>0</v>
      </c>
      <c r="J37" s="14">
        <f>SUMIFS(日別入力!$AP:$AP,日別入力!$E:$E,設定!$C37,日別入力!$D:$D,設定!J$7,日別入力!$B:$B,設定!$B37)</f>
        <v>0</v>
      </c>
      <c r="K37" s="14">
        <f>SUMIFS(日別入力!$AP:$AP,日別入力!$E:$E,設定!$C37,日別入力!$D:$D,設定!K$7,日別入力!$B:$B,設定!$B37)</f>
        <v>0</v>
      </c>
      <c r="L37" s="14">
        <f>SUMIFS(日別入力!$AP:$AP,日別入力!$E:$E,設定!$C37,日別入力!$D:$D,設定!L$7,日別入力!$B:$B,設定!$B37)</f>
        <v>0</v>
      </c>
      <c r="M37" s="14">
        <f>SUMIFS(日別入力!$AP:$AP,日別入力!$E:$E,設定!$C37,日別入力!$D:$D,設定!M$7,日別入力!$B:$B,設定!$B37)</f>
        <v>0</v>
      </c>
      <c r="N37" s="16">
        <f>SUMIFS(日別入力!$AP:$AP,日別入力!$E:$E,設定!$C37,日別入力!$D:$D,設定!N$7,日別入力!$B:$B,設定!$B37)</f>
        <v>0</v>
      </c>
    </row>
    <row r="38" spans="2:14" s="3" customFormat="1" ht="15" customHeight="1" x14ac:dyDescent="0.2">
      <c r="B38" s="76" t="str">
        <f t="shared" si="2"/>
        <v>&lt;=12</v>
      </c>
      <c r="C38" s="25"/>
      <c r="D38" s="7" t="s">
        <v>67</v>
      </c>
      <c r="E38" s="14" t="s">
        <v>67</v>
      </c>
      <c r="F38" s="15" t="s">
        <v>67</v>
      </c>
      <c r="G38" s="16" t="s">
        <v>67</v>
      </c>
      <c r="H38" s="59">
        <f t="shared" si="0"/>
        <v>0</v>
      </c>
      <c r="I38" s="7">
        <f t="shared" si="1"/>
        <v>0</v>
      </c>
      <c r="J38" s="14">
        <f>SUMIFS(日別入力!$AP:$AP,日別入力!$E:$E,設定!$C38,日別入力!$D:$D,設定!J$7,日別入力!$B:$B,設定!$B38)</f>
        <v>0</v>
      </c>
      <c r="K38" s="14">
        <f>SUMIFS(日別入力!$AP:$AP,日別入力!$E:$E,設定!$C38,日別入力!$D:$D,設定!K$7,日別入力!$B:$B,設定!$B38)</f>
        <v>0</v>
      </c>
      <c r="L38" s="14">
        <f>SUMIFS(日別入力!$AP:$AP,日別入力!$E:$E,設定!$C38,日別入力!$D:$D,設定!L$7,日別入力!$B:$B,設定!$B38)</f>
        <v>0</v>
      </c>
      <c r="M38" s="14">
        <f>SUMIFS(日別入力!$AP:$AP,日別入力!$E:$E,設定!$C38,日別入力!$D:$D,設定!M$7,日別入力!$B:$B,設定!$B38)</f>
        <v>0</v>
      </c>
      <c r="N38" s="16">
        <f>SUMIFS(日別入力!$AP:$AP,日別入力!$E:$E,設定!$C38,日別入力!$D:$D,設定!N$7,日別入力!$B:$B,設定!$B38)</f>
        <v>0</v>
      </c>
    </row>
    <row r="39" spans="2:14" s="3" customFormat="1" ht="15" customHeight="1" x14ac:dyDescent="0.2">
      <c r="B39" s="76" t="str">
        <f t="shared" si="2"/>
        <v>&lt;=12</v>
      </c>
      <c r="C39" s="25"/>
      <c r="D39" s="7" t="s">
        <v>67</v>
      </c>
      <c r="E39" s="14" t="s">
        <v>67</v>
      </c>
      <c r="F39" s="15" t="s">
        <v>67</v>
      </c>
      <c r="G39" s="16" t="s">
        <v>67</v>
      </c>
      <c r="H39" s="59">
        <f t="shared" ref="H39:H40" si="3">SUM(I39,M39,N39)</f>
        <v>0</v>
      </c>
      <c r="I39" s="7">
        <f t="shared" ref="I39:I40" si="4">SUM(J39:L39)</f>
        <v>0</v>
      </c>
      <c r="J39" s="14">
        <f>SUMIFS(日別入力!$AP:$AP,日別入力!$E:$E,設定!$C39,日別入力!$D:$D,設定!J$7,日別入力!$B:$B,設定!$B39)</f>
        <v>0</v>
      </c>
      <c r="K39" s="14">
        <f>SUMIFS(日別入力!$AP:$AP,日別入力!$E:$E,設定!$C39,日別入力!$D:$D,設定!K$7,日別入力!$B:$B,設定!$B39)</f>
        <v>0</v>
      </c>
      <c r="L39" s="14">
        <f>SUMIFS(日別入力!$AP:$AP,日別入力!$E:$E,設定!$C39,日別入力!$D:$D,設定!L$7,日別入力!$B:$B,設定!$B39)</f>
        <v>0</v>
      </c>
      <c r="M39" s="14">
        <f>SUMIFS(日別入力!$AP:$AP,日別入力!$E:$E,設定!$C39,日別入力!$D:$D,設定!M$7,日別入力!$B:$B,設定!$B39)</f>
        <v>0</v>
      </c>
      <c r="N39" s="16">
        <f>SUMIFS(日別入力!$AP:$AP,日別入力!$E:$E,設定!$C39,日別入力!$D:$D,設定!N$7,日別入力!$B:$B,設定!$B39)</f>
        <v>0</v>
      </c>
    </row>
    <row r="40" spans="2:14" s="3" customFormat="1" ht="15" customHeight="1" x14ac:dyDescent="0.2">
      <c r="B40" s="76" t="str">
        <f t="shared" si="2"/>
        <v>&lt;=12</v>
      </c>
      <c r="C40" s="25"/>
      <c r="D40" s="7" t="s">
        <v>67</v>
      </c>
      <c r="E40" s="14" t="s">
        <v>67</v>
      </c>
      <c r="F40" s="15" t="s">
        <v>67</v>
      </c>
      <c r="G40" s="16" t="s">
        <v>67</v>
      </c>
      <c r="H40" s="59">
        <f t="shared" si="3"/>
        <v>0</v>
      </c>
      <c r="I40" s="7">
        <f t="shared" si="4"/>
        <v>0</v>
      </c>
      <c r="J40" s="14">
        <f>SUMIFS(日別入力!$AP:$AP,日別入力!$E:$E,設定!$C40,日別入力!$D:$D,設定!J$7,日別入力!$B:$B,設定!$B40)</f>
        <v>0</v>
      </c>
      <c r="K40" s="14">
        <f>SUMIFS(日別入力!$AP:$AP,日別入力!$E:$E,設定!$C40,日別入力!$D:$D,設定!K$7,日別入力!$B:$B,設定!$B40)</f>
        <v>0</v>
      </c>
      <c r="L40" s="14">
        <f>SUMIFS(日別入力!$AP:$AP,日別入力!$E:$E,設定!$C40,日別入力!$D:$D,設定!L$7,日別入力!$B:$B,設定!$B40)</f>
        <v>0</v>
      </c>
      <c r="M40" s="14">
        <f>SUMIFS(日別入力!$AP:$AP,日別入力!$E:$E,設定!$C40,日別入力!$D:$D,設定!M$7,日別入力!$B:$B,設定!$B40)</f>
        <v>0</v>
      </c>
      <c r="N40" s="16">
        <f>SUMIFS(日別入力!$AP:$AP,日別入力!$E:$E,設定!$C40,日別入力!$D:$D,設定!N$7,日別入力!$B:$B,設定!$B40)</f>
        <v>0</v>
      </c>
    </row>
    <row r="41" spans="2:14" s="3" customFormat="1" ht="15" customHeight="1" x14ac:dyDescent="0.2">
      <c r="B41" s="76" t="str">
        <f t="shared" si="2"/>
        <v>&lt;=12</v>
      </c>
      <c r="C41" s="25"/>
      <c r="D41" s="7" t="s">
        <v>67</v>
      </c>
      <c r="E41" s="14" t="s">
        <v>67</v>
      </c>
      <c r="F41" s="15" t="s">
        <v>67</v>
      </c>
      <c r="G41" s="16" t="s">
        <v>67</v>
      </c>
      <c r="H41" s="59">
        <f t="shared" ref="H41:H104" si="5">SUM(I41,M41,N41)</f>
        <v>0</v>
      </c>
      <c r="I41" s="7">
        <f t="shared" ref="I41:I104" si="6">SUM(J41:L41)</f>
        <v>0</v>
      </c>
      <c r="J41" s="14">
        <f>SUMIFS(日別入力!$AP:$AP,日別入力!$E:$E,設定!$C41,日別入力!$D:$D,設定!J$7,日別入力!$B:$B,設定!$B41)</f>
        <v>0</v>
      </c>
      <c r="K41" s="14">
        <f>SUMIFS(日別入力!$AP:$AP,日別入力!$E:$E,設定!$C41,日別入力!$D:$D,設定!K$7,日別入力!$B:$B,設定!$B41)</f>
        <v>0</v>
      </c>
      <c r="L41" s="14">
        <f>SUMIFS(日別入力!$AP:$AP,日別入力!$E:$E,設定!$C41,日別入力!$D:$D,設定!L$7,日別入力!$B:$B,設定!$B41)</f>
        <v>0</v>
      </c>
      <c r="M41" s="14">
        <f>SUMIFS(日別入力!$AP:$AP,日別入力!$E:$E,設定!$C41,日別入力!$D:$D,設定!M$7,日別入力!$B:$B,設定!$B41)</f>
        <v>0</v>
      </c>
      <c r="N41" s="16">
        <f>SUMIFS(日別入力!$AP:$AP,日別入力!$E:$E,設定!$C41,日別入力!$D:$D,設定!N$7,日別入力!$B:$B,設定!$B41)</f>
        <v>0</v>
      </c>
    </row>
    <row r="42" spans="2:14" s="3" customFormat="1" ht="15" customHeight="1" x14ac:dyDescent="0.2">
      <c r="B42" s="76" t="str">
        <f t="shared" si="2"/>
        <v>&lt;=12</v>
      </c>
      <c r="C42" s="25"/>
      <c r="D42" s="7" t="s">
        <v>67</v>
      </c>
      <c r="E42" s="14" t="s">
        <v>67</v>
      </c>
      <c r="F42" s="15" t="s">
        <v>67</v>
      </c>
      <c r="G42" s="16" t="s">
        <v>67</v>
      </c>
      <c r="H42" s="59">
        <f t="shared" si="5"/>
        <v>0</v>
      </c>
      <c r="I42" s="7">
        <f t="shared" si="6"/>
        <v>0</v>
      </c>
      <c r="J42" s="14">
        <f>SUMIFS(日別入力!$AP:$AP,日別入力!$E:$E,設定!$C42,日別入力!$D:$D,設定!J$7,日別入力!$B:$B,設定!$B42)</f>
        <v>0</v>
      </c>
      <c r="K42" s="14">
        <f>SUMIFS(日別入力!$AP:$AP,日別入力!$E:$E,設定!$C42,日別入力!$D:$D,設定!K$7,日別入力!$B:$B,設定!$B42)</f>
        <v>0</v>
      </c>
      <c r="L42" s="14">
        <f>SUMIFS(日別入力!$AP:$AP,日別入力!$E:$E,設定!$C42,日別入力!$D:$D,設定!L$7,日別入力!$B:$B,設定!$B42)</f>
        <v>0</v>
      </c>
      <c r="M42" s="14">
        <f>SUMIFS(日別入力!$AP:$AP,日別入力!$E:$E,設定!$C42,日別入力!$D:$D,設定!M$7,日別入力!$B:$B,設定!$B42)</f>
        <v>0</v>
      </c>
      <c r="N42" s="16">
        <f>SUMIFS(日別入力!$AP:$AP,日別入力!$E:$E,設定!$C42,日別入力!$D:$D,設定!N$7,日別入力!$B:$B,設定!$B42)</f>
        <v>0</v>
      </c>
    </row>
    <row r="43" spans="2:14" s="3" customFormat="1" ht="15" customHeight="1" x14ac:dyDescent="0.2">
      <c r="B43" s="76" t="str">
        <f t="shared" si="2"/>
        <v>&lt;=12</v>
      </c>
      <c r="C43" s="25"/>
      <c r="D43" s="7" t="s">
        <v>67</v>
      </c>
      <c r="E43" s="14" t="s">
        <v>67</v>
      </c>
      <c r="F43" s="15" t="s">
        <v>67</v>
      </c>
      <c r="G43" s="16" t="s">
        <v>67</v>
      </c>
      <c r="H43" s="59">
        <f t="shared" si="5"/>
        <v>0</v>
      </c>
      <c r="I43" s="7">
        <f t="shared" si="6"/>
        <v>0</v>
      </c>
      <c r="J43" s="14">
        <f>SUMIFS(日別入力!$AP:$AP,日別入力!$E:$E,設定!$C43,日別入力!$D:$D,設定!J$7,日別入力!$B:$B,設定!$B43)</f>
        <v>0</v>
      </c>
      <c r="K43" s="14">
        <f>SUMIFS(日別入力!$AP:$AP,日別入力!$E:$E,設定!$C43,日別入力!$D:$D,設定!K$7,日別入力!$B:$B,設定!$B43)</f>
        <v>0</v>
      </c>
      <c r="L43" s="14">
        <f>SUMIFS(日別入力!$AP:$AP,日別入力!$E:$E,設定!$C43,日別入力!$D:$D,設定!L$7,日別入力!$B:$B,設定!$B43)</f>
        <v>0</v>
      </c>
      <c r="M43" s="14">
        <f>SUMIFS(日別入力!$AP:$AP,日別入力!$E:$E,設定!$C43,日別入力!$D:$D,設定!M$7,日別入力!$B:$B,設定!$B43)</f>
        <v>0</v>
      </c>
      <c r="N43" s="16">
        <f>SUMIFS(日別入力!$AP:$AP,日別入力!$E:$E,設定!$C43,日別入力!$D:$D,設定!N$7,日別入力!$B:$B,設定!$B43)</f>
        <v>0</v>
      </c>
    </row>
    <row r="44" spans="2:14" s="3" customFormat="1" ht="15" customHeight="1" x14ac:dyDescent="0.2">
      <c r="B44" s="76" t="str">
        <f t="shared" si="2"/>
        <v>&lt;=12</v>
      </c>
      <c r="C44" s="25"/>
      <c r="D44" s="7" t="s">
        <v>67</v>
      </c>
      <c r="E44" s="14" t="s">
        <v>67</v>
      </c>
      <c r="F44" s="15" t="s">
        <v>67</v>
      </c>
      <c r="G44" s="16" t="s">
        <v>67</v>
      </c>
      <c r="H44" s="59">
        <f t="shared" si="5"/>
        <v>0</v>
      </c>
      <c r="I44" s="7">
        <f t="shared" si="6"/>
        <v>0</v>
      </c>
      <c r="J44" s="14">
        <f>SUMIFS(日別入力!$AP:$AP,日別入力!$E:$E,設定!$C44,日別入力!$D:$D,設定!J$7,日別入力!$B:$B,設定!$B44)</f>
        <v>0</v>
      </c>
      <c r="K44" s="14">
        <f>SUMIFS(日別入力!$AP:$AP,日別入力!$E:$E,設定!$C44,日別入力!$D:$D,設定!K$7,日別入力!$B:$B,設定!$B44)</f>
        <v>0</v>
      </c>
      <c r="L44" s="14">
        <f>SUMIFS(日別入力!$AP:$AP,日別入力!$E:$E,設定!$C44,日別入力!$D:$D,設定!L$7,日別入力!$B:$B,設定!$B44)</f>
        <v>0</v>
      </c>
      <c r="M44" s="14">
        <f>SUMIFS(日別入力!$AP:$AP,日別入力!$E:$E,設定!$C44,日別入力!$D:$D,設定!M$7,日別入力!$B:$B,設定!$B44)</f>
        <v>0</v>
      </c>
      <c r="N44" s="16">
        <f>SUMIFS(日別入力!$AP:$AP,日別入力!$E:$E,設定!$C44,日別入力!$D:$D,設定!N$7,日別入力!$B:$B,設定!$B44)</f>
        <v>0</v>
      </c>
    </row>
    <row r="45" spans="2:14" s="3" customFormat="1" ht="15" customHeight="1" x14ac:dyDescent="0.2">
      <c r="B45" s="76" t="str">
        <f t="shared" si="2"/>
        <v>&lt;=12</v>
      </c>
      <c r="C45" s="25"/>
      <c r="D45" s="7" t="s">
        <v>67</v>
      </c>
      <c r="E45" s="14" t="s">
        <v>67</v>
      </c>
      <c r="F45" s="15" t="s">
        <v>67</v>
      </c>
      <c r="G45" s="16" t="s">
        <v>67</v>
      </c>
      <c r="H45" s="59">
        <f t="shared" si="5"/>
        <v>0</v>
      </c>
      <c r="I45" s="7">
        <f t="shared" si="6"/>
        <v>0</v>
      </c>
      <c r="J45" s="14">
        <f>SUMIFS(日別入力!$AP:$AP,日別入力!$E:$E,設定!$C45,日別入力!$D:$D,設定!J$7,日別入力!$B:$B,設定!$B45)</f>
        <v>0</v>
      </c>
      <c r="K45" s="14">
        <f>SUMIFS(日別入力!$AP:$AP,日別入力!$E:$E,設定!$C45,日別入力!$D:$D,設定!K$7,日別入力!$B:$B,設定!$B45)</f>
        <v>0</v>
      </c>
      <c r="L45" s="14">
        <f>SUMIFS(日別入力!$AP:$AP,日別入力!$E:$E,設定!$C45,日別入力!$D:$D,設定!L$7,日別入力!$B:$B,設定!$B45)</f>
        <v>0</v>
      </c>
      <c r="M45" s="14">
        <f>SUMIFS(日別入力!$AP:$AP,日別入力!$E:$E,設定!$C45,日別入力!$D:$D,設定!M$7,日別入力!$B:$B,設定!$B45)</f>
        <v>0</v>
      </c>
      <c r="N45" s="16">
        <f>SUMIFS(日別入力!$AP:$AP,日別入力!$E:$E,設定!$C45,日別入力!$D:$D,設定!N$7,日別入力!$B:$B,設定!$B45)</f>
        <v>0</v>
      </c>
    </row>
    <row r="46" spans="2:14" s="3" customFormat="1" ht="15" customHeight="1" x14ac:dyDescent="0.2">
      <c r="B46" s="76" t="str">
        <f t="shared" si="2"/>
        <v>&lt;=12</v>
      </c>
      <c r="C46" s="25"/>
      <c r="D46" s="7" t="s">
        <v>67</v>
      </c>
      <c r="E46" s="14" t="s">
        <v>67</v>
      </c>
      <c r="F46" s="15" t="s">
        <v>67</v>
      </c>
      <c r="G46" s="16" t="s">
        <v>67</v>
      </c>
      <c r="H46" s="59">
        <f t="shared" si="5"/>
        <v>0</v>
      </c>
      <c r="I46" s="7">
        <f t="shared" si="6"/>
        <v>0</v>
      </c>
      <c r="J46" s="14">
        <f>SUMIFS(日別入力!$AP:$AP,日別入力!$E:$E,設定!$C46,日別入力!$D:$D,設定!J$7,日別入力!$B:$B,設定!$B46)</f>
        <v>0</v>
      </c>
      <c r="K46" s="14">
        <f>SUMIFS(日別入力!$AP:$AP,日別入力!$E:$E,設定!$C46,日別入力!$D:$D,設定!K$7,日別入力!$B:$B,設定!$B46)</f>
        <v>0</v>
      </c>
      <c r="L46" s="14">
        <f>SUMIFS(日別入力!$AP:$AP,日別入力!$E:$E,設定!$C46,日別入力!$D:$D,設定!L$7,日別入力!$B:$B,設定!$B46)</f>
        <v>0</v>
      </c>
      <c r="M46" s="14">
        <f>SUMIFS(日別入力!$AP:$AP,日別入力!$E:$E,設定!$C46,日別入力!$D:$D,設定!M$7,日別入力!$B:$B,設定!$B46)</f>
        <v>0</v>
      </c>
      <c r="N46" s="16">
        <f>SUMIFS(日別入力!$AP:$AP,日別入力!$E:$E,設定!$C46,日別入力!$D:$D,設定!N$7,日別入力!$B:$B,設定!$B46)</f>
        <v>0</v>
      </c>
    </row>
    <row r="47" spans="2:14" s="3" customFormat="1" ht="15" customHeight="1" x14ac:dyDescent="0.2">
      <c r="B47" s="76" t="str">
        <f t="shared" si="2"/>
        <v>&lt;=12</v>
      </c>
      <c r="C47" s="25"/>
      <c r="D47" s="7" t="s">
        <v>67</v>
      </c>
      <c r="E47" s="14" t="s">
        <v>67</v>
      </c>
      <c r="F47" s="15" t="s">
        <v>67</v>
      </c>
      <c r="G47" s="16" t="s">
        <v>67</v>
      </c>
      <c r="H47" s="59">
        <f t="shared" si="5"/>
        <v>0</v>
      </c>
      <c r="I47" s="7">
        <f t="shared" si="6"/>
        <v>0</v>
      </c>
      <c r="J47" s="14">
        <f>SUMIFS(日別入力!$AP:$AP,日別入力!$E:$E,設定!$C47,日別入力!$D:$D,設定!J$7,日別入力!$B:$B,設定!$B47)</f>
        <v>0</v>
      </c>
      <c r="K47" s="14">
        <f>SUMIFS(日別入力!$AP:$AP,日別入力!$E:$E,設定!$C47,日別入力!$D:$D,設定!K$7,日別入力!$B:$B,設定!$B47)</f>
        <v>0</v>
      </c>
      <c r="L47" s="14">
        <f>SUMIFS(日別入力!$AP:$AP,日別入力!$E:$E,設定!$C47,日別入力!$D:$D,設定!L$7,日別入力!$B:$B,設定!$B47)</f>
        <v>0</v>
      </c>
      <c r="M47" s="14">
        <f>SUMIFS(日別入力!$AP:$AP,日別入力!$E:$E,設定!$C47,日別入力!$D:$D,設定!M$7,日別入力!$B:$B,設定!$B47)</f>
        <v>0</v>
      </c>
      <c r="N47" s="16">
        <f>SUMIFS(日別入力!$AP:$AP,日別入力!$E:$E,設定!$C47,日別入力!$D:$D,設定!N$7,日別入力!$B:$B,設定!$B47)</f>
        <v>0</v>
      </c>
    </row>
    <row r="48" spans="2:14" s="3" customFormat="1" ht="15" customHeight="1" x14ac:dyDescent="0.2">
      <c r="B48" s="76" t="str">
        <f t="shared" si="2"/>
        <v>&lt;=12</v>
      </c>
      <c r="C48" s="25"/>
      <c r="D48" s="7" t="s">
        <v>67</v>
      </c>
      <c r="E48" s="14" t="s">
        <v>67</v>
      </c>
      <c r="F48" s="15" t="s">
        <v>67</v>
      </c>
      <c r="G48" s="16" t="s">
        <v>67</v>
      </c>
      <c r="H48" s="59">
        <f t="shared" si="5"/>
        <v>0</v>
      </c>
      <c r="I48" s="7">
        <f t="shared" si="6"/>
        <v>0</v>
      </c>
      <c r="J48" s="14">
        <f>SUMIFS(日別入力!$AP:$AP,日別入力!$E:$E,設定!$C48,日別入力!$D:$D,設定!J$7,日別入力!$B:$B,設定!$B48)</f>
        <v>0</v>
      </c>
      <c r="K48" s="14">
        <f>SUMIFS(日別入力!$AP:$AP,日別入力!$E:$E,設定!$C48,日別入力!$D:$D,設定!K$7,日別入力!$B:$B,設定!$B48)</f>
        <v>0</v>
      </c>
      <c r="L48" s="14">
        <f>SUMIFS(日別入力!$AP:$AP,日別入力!$E:$E,設定!$C48,日別入力!$D:$D,設定!L$7,日別入力!$B:$B,設定!$B48)</f>
        <v>0</v>
      </c>
      <c r="M48" s="14">
        <f>SUMIFS(日別入力!$AP:$AP,日別入力!$E:$E,設定!$C48,日別入力!$D:$D,設定!M$7,日別入力!$B:$B,設定!$B48)</f>
        <v>0</v>
      </c>
      <c r="N48" s="16">
        <f>SUMIFS(日別入力!$AP:$AP,日別入力!$E:$E,設定!$C48,日別入力!$D:$D,設定!N$7,日別入力!$B:$B,設定!$B48)</f>
        <v>0</v>
      </c>
    </row>
    <row r="49" spans="2:14" s="3" customFormat="1" ht="15" customHeight="1" x14ac:dyDescent="0.2">
      <c r="B49" s="76" t="str">
        <f t="shared" si="2"/>
        <v>&lt;=12</v>
      </c>
      <c r="C49" s="25"/>
      <c r="D49" s="7" t="s">
        <v>67</v>
      </c>
      <c r="E49" s="14" t="s">
        <v>67</v>
      </c>
      <c r="F49" s="15" t="s">
        <v>67</v>
      </c>
      <c r="G49" s="16" t="s">
        <v>67</v>
      </c>
      <c r="H49" s="59">
        <f t="shared" si="5"/>
        <v>0</v>
      </c>
      <c r="I49" s="7">
        <f t="shared" si="6"/>
        <v>0</v>
      </c>
      <c r="J49" s="14">
        <f>SUMIFS(日別入力!$AP:$AP,日別入力!$E:$E,設定!$C49,日別入力!$D:$D,設定!J$7,日別入力!$B:$B,設定!$B49)</f>
        <v>0</v>
      </c>
      <c r="K49" s="14">
        <f>SUMIFS(日別入力!$AP:$AP,日別入力!$E:$E,設定!$C49,日別入力!$D:$D,設定!K$7,日別入力!$B:$B,設定!$B49)</f>
        <v>0</v>
      </c>
      <c r="L49" s="14">
        <f>SUMIFS(日別入力!$AP:$AP,日別入力!$E:$E,設定!$C49,日別入力!$D:$D,設定!L$7,日別入力!$B:$B,設定!$B49)</f>
        <v>0</v>
      </c>
      <c r="M49" s="14">
        <f>SUMIFS(日別入力!$AP:$AP,日別入力!$E:$E,設定!$C49,日別入力!$D:$D,設定!M$7,日別入力!$B:$B,設定!$B49)</f>
        <v>0</v>
      </c>
      <c r="N49" s="16">
        <f>SUMIFS(日別入力!$AP:$AP,日別入力!$E:$E,設定!$C49,日別入力!$D:$D,設定!N$7,日別入力!$B:$B,設定!$B49)</f>
        <v>0</v>
      </c>
    </row>
    <row r="50" spans="2:14" s="3" customFormat="1" ht="15" customHeight="1" x14ac:dyDescent="0.2">
      <c r="B50" s="76" t="str">
        <f t="shared" si="2"/>
        <v>&lt;=12</v>
      </c>
      <c r="C50" s="25"/>
      <c r="D50" s="7" t="s">
        <v>67</v>
      </c>
      <c r="E50" s="14" t="s">
        <v>67</v>
      </c>
      <c r="F50" s="15" t="s">
        <v>67</v>
      </c>
      <c r="G50" s="16" t="s">
        <v>67</v>
      </c>
      <c r="H50" s="59">
        <f t="shared" si="5"/>
        <v>0</v>
      </c>
      <c r="I50" s="7">
        <f t="shared" si="6"/>
        <v>0</v>
      </c>
      <c r="J50" s="14">
        <f>SUMIFS(日別入力!$AP:$AP,日別入力!$E:$E,設定!$C50,日別入力!$D:$D,設定!J$7,日別入力!$B:$B,設定!$B50)</f>
        <v>0</v>
      </c>
      <c r="K50" s="14">
        <f>SUMIFS(日別入力!$AP:$AP,日別入力!$E:$E,設定!$C50,日別入力!$D:$D,設定!K$7,日別入力!$B:$B,設定!$B50)</f>
        <v>0</v>
      </c>
      <c r="L50" s="14">
        <f>SUMIFS(日別入力!$AP:$AP,日別入力!$E:$E,設定!$C50,日別入力!$D:$D,設定!L$7,日別入力!$B:$B,設定!$B50)</f>
        <v>0</v>
      </c>
      <c r="M50" s="14">
        <f>SUMIFS(日別入力!$AP:$AP,日別入力!$E:$E,設定!$C50,日別入力!$D:$D,設定!M$7,日別入力!$B:$B,設定!$B50)</f>
        <v>0</v>
      </c>
      <c r="N50" s="16">
        <f>SUMIFS(日別入力!$AP:$AP,日別入力!$E:$E,設定!$C50,日別入力!$D:$D,設定!N$7,日別入力!$B:$B,設定!$B50)</f>
        <v>0</v>
      </c>
    </row>
    <row r="51" spans="2:14" s="3" customFormat="1" ht="15" customHeight="1" x14ac:dyDescent="0.2">
      <c r="B51" s="76" t="str">
        <f t="shared" si="2"/>
        <v>&lt;=12</v>
      </c>
      <c r="C51" s="25"/>
      <c r="D51" s="7" t="s">
        <v>67</v>
      </c>
      <c r="E51" s="14" t="s">
        <v>67</v>
      </c>
      <c r="F51" s="15" t="s">
        <v>67</v>
      </c>
      <c r="G51" s="16" t="s">
        <v>67</v>
      </c>
      <c r="H51" s="59">
        <f t="shared" si="5"/>
        <v>0</v>
      </c>
      <c r="I51" s="7">
        <f t="shared" si="6"/>
        <v>0</v>
      </c>
      <c r="J51" s="14">
        <f>SUMIFS(日別入力!$AP:$AP,日別入力!$E:$E,設定!$C51,日別入力!$D:$D,設定!J$7,日別入力!$B:$B,設定!$B51)</f>
        <v>0</v>
      </c>
      <c r="K51" s="14">
        <f>SUMIFS(日別入力!$AP:$AP,日別入力!$E:$E,設定!$C51,日別入力!$D:$D,設定!K$7,日別入力!$B:$B,設定!$B51)</f>
        <v>0</v>
      </c>
      <c r="L51" s="14">
        <f>SUMIFS(日別入力!$AP:$AP,日別入力!$E:$E,設定!$C51,日別入力!$D:$D,設定!L$7,日別入力!$B:$B,設定!$B51)</f>
        <v>0</v>
      </c>
      <c r="M51" s="14">
        <f>SUMIFS(日別入力!$AP:$AP,日別入力!$E:$E,設定!$C51,日別入力!$D:$D,設定!M$7,日別入力!$B:$B,設定!$B51)</f>
        <v>0</v>
      </c>
      <c r="N51" s="16">
        <f>SUMIFS(日別入力!$AP:$AP,日別入力!$E:$E,設定!$C51,日別入力!$D:$D,設定!N$7,日別入力!$B:$B,設定!$B51)</f>
        <v>0</v>
      </c>
    </row>
    <row r="52" spans="2:14" s="3" customFormat="1" ht="15" customHeight="1" x14ac:dyDescent="0.2">
      <c r="B52" s="76" t="str">
        <f t="shared" si="2"/>
        <v>&lt;=12</v>
      </c>
      <c r="C52" s="25"/>
      <c r="D52" s="7" t="s">
        <v>67</v>
      </c>
      <c r="E52" s="14" t="s">
        <v>67</v>
      </c>
      <c r="F52" s="15" t="s">
        <v>67</v>
      </c>
      <c r="G52" s="16" t="s">
        <v>67</v>
      </c>
      <c r="H52" s="59">
        <f t="shared" si="5"/>
        <v>0</v>
      </c>
      <c r="I52" s="7">
        <f t="shared" si="6"/>
        <v>0</v>
      </c>
      <c r="J52" s="14">
        <f>SUMIFS(日別入力!$AP:$AP,日別入力!$E:$E,設定!$C52,日別入力!$D:$D,設定!J$7,日別入力!$B:$B,設定!$B52)</f>
        <v>0</v>
      </c>
      <c r="K52" s="14">
        <f>SUMIFS(日別入力!$AP:$AP,日別入力!$E:$E,設定!$C52,日別入力!$D:$D,設定!K$7,日別入力!$B:$B,設定!$B52)</f>
        <v>0</v>
      </c>
      <c r="L52" s="14">
        <f>SUMIFS(日別入力!$AP:$AP,日別入力!$E:$E,設定!$C52,日別入力!$D:$D,設定!L$7,日別入力!$B:$B,設定!$B52)</f>
        <v>0</v>
      </c>
      <c r="M52" s="14">
        <f>SUMIFS(日別入力!$AP:$AP,日別入力!$E:$E,設定!$C52,日別入力!$D:$D,設定!M$7,日別入力!$B:$B,設定!$B52)</f>
        <v>0</v>
      </c>
      <c r="N52" s="16">
        <f>SUMIFS(日別入力!$AP:$AP,日別入力!$E:$E,設定!$C52,日別入力!$D:$D,設定!N$7,日別入力!$B:$B,設定!$B52)</f>
        <v>0</v>
      </c>
    </row>
    <row r="53" spans="2:14" s="3" customFormat="1" ht="15" customHeight="1" x14ac:dyDescent="0.2">
      <c r="B53" s="76" t="str">
        <f t="shared" si="2"/>
        <v>&lt;=12</v>
      </c>
      <c r="C53" s="25"/>
      <c r="D53" s="7" t="s">
        <v>67</v>
      </c>
      <c r="E53" s="14" t="s">
        <v>67</v>
      </c>
      <c r="F53" s="15" t="s">
        <v>67</v>
      </c>
      <c r="G53" s="16" t="s">
        <v>67</v>
      </c>
      <c r="H53" s="59">
        <f t="shared" si="5"/>
        <v>0</v>
      </c>
      <c r="I53" s="7">
        <f t="shared" si="6"/>
        <v>0</v>
      </c>
      <c r="J53" s="14">
        <f>SUMIFS(日別入力!$AP:$AP,日別入力!$E:$E,設定!$C53,日別入力!$D:$D,設定!J$7,日別入力!$B:$B,設定!$B53)</f>
        <v>0</v>
      </c>
      <c r="K53" s="14">
        <f>SUMIFS(日別入力!$AP:$AP,日別入力!$E:$E,設定!$C53,日別入力!$D:$D,設定!K$7,日別入力!$B:$B,設定!$B53)</f>
        <v>0</v>
      </c>
      <c r="L53" s="14">
        <f>SUMIFS(日別入力!$AP:$AP,日別入力!$E:$E,設定!$C53,日別入力!$D:$D,設定!L$7,日別入力!$B:$B,設定!$B53)</f>
        <v>0</v>
      </c>
      <c r="M53" s="14">
        <f>SUMIFS(日別入力!$AP:$AP,日別入力!$E:$E,設定!$C53,日別入力!$D:$D,設定!M$7,日別入力!$B:$B,設定!$B53)</f>
        <v>0</v>
      </c>
      <c r="N53" s="16">
        <f>SUMIFS(日別入力!$AP:$AP,日別入力!$E:$E,設定!$C53,日別入力!$D:$D,設定!N$7,日別入力!$B:$B,設定!$B53)</f>
        <v>0</v>
      </c>
    </row>
    <row r="54" spans="2:14" s="3" customFormat="1" ht="15" customHeight="1" x14ac:dyDescent="0.2">
      <c r="B54" s="76" t="str">
        <f t="shared" si="2"/>
        <v>&lt;=12</v>
      </c>
      <c r="C54" s="25"/>
      <c r="D54" s="7" t="s">
        <v>67</v>
      </c>
      <c r="E54" s="14" t="s">
        <v>67</v>
      </c>
      <c r="F54" s="15" t="s">
        <v>67</v>
      </c>
      <c r="G54" s="16" t="s">
        <v>67</v>
      </c>
      <c r="H54" s="59">
        <f t="shared" si="5"/>
        <v>0</v>
      </c>
      <c r="I54" s="7">
        <f t="shared" si="6"/>
        <v>0</v>
      </c>
      <c r="J54" s="14">
        <f>SUMIFS(日別入力!$AP:$AP,日別入力!$E:$E,設定!$C54,日別入力!$D:$D,設定!J$7,日別入力!$B:$B,設定!$B54)</f>
        <v>0</v>
      </c>
      <c r="K54" s="14">
        <f>SUMIFS(日別入力!$AP:$AP,日別入力!$E:$E,設定!$C54,日別入力!$D:$D,設定!K$7,日別入力!$B:$B,設定!$B54)</f>
        <v>0</v>
      </c>
      <c r="L54" s="14">
        <f>SUMIFS(日別入力!$AP:$AP,日別入力!$E:$E,設定!$C54,日別入力!$D:$D,設定!L$7,日別入力!$B:$B,設定!$B54)</f>
        <v>0</v>
      </c>
      <c r="M54" s="14">
        <f>SUMIFS(日別入力!$AP:$AP,日別入力!$E:$E,設定!$C54,日別入力!$D:$D,設定!M$7,日別入力!$B:$B,設定!$B54)</f>
        <v>0</v>
      </c>
      <c r="N54" s="16">
        <f>SUMIFS(日別入力!$AP:$AP,日別入力!$E:$E,設定!$C54,日別入力!$D:$D,設定!N$7,日別入力!$B:$B,設定!$B54)</f>
        <v>0</v>
      </c>
    </row>
    <row r="55" spans="2:14" s="3" customFormat="1" ht="15" customHeight="1" x14ac:dyDescent="0.2">
      <c r="B55" s="76" t="str">
        <f t="shared" si="2"/>
        <v>&lt;=12</v>
      </c>
      <c r="C55" s="25"/>
      <c r="D55" s="7" t="s">
        <v>67</v>
      </c>
      <c r="E55" s="14" t="s">
        <v>67</v>
      </c>
      <c r="F55" s="15" t="s">
        <v>67</v>
      </c>
      <c r="G55" s="16" t="s">
        <v>67</v>
      </c>
      <c r="H55" s="59">
        <f t="shared" si="5"/>
        <v>0</v>
      </c>
      <c r="I55" s="7">
        <f t="shared" si="6"/>
        <v>0</v>
      </c>
      <c r="J55" s="14">
        <f>SUMIFS(日別入力!$AP:$AP,日別入力!$E:$E,設定!$C55,日別入力!$D:$D,設定!J$7,日別入力!$B:$B,設定!$B55)</f>
        <v>0</v>
      </c>
      <c r="K55" s="14">
        <f>SUMIFS(日別入力!$AP:$AP,日別入力!$E:$E,設定!$C55,日別入力!$D:$D,設定!K$7,日別入力!$B:$B,設定!$B55)</f>
        <v>0</v>
      </c>
      <c r="L55" s="14">
        <f>SUMIFS(日別入力!$AP:$AP,日別入力!$E:$E,設定!$C55,日別入力!$D:$D,設定!L$7,日別入力!$B:$B,設定!$B55)</f>
        <v>0</v>
      </c>
      <c r="M55" s="14">
        <f>SUMIFS(日別入力!$AP:$AP,日別入力!$E:$E,設定!$C55,日別入力!$D:$D,設定!M$7,日別入力!$B:$B,設定!$B55)</f>
        <v>0</v>
      </c>
      <c r="N55" s="16">
        <f>SUMIFS(日別入力!$AP:$AP,日別入力!$E:$E,設定!$C55,日別入力!$D:$D,設定!N$7,日別入力!$B:$B,設定!$B55)</f>
        <v>0</v>
      </c>
    </row>
    <row r="56" spans="2:14" s="3" customFormat="1" ht="15" customHeight="1" x14ac:dyDescent="0.2">
      <c r="B56" s="76" t="str">
        <f t="shared" si="2"/>
        <v>&lt;=12</v>
      </c>
      <c r="C56" s="25"/>
      <c r="D56" s="7" t="s">
        <v>67</v>
      </c>
      <c r="E56" s="14" t="s">
        <v>67</v>
      </c>
      <c r="F56" s="15" t="s">
        <v>67</v>
      </c>
      <c r="G56" s="16" t="s">
        <v>67</v>
      </c>
      <c r="H56" s="59">
        <f t="shared" si="5"/>
        <v>0</v>
      </c>
      <c r="I56" s="7">
        <f t="shared" si="6"/>
        <v>0</v>
      </c>
      <c r="J56" s="14">
        <f>SUMIFS(日別入力!$AP:$AP,日別入力!$E:$E,設定!$C56,日別入力!$D:$D,設定!J$7,日別入力!$B:$B,設定!$B56)</f>
        <v>0</v>
      </c>
      <c r="K56" s="14">
        <f>SUMIFS(日別入力!$AP:$AP,日別入力!$E:$E,設定!$C56,日別入力!$D:$D,設定!K$7,日別入力!$B:$B,設定!$B56)</f>
        <v>0</v>
      </c>
      <c r="L56" s="14">
        <f>SUMIFS(日別入力!$AP:$AP,日別入力!$E:$E,設定!$C56,日別入力!$D:$D,設定!L$7,日別入力!$B:$B,設定!$B56)</f>
        <v>0</v>
      </c>
      <c r="M56" s="14">
        <f>SUMIFS(日別入力!$AP:$AP,日別入力!$E:$E,設定!$C56,日別入力!$D:$D,設定!M$7,日別入力!$B:$B,設定!$B56)</f>
        <v>0</v>
      </c>
      <c r="N56" s="16">
        <f>SUMIFS(日別入力!$AP:$AP,日別入力!$E:$E,設定!$C56,日別入力!$D:$D,設定!N$7,日別入力!$B:$B,設定!$B56)</f>
        <v>0</v>
      </c>
    </row>
    <row r="57" spans="2:14" s="3" customFormat="1" ht="15" customHeight="1" x14ac:dyDescent="0.2">
      <c r="B57" s="76" t="str">
        <f t="shared" si="2"/>
        <v>&lt;=12</v>
      </c>
      <c r="C57" s="25"/>
      <c r="D57" s="7" t="s">
        <v>67</v>
      </c>
      <c r="E57" s="14" t="s">
        <v>67</v>
      </c>
      <c r="F57" s="15" t="s">
        <v>67</v>
      </c>
      <c r="G57" s="16" t="s">
        <v>67</v>
      </c>
      <c r="H57" s="59">
        <f t="shared" si="5"/>
        <v>0</v>
      </c>
      <c r="I57" s="7">
        <f t="shared" si="6"/>
        <v>0</v>
      </c>
      <c r="J57" s="14">
        <f>SUMIFS(日別入力!$AP:$AP,日別入力!$E:$E,設定!$C57,日別入力!$D:$D,設定!J$7,日別入力!$B:$B,設定!$B57)</f>
        <v>0</v>
      </c>
      <c r="K57" s="14">
        <f>SUMIFS(日別入力!$AP:$AP,日別入力!$E:$E,設定!$C57,日別入力!$D:$D,設定!K$7,日別入力!$B:$B,設定!$B57)</f>
        <v>0</v>
      </c>
      <c r="L57" s="14">
        <f>SUMIFS(日別入力!$AP:$AP,日別入力!$E:$E,設定!$C57,日別入力!$D:$D,設定!L$7,日別入力!$B:$B,設定!$B57)</f>
        <v>0</v>
      </c>
      <c r="M57" s="14">
        <f>SUMIFS(日別入力!$AP:$AP,日別入力!$E:$E,設定!$C57,日別入力!$D:$D,設定!M$7,日別入力!$B:$B,設定!$B57)</f>
        <v>0</v>
      </c>
      <c r="N57" s="16">
        <f>SUMIFS(日別入力!$AP:$AP,日別入力!$E:$E,設定!$C57,日別入力!$D:$D,設定!N$7,日別入力!$B:$B,設定!$B57)</f>
        <v>0</v>
      </c>
    </row>
    <row r="58" spans="2:14" s="3" customFormat="1" ht="15" customHeight="1" x14ac:dyDescent="0.2">
      <c r="B58" s="76" t="str">
        <f t="shared" si="2"/>
        <v>&lt;=12</v>
      </c>
      <c r="C58" s="25"/>
      <c r="D58" s="7" t="s">
        <v>67</v>
      </c>
      <c r="E58" s="14" t="s">
        <v>67</v>
      </c>
      <c r="F58" s="15" t="s">
        <v>67</v>
      </c>
      <c r="G58" s="16" t="s">
        <v>67</v>
      </c>
      <c r="H58" s="59">
        <f t="shared" si="5"/>
        <v>0</v>
      </c>
      <c r="I58" s="7">
        <f t="shared" si="6"/>
        <v>0</v>
      </c>
      <c r="J58" s="14">
        <f>SUMIFS(日別入力!$AP:$AP,日別入力!$E:$E,設定!$C58,日別入力!$D:$D,設定!J$7,日別入力!$B:$B,設定!$B58)</f>
        <v>0</v>
      </c>
      <c r="K58" s="14">
        <f>SUMIFS(日別入力!$AP:$AP,日別入力!$E:$E,設定!$C58,日別入力!$D:$D,設定!K$7,日別入力!$B:$B,設定!$B58)</f>
        <v>0</v>
      </c>
      <c r="L58" s="14">
        <f>SUMIFS(日別入力!$AP:$AP,日別入力!$E:$E,設定!$C58,日別入力!$D:$D,設定!L$7,日別入力!$B:$B,設定!$B58)</f>
        <v>0</v>
      </c>
      <c r="M58" s="14">
        <f>SUMIFS(日別入力!$AP:$AP,日別入力!$E:$E,設定!$C58,日別入力!$D:$D,設定!M$7,日別入力!$B:$B,設定!$B58)</f>
        <v>0</v>
      </c>
      <c r="N58" s="16">
        <f>SUMIFS(日別入力!$AP:$AP,日別入力!$E:$E,設定!$C58,日別入力!$D:$D,設定!N$7,日別入力!$B:$B,設定!$B58)</f>
        <v>0</v>
      </c>
    </row>
    <row r="59" spans="2:14" s="3" customFormat="1" ht="15" customHeight="1" x14ac:dyDescent="0.2">
      <c r="B59" s="76" t="str">
        <f t="shared" si="2"/>
        <v>&lt;=12</v>
      </c>
      <c r="C59" s="25"/>
      <c r="D59" s="7" t="s">
        <v>67</v>
      </c>
      <c r="E59" s="14" t="s">
        <v>67</v>
      </c>
      <c r="F59" s="15" t="s">
        <v>67</v>
      </c>
      <c r="G59" s="16" t="s">
        <v>67</v>
      </c>
      <c r="H59" s="59">
        <f t="shared" si="5"/>
        <v>0</v>
      </c>
      <c r="I59" s="7">
        <f t="shared" si="6"/>
        <v>0</v>
      </c>
      <c r="J59" s="14">
        <f>SUMIFS(日別入力!$AP:$AP,日別入力!$E:$E,設定!$C59,日別入力!$D:$D,設定!J$7,日別入力!$B:$B,設定!$B59)</f>
        <v>0</v>
      </c>
      <c r="K59" s="14">
        <f>SUMIFS(日別入力!$AP:$AP,日別入力!$E:$E,設定!$C59,日別入力!$D:$D,設定!K$7,日別入力!$B:$B,設定!$B59)</f>
        <v>0</v>
      </c>
      <c r="L59" s="14">
        <f>SUMIFS(日別入力!$AP:$AP,日別入力!$E:$E,設定!$C59,日別入力!$D:$D,設定!L$7,日別入力!$B:$B,設定!$B59)</f>
        <v>0</v>
      </c>
      <c r="M59" s="14">
        <f>SUMIFS(日別入力!$AP:$AP,日別入力!$E:$E,設定!$C59,日別入力!$D:$D,設定!M$7,日別入力!$B:$B,設定!$B59)</f>
        <v>0</v>
      </c>
      <c r="N59" s="16">
        <f>SUMIFS(日別入力!$AP:$AP,日別入力!$E:$E,設定!$C59,日別入力!$D:$D,設定!N$7,日別入力!$B:$B,設定!$B59)</f>
        <v>0</v>
      </c>
    </row>
    <row r="60" spans="2:14" s="3" customFormat="1" ht="15" customHeight="1" x14ac:dyDescent="0.2">
      <c r="B60" s="76" t="str">
        <f t="shared" si="2"/>
        <v>&lt;=12</v>
      </c>
      <c r="C60" s="25"/>
      <c r="D60" s="7" t="s">
        <v>67</v>
      </c>
      <c r="E60" s="14" t="s">
        <v>67</v>
      </c>
      <c r="F60" s="15" t="s">
        <v>67</v>
      </c>
      <c r="G60" s="16" t="s">
        <v>67</v>
      </c>
      <c r="H60" s="59">
        <f t="shared" si="5"/>
        <v>0</v>
      </c>
      <c r="I60" s="7">
        <f t="shared" si="6"/>
        <v>0</v>
      </c>
      <c r="J60" s="14">
        <f>SUMIFS(日別入力!$AP:$AP,日別入力!$E:$E,設定!$C60,日別入力!$D:$D,設定!J$7,日別入力!$B:$B,設定!$B60)</f>
        <v>0</v>
      </c>
      <c r="K60" s="14">
        <f>SUMIFS(日別入力!$AP:$AP,日別入力!$E:$E,設定!$C60,日別入力!$D:$D,設定!K$7,日別入力!$B:$B,設定!$B60)</f>
        <v>0</v>
      </c>
      <c r="L60" s="14">
        <f>SUMIFS(日別入力!$AP:$AP,日別入力!$E:$E,設定!$C60,日別入力!$D:$D,設定!L$7,日別入力!$B:$B,設定!$B60)</f>
        <v>0</v>
      </c>
      <c r="M60" s="14">
        <f>SUMIFS(日別入力!$AP:$AP,日別入力!$E:$E,設定!$C60,日別入力!$D:$D,設定!M$7,日別入力!$B:$B,設定!$B60)</f>
        <v>0</v>
      </c>
      <c r="N60" s="16">
        <f>SUMIFS(日別入力!$AP:$AP,日別入力!$E:$E,設定!$C60,日別入力!$D:$D,設定!N$7,日別入力!$B:$B,設定!$B60)</f>
        <v>0</v>
      </c>
    </row>
    <row r="61" spans="2:14" s="3" customFormat="1" ht="15" customHeight="1" x14ac:dyDescent="0.2">
      <c r="B61" s="76" t="str">
        <f t="shared" si="2"/>
        <v>&lt;=12</v>
      </c>
      <c r="C61" s="25"/>
      <c r="D61" s="7" t="s">
        <v>67</v>
      </c>
      <c r="E61" s="14" t="s">
        <v>67</v>
      </c>
      <c r="F61" s="15" t="s">
        <v>67</v>
      </c>
      <c r="G61" s="16" t="s">
        <v>67</v>
      </c>
      <c r="H61" s="59">
        <f t="shared" si="5"/>
        <v>0</v>
      </c>
      <c r="I61" s="7">
        <f t="shared" si="6"/>
        <v>0</v>
      </c>
      <c r="J61" s="14">
        <f>SUMIFS(日別入力!$AP:$AP,日別入力!$E:$E,設定!$C61,日別入力!$D:$D,設定!J$7,日別入力!$B:$B,設定!$B61)</f>
        <v>0</v>
      </c>
      <c r="K61" s="14">
        <f>SUMIFS(日別入力!$AP:$AP,日別入力!$E:$E,設定!$C61,日別入力!$D:$D,設定!K$7,日別入力!$B:$B,設定!$B61)</f>
        <v>0</v>
      </c>
      <c r="L61" s="14">
        <f>SUMIFS(日別入力!$AP:$AP,日別入力!$E:$E,設定!$C61,日別入力!$D:$D,設定!L$7,日別入力!$B:$B,設定!$B61)</f>
        <v>0</v>
      </c>
      <c r="M61" s="14">
        <f>SUMIFS(日別入力!$AP:$AP,日別入力!$E:$E,設定!$C61,日別入力!$D:$D,設定!M$7,日別入力!$B:$B,設定!$B61)</f>
        <v>0</v>
      </c>
      <c r="N61" s="16">
        <f>SUMIFS(日別入力!$AP:$AP,日別入力!$E:$E,設定!$C61,日別入力!$D:$D,設定!N$7,日別入力!$B:$B,設定!$B61)</f>
        <v>0</v>
      </c>
    </row>
    <row r="62" spans="2:14" s="3" customFormat="1" ht="15" customHeight="1" x14ac:dyDescent="0.2">
      <c r="B62" s="76" t="str">
        <f t="shared" si="2"/>
        <v>&lt;=12</v>
      </c>
      <c r="C62" s="25"/>
      <c r="D62" s="7" t="s">
        <v>67</v>
      </c>
      <c r="E62" s="14" t="s">
        <v>67</v>
      </c>
      <c r="F62" s="15" t="s">
        <v>67</v>
      </c>
      <c r="G62" s="16" t="s">
        <v>67</v>
      </c>
      <c r="H62" s="59">
        <f t="shared" si="5"/>
        <v>0</v>
      </c>
      <c r="I62" s="7">
        <f t="shared" si="6"/>
        <v>0</v>
      </c>
      <c r="J62" s="14">
        <f>SUMIFS(日別入力!$AP:$AP,日別入力!$E:$E,設定!$C62,日別入力!$D:$D,設定!J$7,日別入力!$B:$B,設定!$B62)</f>
        <v>0</v>
      </c>
      <c r="K62" s="14">
        <f>SUMIFS(日別入力!$AP:$AP,日別入力!$E:$E,設定!$C62,日別入力!$D:$D,設定!K$7,日別入力!$B:$B,設定!$B62)</f>
        <v>0</v>
      </c>
      <c r="L62" s="14">
        <f>SUMIFS(日別入力!$AP:$AP,日別入力!$E:$E,設定!$C62,日別入力!$D:$D,設定!L$7,日別入力!$B:$B,設定!$B62)</f>
        <v>0</v>
      </c>
      <c r="M62" s="14">
        <f>SUMIFS(日別入力!$AP:$AP,日別入力!$E:$E,設定!$C62,日別入力!$D:$D,設定!M$7,日別入力!$B:$B,設定!$B62)</f>
        <v>0</v>
      </c>
      <c r="N62" s="16">
        <f>SUMIFS(日別入力!$AP:$AP,日別入力!$E:$E,設定!$C62,日別入力!$D:$D,設定!N$7,日別入力!$B:$B,設定!$B62)</f>
        <v>0</v>
      </c>
    </row>
    <row r="63" spans="2:14" s="3" customFormat="1" ht="15" customHeight="1" x14ac:dyDescent="0.2">
      <c r="B63" s="76" t="str">
        <f t="shared" si="2"/>
        <v>&lt;=12</v>
      </c>
      <c r="C63" s="25"/>
      <c r="D63" s="7" t="s">
        <v>67</v>
      </c>
      <c r="E63" s="14" t="s">
        <v>67</v>
      </c>
      <c r="F63" s="15" t="s">
        <v>67</v>
      </c>
      <c r="G63" s="16" t="s">
        <v>67</v>
      </c>
      <c r="H63" s="59">
        <f t="shared" si="5"/>
        <v>0</v>
      </c>
      <c r="I63" s="7">
        <f t="shared" si="6"/>
        <v>0</v>
      </c>
      <c r="J63" s="14">
        <f>SUMIFS(日別入力!$AP:$AP,日別入力!$E:$E,設定!$C63,日別入力!$D:$D,設定!J$7,日別入力!$B:$B,設定!$B63)</f>
        <v>0</v>
      </c>
      <c r="K63" s="14">
        <f>SUMIFS(日別入力!$AP:$AP,日別入力!$E:$E,設定!$C63,日別入力!$D:$D,設定!K$7,日別入力!$B:$B,設定!$B63)</f>
        <v>0</v>
      </c>
      <c r="L63" s="14">
        <f>SUMIFS(日別入力!$AP:$AP,日別入力!$E:$E,設定!$C63,日別入力!$D:$D,設定!L$7,日別入力!$B:$B,設定!$B63)</f>
        <v>0</v>
      </c>
      <c r="M63" s="14">
        <f>SUMIFS(日別入力!$AP:$AP,日別入力!$E:$E,設定!$C63,日別入力!$D:$D,設定!M$7,日別入力!$B:$B,設定!$B63)</f>
        <v>0</v>
      </c>
      <c r="N63" s="16">
        <f>SUMIFS(日別入力!$AP:$AP,日別入力!$E:$E,設定!$C63,日別入力!$D:$D,設定!N$7,日別入力!$B:$B,設定!$B63)</f>
        <v>0</v>
      </c>
    </row>
    <row r="64" spans="2:14" s="3" customFormat="1" ht="15" customHeight="1" x14ac:dyDescent="0.2">
      <c r="B64" s="76" t="str">
        <f t="shared" si="2"/>
        <v>&lt;=12</v>
      </c>
      <c r="C64" s="25"/>
      <c r="D64" s="7" t="s">
        <v>67</v>
      </c>
      <c r="E64" s="14" t="s">
        <v>67</v>
      </c>
      <c r="F64" s="15" t="s">
        <v>67</v>
      </c>
      <c r="G64" s="16" t="s">
        <v>67</v>
      </c>
      <c r="H64" s="59">
        <f t="shared" si="5"/>
        <v>0</v>
      </c>
      <c r="I64" s="7">
        <f t="shared" si="6"/>
        <v>0</v>
      </c>
      <c r="J64" s="14">
        <f>SUMIFS(日別入力!$AP:$AP,日別入力!$E:$E,設定!$C64,日別入力!$D:$D,設定!J$7,日別入力!$B:$B,設定!$B64)</f>
        <v>0</v>
      </c>
      <c r="K64" s="14">
        <f>SUMIFS(日別入力!$AP:$AP,日別入力!$E:$E,設定!$C64,日別入力!$D:$D,設定!K$7,日別入力!$B:$B,設定!$B64)</f>
        <v>0</v>
      </c>
      <c r="L64" s="14">
        <f>SUMIFS(日別入力!$AP:$AP,日別入力!$E:$E,設定!$C64,日別入力!$D:$D,設定!L$7,日別入力!$B:$B,設定!$B64)</f>
        <v>0</v>
      </c>
      <c r="M64" s="14">
        <f>SUMIFS(日別入力!$AP:$AP,日別入力!$E:$E,設定!$C64,日別入力!$D:$D,設定!M$7,日別入力!$B:$B,設定!$B64)</f>
        <v>0</v>
      </c>
      <c r="N64" s="16">
        <f>SUMIFS(日別入力!$AP:$AP,日別入力!$E:$E,設定!$C64,日別入力!$D:$D,設定!N$7,日別入力!$B:$B,設定!$B64)</f>
        <v>0</v>
      </c>
    </row>
    <row r="65" spans="2:14" s="3" customFormat="1" ht="15" customHeight="1" x14ac:dyDescent="0.2">
      <c r="B65" s="76" t="str">
        <f t="shared" si="2"/>
        <v>&lt;=12</v>
      </c>
      <c r="C65" s="25"/>
      <c r="D65" s="7" t="s">
        <v>67</v>
      </c>
      <c r="E65" s="14" t="s">
        <v>67</v>
      </c>
      <c r="F65" s="15" t="s">
        <v>67</v>
      </c>
      <c r="G65" s="16" t="s">
        <v>67</v>
      </c>
      <c r="H65" s="59">
        <f t="shared" si="5"/>
        <v>0</v>
      </c>
      <c r="I65" s="7">
        <f t="shared" si="6"/>
        <v>0</v>
      </c>
      <c r="J65" s="14">
        <f>SUMIFS(日別入力!$AP:$AP,日別入力!$E:$E,設定!$C65,日別入力!$D:$D,設定!J$7,日別入力!$B:$B,設定!$B65)</f>
        <v>0</v>
      </c>
      <c r="K65" s="14">
        <f>SUMIFS(日別入力!$AP:$AP,日別入力!$E:$E,設定!$C65,日別入力!$D:$D,設定!K$7,日別入力!$B:$B,設定!$B65)</f>
        <v>0</v>
      </c>
      <c r="L65" s="14">
        <f>SUMIFS(日別入力!$AP:$AP,日別入力!$E:$E,設定!$C65,日別入力!$D:$D,設定!L$7,日別入力!$B:$B,設定!$B65)</f>
        <v>0</v>
      </c>
      <c r="M65" s="14">
        <f>SUMIFS(日別入力!$AP:$AP,日別入力!$E:$E,設定!$C65,日別入力!$D:$D,設定!M$7,日別入力!$B:$B,設定!$B65)</f>
        <v>0</v>
      </c>
      <c r="N65" s="16">
        <f>SUMIFS(日別入力!$AP:$AP,日別入力!$E:$E,設定!$C65,日別入力!$D:$D,設定!N$7,日別入力!$B:$B,設定!$B65)</f>
        <v>0</v>
      </c>
    </row>
    <row r="66" spans="2:14" s="3" customFormat="1" ht="15" customHeight="1" x14ac:dyDescent="0.2">
      <c r="B66" s="76" t="str">
        <f t="shared" si="2"/>
        <v>&lt;=12</v>
      </c>
      <c r="C66" s="25"/>
      <c r="D66" s="7" t="s">
        <v>67</v>
      </c>
      <c r="E66" s="14" t="s">
        <v>67</v>
      </c>
      <c r="F66" s="15" t="s">
        <v>67</v>
      </c>
      <c r="G66" s="16" t="s">
        <v>67</v>
      </c>
      <c r="H66" s="59">
        <f t="shared" si="5"/>
        <v>0</v>
      </c>
      <c r="I66" s="7">
        <f t="shared" si="6"/>
        <v>0</v>
      </c>
      <c r="J66" s="14">
        <f>SUMIFS(日別入力!$AP:$AP,日別入力!$E:$E,設定!$C66,日別入力!$D:$D,設定!J$7,日別入力!$B:$B,設定!$B66)</f>
        <v>0</v>
      </c>
      <c r="K66" s="14">
        <f>SUMIFS(日別入力!$AP:$AP,日別入力!$E:$E,設定!$C66,日別入力!$D:$D,設定!K$7,日別入力!$B:$B,設定!$B66)</f>
        <v>0</v>
      </c>
      <c r="L66" s="14">
        <f>SUMIFS(日別入力!$AP:$AP,日別入力!$E:$E,設定!$C66,日別入力!$D:$D,設定!L$7,日別入力!$B:$B,設定!$B66)</f>
        <v>0</v>
      </c>
      <c r="M66" s="14">
        <f>SUMIFS(日別入力!$AP:$AP,日別入力!$E:$E,設定!$C66,日別入力!$D:$D,設定!M$7,日別入力!$B:$B,設定!$B66)</f>
        <v>0</v>
      </c>
      <c r="N66" s="16">
        <f>SUMIFS(日別入力!$AP:$AP,日別入力!$E:$E,設定!$C66,日別入力!$D:$D,設定!N$7,日別入力!$B:$B,設定!$B66)</f>
        <v>0</v>
      </c>
    </row>
    <row r="67" spans="2:14" s="3" customFormat="1" ht="15" customHeight="1" x14ac:dyDescent="0.2">
      <c r="B67" s="76" t="str">
        <f t="shared" si="2"/>
        <v>&lt;=12</v>
      </c>
      <c r="C67" s="25"/>
      <c r="D67" s="7" t="s">
        <v>67</v>
      </c>
      <c r="E67" s="14" t="s">
        <v>67</v>
      </c>
      <c r="F67" s="15" t="s">
        <v>67</v>
      </c>
      <c r="G67" s="16" t="s">
        <v>67</v>
      </c>
      <c r="H67" s="59">
        <f t="shared" si="5"/>
        <v>0</v>
      </c>
      <c r="I67" s="7">
        <f t="shared" si="6"/>
        <v>0</v>
      </c>
      <c r="J67" s="14">
        <f>SUMIFS(日別入力!$AP:$AP,日別入力!$E:$E,設定!$C67,日別入力!$D:$D,設定!J$7,日別入力!$B:$B,設定!$B67)</f>
        <v>0</v>
      </c>
      <c r="K67" s="14">
        <f>SUMIFS(日別入力!$AP:$AP,日別入力!$E:$E,設定!$C67,日別入力!$D:$D,設定!K$7,日別入力!$B:$B,設定!$B67)</f>
        <v>0</v>
      </c>
      <c r="L67" s="14">
        <f>SUMIFS(日別入力!$AP:$AP,日別入力!$E:$E,設定!$C67,日別入力!$D:$D,設定!L$7,日別入力!$B:$B,設定!$B67)</f>
        <v>0</v>
      </c>
      <c r="M67" s="14">
        <f>SUMIFS(日別入力!$AP:$AP,日別入力!$E:$E,設定!$C67,日別入力!$D:$D,設定!M$7,日別入力!$B:$B,設定!$B67)</f>
        <v>0</v>
      </c>
      <c r="N67" s="16">
        <f>SUMIFS(日別入力!$AP:$AP,日別入力!$E:$E,設定!$C67,日別入力!$D:$D,設定!N$7,日別入力!$B:$B,設定!$B67)</f>
        <v>0</v>
      </c>
    </row>
    <row r="68" spans="2:14" s="3" customFormat="1" ht="15" customHeight="1" x14ac:dyDescent="0.2">
      <c r="B68" s="76" t="str">
        <f t="shared" si="2"/>
        <v>&lt;=12</v>
      </c>
      <c r="C68" s="25"/>
      <c r="D68" s="7" t="s">
        <v>67</v>
      </c>
      <c r="E68" s="14" t="s">
        <v>67</v>
      </c>
      <c r="F68" s="15" t="s">
        <v>67</v>
      </c>
      <c r="G68" s="16" t="s">
        <v>67</v>
      </c>
      <c r="H68" s="59">
        <f t="shared" si="5"/>
        <v>0</v>
      </c>
      <c r="I68" s="7">
        <f t="shared" si="6"/>
        <v>0</v>
      </c>
      <c r="J68" s="14">
        <f>SUMIFS(日別入力!$AP:$AP,日別入力!$E:$E,設定!$C68,日別入力!$D:$D,設定!J$7,日別入力!$B:$B,設定!$B68)</f>
        <v>0</v>
      </c>
      <c r="K68" s="14">
        <f>SUMIFS(日別入力!$AP:$AP,日別入力!$E:$E,設定!$C68,日別入力!$D:$D,設定!K$7,日別入力!$B:$B,設定!$B68)</f>
        <v>0</v>
      </c>
      <c r="L68" s="14">
        <f>SUMIFS(日別入力!$AP:$AP,日別入力!$E:$E,設定!$C68,日別入力!$D:$D,設定!L$7,日別入力!$B:$B,設定!$B68)</f>
        <v>0</v>
      </c>
      <c r="M68" s="14">
        <f>SUMIFS(日別入力!$AP:$AP,日別入力!$E:$E,設定!$C68,日別入力!$D:$D,設定!M$7,日別入力!$B:$B,設定!$B68)</f>
        <v>0</v>
      </c>
      <c r="N68" s="16">
        <f>SUMIFS(日別入力!$AP:$AP,日別入力!$E:$E,設定!$C68,日別入力!$D:$D,設定!N$7,日別入力!$B:$B,設定!$B68)</f>
        <v>0</v>
      </c>
    </row>
    <row r="69" spans="2:14" s="3" customFormat="1" ht="15" customHeight="1" x14ac:dyDescent="0.2">
      <c r="B69" s="76" t="str">
        <f t="shared" si="2"/>
        <v>&lt;=12</v>
      </c>
      <c r="C69" s="25"/>
      <c r="D69" s="7" t="s">
        <v>67</v>
      </c>
      <c r="E69" s="14" t="s">
        <v>67</v>
      </c>
      <c r="F69" s="15" t="s">
        <v>67</v>
      </c>
      <c r="G69" s="16" t="s">
        <v>67</v>
      </c>
      <c r="H69" s="59">
        <f t="shared" si="5"/>
        <v>0</v>
      </c>
      <c r="I69" s="7">
        <f t="shared" si="6"/>
        <v>0</v>
      </c>
      <c r="J69" s="14">
        <f>SUMIFS(日別入力!$AP:$AP,日別入力!$E:$E,設定!$C69,日別入力!$D:$D,設定!J$7,日別入力!$B:$B,設定!$B69)</f>
        <v>0</v>
      </c>
      <c r="K69" s="14">
        <f>SUMIFS(日別入力!$AP:$AP,日別入力!$E:$E,設定!$C69,日別入力!$D:$D,設定!K$7,日別入力!$B:$B,設定!$B69)</f>
        <v>0</v>
      </c>
      <c r="L69" s="14">
        <f>SUMIFS(日別入力!$AP:$AP,日別入力!$E:$E,設定!$C69,日別入力!$D:$D,設定!L$7,日別入力!$B:$B,設定!$B69)</f>
        <v>0</v>
      </c>
      <c r="M69" s="14">
        <f>SUMIFS(日別入力!$AP:$AP,日別入力!$E:$E,設定!$C69,日別入力!$D:$D,設定!M$7,日別入力!$B:$B,設定!$B69)</f>
        <v>0</v>
      </c>
      <c r="N69" s="16">
        <f>SUMIFS(日別入力!$AP:$AP,日別入力!$E:$E,設定!$C69,日別入力!$D:$D,設定!N$7,日別入力!$B:$B,設定!$B69)</f>
        <v>0</v>
      </c>
    </row>
    <row r="70" spans="2:14" s="3" customFormat="1" ht="15" customHeight="1" x14ac:dyDescent="0.2">
      <c r="B70" s="76" t="str">
        <f t="shared" si="2"/>
        <v>&lt;=12</v>
      </c>
      <c r="C70" s="25"/>
      <c r="D70" s="7" t="s">
        <v>67</v>
      </c>
      <c r="E70" s="14" t="s">
        <v>67</v>
      </c>
      <c r="F70" s="15" t="s">
        <v>67</v>
      </c>
      <c r="G70" s="16" t="s">
        <v>67</v>
      </c>
      <c r="H70" s="59">
        <f t="shared" si="5"/>
        <v>0</v>
      </c>
      <c r="I70" s="7">
        <f t="shared" si="6"/>
        <v>0</v>
      </c>
      <c r="J70" s="14">
        <f>SUMIFS(日別入力!$AP:$AP,日別入力!$E:$E,設定!$C70,日別入力!$D:$D,設定!J$7,日別入力!$B:$B,設定!$B70)</f>
        <v>0</v>
      </c>
      <c r="K70" s="14">
        <f>SUMIFS(日別入力!$AP:$AP,日別入力!$E:$E,設定!$C70,日別入力!$D:$D,設定!K$7,日別入力!$B:$B,設定!$B70)</f>
        <v>0</v>
      </c>
      <c r="L70" s="14">
        <f>SUMIFS(日別入力!$AP:$AP,日別入力!$E:$E,設定!$C70,日別入力!$D:$D,設定!L$7,日別入力!$B:$B,設定!$B70)</f>
        <v>0</v>
      </c>
      <c r="M70" s="14">
        <f>SUMIFS(日別入力!$AP:$AP,日別入力!$E:$E,設定!$C70,日別入力!$D:$D,設定!M$7,日別入力!$B:$B,設定!$B70)</f>
        <v>0</v>
      </c>
      <c r="N70" s="16">
        <f>SUMIFS(日別入力!$AP:$AP,日別入力!$E:$E,設定!$C70,日別入力!$D:$D,設定!N$7,日別入力!$B:$B,設定!$B70)</f>
        <v>0</v>
      </c>
    </row>
    <row r="71" spans="2:14" s="3" customFormat="1" ht="15" customHeight="1" x14ac:dyDescent="0.2">
      <c r="B71" s="76" t="str">
        <f t="shared" si="2"/>
        <v>&lt;=12</v>
      </c>
      <c r="C71" s="25"/>
      <c r="D71" s="7" t="s">
        <v>67</v>
      </c>
      <c r="E71" s="14" t="s">
        <v>67</v>
      </c>
      <c r="F71" s="15" t="s">
        <v>67</v>
      </c>
      <c r="G71" s="16" t="s">
        <v>67</v>
      </c>
      <c r="H71" s="59">
        <f t="shared" si="5"/>
        <v>0</v>
      </c>
      <c r="I71" s="7">
        <f t="shared" si="6"/>
        <v>0</v>
      </c>
      <c r="J71" s="14">
        <f>SUMIFS(日別入力!$AP:$AP,日別入力!$E:$E,設定!$C71,日別入力!$D:$D,設定!J$7,日別入力!$B:$B,設定!$B71)</f>
        <v>0</v>
      </c>
      <c r="K71" s="14">
        <f>SUMIFS(日別入力!$AP:$AP,日別入力!$E:$E,設定!$C71,日別入力!$D:$D,設定!K$7,日別入力!$B:$B,設定!$B71)</f>
        <v>0</v>
      </c>
      <c r="L71" s="14">
        <f>SUMIFS(日別入力!$AP:$AP,日別入力!$E:$E,設定!$C71,日別入力!$D:$D,設定!L$7,日別入力!$B:$B,設定!$B71)</f>
        <v>0</v>
      </c>
      <c r="M71" s="14">
        <f>SUMIFS(日別入力!$AP:$AP,日別入力!$E:$E,設定!$C71,日別入力!$D:$D,設定!M$7,日別入力!$B:$B,設定!$B71)</f>
        <v>0</v>
      </c>
      <c r="N71" s="16">
        <f>SUMIFS(日別入力!$AP:$AP,日別入力!$E:$E,設定!$C71,日別入力!$D:$D,設定!N$7,日別入力!$B:$B,設定!$B71)</f>
        <v>0</v>
      </c>
    </row>
    <row r="72" spans="2:14" s="3" customFormat="1" ht="15" customHeight="1" x14ac:dyDescent="0.2">
      <c r="B72" s="76" t="str">
        <f t="shared" si="2"/>
        <v>&lt;=12</v>
      </c>
      <c r="C72" s="25"/>
      <c r="D72" s="7" t="s">
        <v>67</v>
      </c>
      <c r="E72" s="14" t="s">
        <v>67</v>
      </c>
      <c r="F72" s="15" t="s">
        <v>67</v>
      </c>
      <c r="G72" s="16" t="s">
        <v>67</v>
      </c>
      <c r="H72" s="59">
        <f t="shared" si="5"/>
        <v>0</v>
      </c>
      <c r="I72" s="7">
        <f t="shared" si="6"/>
        <v>0</v>
      </c>
      <c r="J72" s="14">
        <f>SUMIFS(日別入力!$AP:$AP,日別入力!$E:$E,設定!$C72,日別入力!$D:$D,設定!J$7,日別入力!$B:$B,設定!$B72)</f>
        <v>0</v>
      </c>
      <c r="K72" s="14">
        <f>SUMIFS(日別入力!$AP:$AP,日別入力!$E:$E,設定!$C72,日別入力!$D:$D,設定!K$7,日別入力!$B:$B,設定!$B72)</f>
        <v>0</v>
      </c>
      <c r="L72" s="14">
        <f>SUMIFS(日別入力!$AP:$AP,日別入力!$E:$E,設定!$C72,日別入力!$D:$D,設定!L$7,日別入力!$B:$B,設定!$B72)</f>
        <v>0</v>
      </c>
      <c r="M72" s="14">
        <f>SUMIFS(日別入力!$AP:$AP,日別入力!$E:$E,設定!$C72,日別入力!$D:$D,設定!M$7,日別入力!$B:$B,設定!$B72)</f>
        <v>0</v>
      </c>
      <c r="N72" s="16">
        <f>SUMIFS(日別入力!$AP:$AP,日別入力!$E:$E,設定!$C72,日別入力!$D:$D,設定!N$7,日別入力!$B:$B,設定!$B72)</f>
        <v>0</v>
      </c>
    </row>
    <row r="73" spans="2:14" s="3" customFormat="1" ht="15" customHeight="1" x14ac:dyDescent="0.2">
      <c r="B73" s="76" t="str">
        <f t="shared" si="2"/>
        <v>&lt;=12</v>
      </c>
      <c r="C73" s="25"/>
      <c r="D73" s="7" t="s">
        <v>67</v>
      </c>
      <c r="E73" s="14" t="s">
        <v>67</v>
      </c>
      <c r="F73" s="15" t="s">
        <v>67</v>
      </c>
      <c r="G73" s="16" t="s">
        <v>67</v>
      </c>
      <c r="H73" s="59">
        <f t="shared" si="5"/>
        <v>0</v>
      </c>
      <c r="I73" s="7">
        <f t="shared" si="6"/>
        <v>0</v>
      </c>
      <c r="J73" s="14">
        <f>SUMIFS(日別入力!$AP:$AP,日別入力!$E:$E,設定!$C73,日別入力!$D:$D,設定!J$7,日別入力!$B:$B,設定!$B73)</f>
        <v>0</v>
      </c>
      <c r="K73" s="14">
        <f>SUMIFS(日別入力!$AP:$AP,日別入力!$E:$E,設定!$C73,日別入力!$D:$D,設定!K$7,日別入力!$B:$B,設定!$B73)</f>
        <v>0</v>
      </c>
      <c r="L73" s="14">
        <f>SUMIFS(日別入力!$AP:$AP,日別入力!$E:$E,設定!$C73,日別入力!$D:$D,設定!L$7,日別入力!$B:$B,設定!$B73)</f>
        <v>0</v>
      </c>
      <c r="M73" s="14">
        <f>SUMIFS(日別入力!$AP:$AP,日別入力!$E:$E,設定!$C73,日別入力!$D:$D,設定!M$7,日別入力!$B:$B,設定!$B73)</f>
        <v>0</v>
      </c>
      <c r="N73" s="16">
        <f>SUMIFS(日別入力!$AP:$AP,日別入力!$E:$E,設定!$C73,日別入力!$D:$D,設定!N$7,日別入力!$B:$B,設定!$B73)</f>
        <v>0</v>
      </c>
    </row>
    <row r="74" spans="2:14" s="3" customFormat="1" ht="15" customHeight="1" x14ac:dyDescent="0.2">
      <c r="B74" s="76" t="str">
        <f t="shared" si="2"/>
        <v>&lt;=12</v>
      </c>
      <c r="C74" s="25"/>
      <c r="D74" s="7" t="s">
        <v>67</v>
      </c>
      <c r="E74" s="14" t="s">
        <v>67</v>
      </c>
      <c r="F74" s="15" t="s">
        <v>67</v>
      </c>
      <c r="G74" s="16" t="s">
        <v>67</v>
      </c>
      <c r="H74" s="59">
        <f t="shared" si="5"/>
        <v>0</v>
      </c>
      <c r="I74" s="7">
        <f t="shared" si="6"/>
        <v>0</v>
      </c>
      <c r="J74" s="14">
        <f>SUMIFS(日別入力!$AP:$AP,日別入力!$E:$E,設定!$C74,日別入力!$D:$D,設定!J$7,日別入力!$B:$B,設定!$B74)</f>
        <v>0</v>
      </c>
      <c r="K74" s="14">
        <f>SUMIFS(日別入力!$AP:$AP,日別入力!$E:$E,設定!$C74,日別入力!$D:$D,設定!K$7,日別入力!$B:$B,設定!$B74)</f>
        <v>0</v>
      </c>
      <c r="L74" s="14">
        <f>SUMIFS(日別入力!$AP:$AP,日別入力!$E:$E,設定!$C74,日別入力!$D:$D,設定!L$7,日別入力!$B:$B,設定!$B74)</f>
        <v>0</v>
      </c>
      <c r="M74" s="14">
        <f>SUMIFS(日別入力!$AP:$AP,日別入力!$E:$E,設定!$C74,日別入力!$D:$D,設定!M$7,日別入力!$B:$B,設定!$B74)</f>
        <v>0</v>
      </c>
      <c r="N74" s="16">
        <f>SUMIFS(日別入力!$AP:$AP,日別入力!$E:$E,設定!$C74,日別入力!$D:$D,設定!N$7,日別入力!$B:$B,設定!$B74)</f>
        <v>0</v>
      </c>
    </row>
    <row r="75" spans="2:14" s="3" customFormat="1" ht="15" customHeight="1" x14ac:dyDescent="0.2">
      <c r="B75" s="76" t="str">
        <f t="shared" ref="B75:B108" si="7">B$9</f>
        <v>&lt;=12</v>
      </c>
      <c r="C75" s="25"/>
      <c r="D75" s="7" t="s">
        <v>67</v>
      </c>
      <c r="E75" s="14" t="s">
        <v>67</v>
      </c>
      <c r="F75" s="15" t="s">
        <v>67</v>
      </c>
      <c r="G75" s="16" t="s">
        <v>67</v>
      </c>
      <c r="H75" s="59">
        <f t="shared" si="5"/>
        <v>0</v>
      </c>
      <c r="I75" s="7">
        <f t="shared" si="6"/>
        <v>0</v>
      </c>
      <c r="J75" s="14">
        <f>SUMIFS(日別入力!$AP:$AP,日別入力!$E:$E,設定!$C75,日別入力!$D:$D,設定!J$7,日別入力!$B:$B,設定!$B75)</f>
        <v>0</v>
      </c>
      <c r="K75" s="14">
        <f>SUMIFS(日別入力!$AP:$AP,日別入力!$E:$E,設定!$C75,日別入力!$D:$D,設定!K$7,日別入力!$B:$B,設定!$B75)</f>
        <v>0</v>
      </c>
      <c r="L75" s="14">
        <f>SUMIFS(日別入力!$AP:$AP,日別入力!$E:$E,設定!$C75,日別入力!$D:$D,設定!L$7,日別入力!$B:$B,設定!$B75)</f>
        <v>0</v>
      </c>
      <c r="M75" s="14">
        <f>SUMIFS(日別入力!$AP:$AP,日別入力!$E:$E,設定!$C75,日別入力!$D:$D,設定!M$7,日別入力!$B:$B,設定!$B75)</f>
        <v>0</v>
      </c>
      <c r="N75" s="16">
        <f>SUMIFS(日別入力!$AP:$AP,日別入力!$E:$E,設定!$C75,日別入力!$D:$D,設定!N$7,日別入力!$B:$B,設定!$B75)</f>
        <v>0</v>
      </c>
    </row>
    <row r="76" spans="2:14" s="3" customFormat="1" ht="15" customHeight="1" x14ac:dyDescent="0.2">
      <c r="B76" s="76" t="str">
        <f t="shared" si="7"/>
        <v>&lt;=12</v>
      </c>
      <c r="C76" s="25"/>
      <c r="D76" s="7" t="s">
        <v>67</v>
      </c>
      <c r="E76" s="14" t="s">
        <v>67</v>
      </c>
      <c r="F76" s="15" t="s">
        <v>67</v>
      </c>
      <c r="G76" s="16" t="s">
        <v>67</v>
      </c>
      <c r="H76" s="59">
        <f t="shared" si="5"/>
        <v>0</v>
      </c>
      <c r="I76" s="7">
        <f t="shared" si="6"/>
        <v>0</v>
      </c>
      <c r="J76" s="14">
        <f>SUMIFS(日別入力!$AP:$AP,日別入力!$E:$E,設定!$C76,日別入力!$D:$D,設定!J$7,日別入力!$B:$B,設定!$B76)</f>
        <v>0</v>
      </c>
      <c r="K76" s="14">
        <f>SUMIFS(日別入力!$AP:$AP,日別入力!$E:$E,設定!$C76,日別入力!$D:$D,設定!K$7,日別入力!$B:$B,設定!$B76)</f>
        <v>0</v>
      </c>
      <c r="L76" s="14">
        <f>SUMIFS(日別入力!$AP:$AP,日別入力!$E:$E,設定!$C76,日別入力!$D:$D,設定!L$7,日別入力!$B:$B,設定!$B76)</f>
        <v>0</v>
      </c>
      <c r="M76" s="14">
        <f>SUMIFS(日別入力!$AP:$AP,日別入力!$E:$E,設定!$C76,日別入力!$D:$D,設定!M$7,日別入力!$B:$B,設定!$B76)</f>
        <v>0</v>
      </c>
      <c r="N76" s="16">
        <f>SUMIFS(日別入力!$AP:$AP,日別入力!$E:$E,設定!$C76,日別入力!$D:$D,設定!N$7,日別入力!$B:$B,設定!$B76)</f>
        <v>0</v>
      </c>
    </row>
    <row r="77" spans="2:14" s="3" customFormat="1" ht="15" customHeight="1" x14ac:dyDescent="0.2">
      <c r="B77" s="76" t="str">
        <f t="shared" si="7"/>
        <v>&lt;=12</v>
      </c>
      <c r="C77" s="25"/>
      <c r="D77" s="7" t="s">
        <v>67</v>
      </c>
      <c r="E77" s="14" t="s">
        <v>67</v>
      </c>
      <c r="F77" s="15" t="s">
        <v>67</v>
      </c>
      <c r="G77" s="16" t="s">
        <v>67</v>
      </c>
      <c r="H77" s="59">
        <f t="shared" si="5"/>
        <v>0</v>
      </c>
      <c r="I77" s="7">
        <f t="shared" si="6"/>
        <v>0</v>
      </c>
      <c r="J77" s="14">
        <f>SUMIFS(日別入力!$AP:$AP,日別入力!$E:$E,設定!$C77,日別入力!$D:$D,設定!J$7,日別入力!$B:$B,設定!$B77)</f>
        <v>0</v>
      </c>
      <c r="K77" s="14">
        <f>SUMIFS(日別入力!$AP:$AP,日別入力!$E:$E,設定!$C77,日別入力!$D:$D,設定!K$7,日別入力!$B:$B,設定!$B77)</f>
        <v>0</v>
      </c>
      <c r="L77" s="14">
        <f>SUMIFS(日別入力!$AP:$AP,日別入力!$E:$E,設定!$C77,日別入力!$D:$D,設定!L$7,日別入力!$B:$B,設定!$B77)</f>
        <v>0</v>
      </c>
      <c r="M77" s="14">
        <f>SUMIFS(日別入力!$AP:$AP,日別入力!$E:$E,設定!$C77,日別入力!$D:$D,設定!M$7,日別入力!$B:$B,設定!$B77)</f>
        <v>0</v>
      </c>
      <c r="N77" s="16">
        <f>SUMIFS(日別入力!$AP:$AP,日別入力!$E:$E,設定!$C77,日別入力!$D:$D,設定!N$7,日別入力!$B:$B,設定!$B77)</f>
        <v>0</v>
      </c>
    </row>
    <row r="78" spans="2:14" s="3" customFormat="1" ht="15" customHeight="1" x14ac:dyDescent="0.2">
      <c r="B78" s="76" t="str">
        <f t="shared" si="7"/>
        <v>&lt;=12</v>
      </c>
      <c r="C78" s="25"/>
      <c r="D78" s="7" t="s">
        <v>67</v>
      </c>
      <c r="E78" s="14" t="s">
        <v>67</v>
      </c>
      <c r="F78" s="15" t="s">
        <v>67</v>
      </c>
      <c r="G78" s="16" t="s">
        <v>67</v>
      </c>
      <c r="H78" s="59">
        <f t="shared" si="5"/>
        <v>0</v>
      </c>
      <c r="I78" s="7">
        <f t="shared" si="6"/>
        <v>0</v>
      </c>
      <c r="J78" s="14">
        <f>SUMIFS(日別入力!$AP:$AP,日別入力!$E:$E,設定!$C78,日別入力!$D:$D,設定!J$7,日別入力!$B:$B,設定!$B78)</f>
        <v>0</v>
      </c>
      <c r="K78" s="14">
        <f>SUMIFS(日別入力!$AP:$AP,日別入力!$E:$E,設定!$C78,日別入力!$D:$D,設定!K$7,日別入力!$B:$B,設定!$B78)</f>
        <v>0</v>
      </c>
      <c r="L78" s="14">
        <f>SUMIFS(日別入力!$AP:$AP,日別入力!$E:$E,設定!$C78,日別入力!$D:$D,設定!L$7,日別入力!$B:$B,設定!$B78)</f>
        <v>0</v>
      </c>
      <c r="M78" s="14">
        <f>SUMIFS(日別入力!$AP:$AP,日別入力!$E:$E,設定!$C78,日別入力!$D:$D,設定!M$7,日別入力!$B:$B,設定!$B78)</f>
        <v>0</v>
      </c>
      <c r="N78" s="16">
        <f>SUMIFS(日別入力!$AP:$AP,日別入力!$E:$E,設定!$C78,日別入力!$D:$D,設定!N$7,日別入力!$B:$B,設定!$B78)</f>
        <v>0</v>
      </c>
    </row>
    <row r="79" spans="2:14" s="3" customFormat="1" ht="15" customHeight="1" x14ac:dyDescent="0.2">
      <c r="B79" s="76" t="str">
        <f t="shared" si="7"/>
        <v>&lt;=12</v>
      </c>
      <c r="C79" s="25"/>
      <c r="D79" s="7" t="s">
        <v>67</v>
      </c>
      <c r="E79" s="14" t="s">
        <v>67</v>
      </c>
      <c r="F79" s="15" t="s">
        <v>67</v>
      </c>
      <c r="G79" s="16" t="s">
        <v>67</v>
      </c>
      <c r="H79" s="59">
        <f t="shared" si="5"/>
        <v>0</v>
      </c>
      <c r="I79" s="7">
        <f t="shared" si="6"/>
        <v>0</v>
      </c>
      <c r="J79" s="14">
        <f>SUMIFS(日別入力!$AP:$AP,日別入力!$E:$E,設定!$C79,日別入力!$D:$D,設定!J$7,日別入力!$B:$B,設定!$B79)</f>
        <v>0</v>
      </c>
      <c r="K79" s="14">
        <f>SUMIFS(日別入力!$AP:$AP,日別入力!$E:$E,設定!$C79,日別入力!$D:$D,設定!K$7,日別入力!$B:$B,設定!$B79)</f>
        <v>0</v>
      </c>
      <c r="L79" s="14">
        <f>SUMIFS(日別入力!$AP:$AP,日別入力!$E:$E,設定!$C79,日別入力!$D:$D,設定!L$7,日別入力!$B:$B,設定!$B79)</f>
        <v>0</v>
      </c>
      <c r="M79" s="14">
        <f>SUMIFS(日別入力!$AP:$AP,日別入力!$E:$E,設定!$C79,日別入力!$D:$D,設定!M$7,日別入力!$B:$B,設定!$B79)</f>
        <v>0</v>
      </c>
      <c r="N79" s="16">
        <f>SUMIFS(日別入力!$AP:$AP,日別入力!$E:$E,設定!$C79,日別入力!$D:$D,設定!N$7,日別入力!$B:$B,設定!$B79)</f>
        <v>0</v>
      </c>
    </row>
    <row r="80" spans="2:14" s="3" customFormat="1" ht="15" customHeight="1" x14ac:dyDescent="0.2">
      <c r="B80" s="76" t="str">
        <f t="shared" si="7"/>
        <v>&lt;=12</v>
      </c>
      <c r="C80" s="25"/>
      <c r="D80" s="7" t="s">
        <v>67</v>
      </c>
      <c r="E80" s="14" t="s">
        <v>67</v>
      </c>
      <c r="F80" s="15" t="s">
        <v>67</v>
      </c>
      <c r="G80" s="16" t="s">
        <v>67</v>
      </c>
      <c r="H80" s="59">
        <f t="shared" si="5"/>
        <v>0</v>
      </c>
      <c r="I80" s="7">
        <f t="shared" si="6"/>
        <v>0</v>
      </c>
      <c r="J80" s="14">
        <f>SUMIFS(日別入力!$AP:$AP,日別入力!$E:$E,設定!$C80,日別入力!$D:$D,設定!J$7,日別入力!$B:$B,設定!$B80)</f>
        <v>0</v>
      </c>
      <c r="K80" s="14">
        <f>SUMIFS(日別入力!$AP:$AP,日別入力!$E:$E,設定!$C80,日別入力!$D:$D,設定!K$7,日別入力!$B:$B,設定!$B80)</f>
        <v>0</v>
      </c>
      <c r="L80" s="14">
        <f>SUMIFS(日別入力!$AP:$AP,日別入力!$E:$E,設定!$C80,日別入力!$D:$D,設定!L$7,日別入力!$B:$B,設定!$B80)</f>
        <v>0</v>
      </c>
      <c r="M80" s="14">
        <f>SUMIFS(日別入力!$AP:$AP,日別入力!$E:$E,設定!$C80,日別入力!$D:$D,設定!M$7,日別入力!$B:$B,設定!$B80)</f>
        <v>0</v>
      </c>
      <c r="N80" s="16">
        <f>SUMIFS(日別入力!$AP:$AP,日別入力!$E:$E,設定!$C80,日別入力!$D:$D,設定!N$7,日別入力!$B:$B,設定!$B80)</f>
        <v>0</v>
      </c>
    </row>
    <row r="81" spans="2:14" s="3" customFormat="1" ht="15" customHeight="1" x14ac:dyDescent="0.2">
      <c r="B81" s="76" t="str">
        <f t="shared" si="7"/>
        <v>&lt;=12</v>
      </c>
      <c r="C81" s="25"/>
      <c r="D81" s="7" t="s">
        <v>67</v>
      </c>
      <c r="E81" s="14" t="s">
        <v>67</v>
      </c>
      <c r="F81" s="15" t="s">
        <v>67</v>
      </c>
      <c r="G81" s="16" t="s">
        <v>67</v>
      </c>
      <c r="H81" s="59">
        <f t="shared" si="5"/>
        <v>0</v>
      </c>
      <c r="I81" s="7">
        <f t="shared" si="6"/>
        <v>0</v>
      </c>
      <c r="J81" s="14">
        <f>SUMIFS(日別入力!$AP:$AP,日別入力!$E:$E,設定!$C81,日別入力!$D:$D,設定!J$7,日別入力!$B:$B,設定!$B81)</f>
        <v>0</v>
      </c>
      <c r="K81" s="14">
        <f>SUMIFS(日別入力!$AP:$AP,日別入力!$E:$E,設定!$C81,日別入力!$D:$D,設定!K$7,日別入力!$B:$B,設定!$B81)</f>
        <v>0</v>
      </c>
      <c r="L81" s="14">
        <f>SUMIFS(日別入力!$AP:$AP,日別入力!$E:$E,設定!$C81,日別入力!$D:$D,設定!L$7,日別入力!$B:$B,設定!$B81)</f>
        <v>0</v>
      </c>
      <c r="M81" s="14">
        <f>SUMIFS(日別入力!$AP:$AP,日別入力!$E:$E,設定!$C81,日別入力!$D:$D,設定!M$7,日別入力!$B:$B,設定!$B81)</f>
        <v>0</v>
      </c>
      <c r="N81" s="16">
        <f>SUMIFS(日別入力!$AP:$AP,日別入力!$E:$E,設定!$C81,日別入力!$D:$D,設定!N$7,日別入力!$B:$B,設定!$B81)</f>
        <v>0</v>
      </c>
    </row>
    <row r="82" spans="2:14" s="3" customFormat="1" ht="15" customHeight="1" x14ac:dyDescent="0.2">
      <c r="B82" s="76" t="str">
        <f t="shared" si="7"/>
        <v>&lt;=12</v>
      </c>
      <c r="C82" s="25"/>
      <c r="D82" s="7" t="s">
        <v>67</v>
      </c>
      <c r="E82" s="14" t="s">
        <v>67</v>
      </c>
      <c r="F82" s="15" t="s">
        <v>67</v>
      </c>
      <c r="G82" s="16" t="s">
        <v>67</v>
      </c>
      <c r="H82" s="59">
        <f t="shared" si="5"/>
        <v>0</v>
      </c>
      <c r="I82" s="7">
        <f t="shared" si="6"/>
        <v>0</v>
      </c>
      <c r="J82" s="14">
        <f>SUMIFS(日別入力!$AP:$AP,日別入力!$E:$E,設定!$C82,日別入力!$D:$D,設定!J$7,日別入力!$B:$B,設定!$B82)</f>
        <v>0</v>
      </c>
      <c r="K82" s="14">
        <f>SUMIFS(日別入力!$AP:$AP,日別入力!$E:$E,設定!$C82,日別入力!$D:$D,設定!K$7,日別入力!$B:$B,設定!$B82)</f>
        <v>0</v>
      </c>
      <c r="L82" s="14">
        <f>SUMIFS(日別入力!$AP:$AP,日別入力!$E:$E,設定!$C82,日別入力!$D:$D,設定!L$7,日別入力!$B:$B,設定!$B82)</f>
        <v>0</v>
      </c>
      <c r="M82" s="14">
        <f>SUMIFS(日別入力!$AP:$AP,日別入力!$E:$E,設定!$C82,日別入力!$D:$D,設定!M$7,日別入力!$B:$B,設定!$B82)</f>
        <v>0</v>
      </c>
      <c r="N82" s="16">
        <f>SUMIFS(日別入力!$AP:$AP,日別入力!$E:$E,設定!$C82,日別入力!$D:$D,設定!N$7,日別入力!$B:$B,設定!$B82)</f>
        <v>0</v>
      </c>
    </row>
    <row r="83" spans="2:14" s="3" customFormat="1" ht="15" customHeight="1" x14ac:dyDescent="0.2">
      <c r="B83" s="76" t="str">
        <f t="shared" si="7"/>
        <v>&lt;=12</v>
      </c>
      <c r="C83" s="25"/>
      <c r="D83" s="7" t="s">
        <v>67</v>
      </c>
      <c r="E83" s="14" t="s">
        <v>67</v>
      </c>
      <c r="F83" s="15" t="s">
        <v>67</v>
      </c>
      <c r="G83" s="16" t="s">
        <v>67</v>
      </c>
      <c r="H83" s="59">
        <f t="shared" si="5"/>
        <v>0</v>
      </c>
      <c r="I83" s="7">
        <f t="shared" si="6"/>
        <v>0</v>
      </c>
      <c r="J83" s="14">
        <f>SUMIFS(日別入力!$AP:$AP,日別入力!$E:$E,設定!$C83,日別入力!$D:$D,設定!J$7,日別入力!$B:$B,設定!$B83)</f>
        <v>0</v>
      </c>
      <c r="K83" s="14">
        <f>SUMIFS(日別入力!$AP:$AP,日別入力!$E:$E,設定!$C83,日別入力!$D:$D,設定!K$7,日別入力!$B:$B,設定!$B83)</f>
        <v>0</v>
      </c>
      <c r="L83" s="14">
        <f>SUMIFS(日別入力!$AP:$AP,日別入力!$E:$E,設定!$C83,日別入力!$D:$D,設定!L$7,日別入力!$B:$B,設定!$B83)</f>
        <v>0</v>
      </c>
      <c r="M83" s="14">
        <f>SUMIFS(日別入力!$AP:$AP,日別入力!$E:$E,設定!$C83,日別入力!$D:$D,設定!M$7,日別入力!$B:$B,設定!$B83)</f>
        <v>0</v>
      </c>
      <c r="N83" s="16">
        <f>SUMIFS(日別入力!$AP:$AP,日別入力!$E:$E,設定!$C83,日別入力!$D:$D,設定!N$7,日別入力!$B:$B,設定!$B83)</f>
        <v>0</v>
      </c>
    </row>
    <row r="84" spans="2:14" s="3" customFormat="1" ht="15" customHeight="1" x14ac:dyDescent="0.2">
      <c r="B84" s="76" t="str">
        <f t="shared" si="7"/>
        <v>&lt;=12</v>
      </c>
      <c r="C84" s="25"/>
      <c r="D84" s="7" t="s">
        <v>67</v>
      </c>
      <c r="E84" s="14" t="s">
        <v>67</v>
      </c>
      <c r="F84" s="15" t="s">
        <v>67</v>
      </c>
      <c r="G84" s="16" t="s">
        <v>67</v>
      </c>
      <c r="H84" s="59">
        <f t="shared" si="5"/>
        <v>0</v>
      </c>
      <c r="I84" s="7">
        <f t="shared" si="6"/>
        <v>0</v>
      </c>
      <c r="J84" s="14">
        <f>SUMIFS(日別入力!$AP:$AP,日別入力!$E:$E,設定!$C84,日別入力!$D:$D,設定!J$7,日別入力!$B:$B,設定!$B84)</f>
        <v>0</v>
      </c>
      <c r="K84" s="14">
        <f>SUMIFS(日別入力!$AP:$AP,日別入力!$E:$E,設定!$C84,日別入力!$D:$D,設定!K$7,日別入力!$B:$B,設定!$B84)</f>
        <v>0</v>
      </c>
      <c r="L84" s="14">
        <f>SUMIFS(日別入力!$AP:$AP,日別入力!$E:$E,設定!$C84,日別入力!$D:$D,設定!L$7,日別入力!$B:$B,設定!$B84)</f>
        <v>0</v>
      </c>
      <c r="M84" s="14">
        <f>SUMIFS(日別入力!$AP:$AP,日別入力!$E:$E,設定!$C84,日別入力!$D:$D,設定!M$7,日別入力!$B:$B,設定!$B84)</f>
        <v>0</v>
      </c>
      <c r="N84" s="16">
        <f>SUMIFS(日別入力!$AP:$AP,日別入力!$E:$E,設定!$C84,日別入力!$D:$D,設定!N$7,日別入力!$B:$B,設定!$B84)</f>
        <v>0</v>
      </c>
    </row>
    <row r="85" spans="2:14" s="3" customFormat="1" ht="15" customHeight="1" x14ac:dyDescent="0.2">
      <c r="B85" s="76" t="str">
        <f t="shared" si="7"/>
        <v>&lt;=12</v>
      </c>
      <c r="C85" s="25"/>
      <c r="D85" s="7" t="s">
        <v>67</v>
      </c>
      <c r="E85" s="14" t="s">
        <v>67</v>
      </c>
      <c r="F85" s="15" t="s">
        <v>67</v>
      </c>
      <c r="G85" s="16" t="s">
        <v>67</v>
      </c>
      <c r="H85" s="59">
        <f t="shared" si="5"/>
        <v>0</v>
      </c>
      <c r="I85" s="7">
        <f t="shared" si="6"/>
        <v>0</v>
      </c>
      <c r="J85" s="14">
        <f>SUMIFS(日別入力!$AP:$AP,日別入力!$E:$E,設定!$C85,日別入力!$D:$D,設定!J$7,日別入力!$B:$B,設定!$B85)</f>
        <v>0</v>
      </c>
      <c r="K85" s="14">
        <f>SUMIFS(日別入力!$AP:$AP,日別入力!$E:$E,設定!$C85,日別入力!$D:$D,設定!K$7,日別入力!$B:$B,設定!$B85)</f>
        <v>0</v>
      </c>
      <c r="L85" s="14">
        <f>SUMIFS(日別入力!$AP:$AP,日別入力!$E:$E,設定!$C85,日別入力!$D:$D,設定!L$7,日別入力!$B:$B,設定!$B85)</f>
        <v>0</v>
      </c>
      <c r="M85" s="14">
        <f>SUMIFS(日別入力!$AP:$AP,日別入力!$E:$E,設定!$C85,日別入力!$D:$D,設定!M$7,日別入力!$B:$B,設定!$B85)</f>
        <v>0</v>
      </c>
      <c r="N85" s="16">
        <f>SUMIFS(日別入力!$AP:$AP,日別入力!$E:$E,設定!$C85,日別入力!$D:$D,設定!N$7,日別入力!$B:$B,設定!$B85)</f>
        <v>0</v>
      </c>
    </row>
    <row r="86" spans="2:14" s="3" customFormat="1" ht="15" customHeight="1" x14ac:dyDescent="0.2">
      <c r="B86" s="76" t="str">
        <f t="shared" si="7"/>
        <v>&lt;=12</v>
      </c>
      <c r="C86" s="25"/>
      <c r="D86" s="7" t="s">
        <v>67</v>
      </c>
      <c r="E86" s="14" t="s">
        <v>67</v>
      </c>
      <c r="F86" s="15" t="s">
        <v>67</v>
      </c>
      <c r="G86" s="16" t="s">
        <v>67</v>
      </c>
      <c r="H86" s="59">
        <f t="shared" si="5"/>
        <v>0</v>
      </c>
      <c r="I86" s="7">
        <f t="shared" si="6"/>
        <v>0</v>
      </c>
      <c r="J86" s="14">
        <f>SUMIFS(日別入力!$AP:$AP,日別入力!$E:$E,設定!$C86,日別入力!$D:$D,設定!J$7,日別入力!$B:$B,設定!$B86)</f>
        <v>0</v>
      </c>
      <c r="K86" s="14">
        <f>SUMIFS(日別入力!$AP:$AP,日別入力!$E:$E,設定!$C86,日別入力!$D:$D,設定!K$7,日別入力!$B:$B,設定!$B86)</f>
        <v>0</v>
      </c>
      <c r="L86" s="14">
        <f>SUMIFS(日別入力!$AP:$AP,日別入力!$E:$E,設定!$C86,日別入力!$D:$D,設定!L$7,日別入力!$B:$B,設定!$B86)</f>
        <v>0</v>
      </c>
      <c r="M86" s="14">
        <f>SUMIFS(日別入力!$AP:$AP,日別入力!$E:$E,設定!$C86,日別入力!$D:$D,設定!M$7,日別入力!$B:$B,設定!$B86)</f>
        <v>0</v>
      </c>
      <c r="N86" s="16">
        <f>SUMIFS(日別入力!$AP:$AP,日別入力!$E:$E,設定!$C86,日別入力!$D:$D,設定!N$7,日別入力!$B:$B,設定!$B86)</f>
        <v>0</v>
      </c>
    </row>
    <row r="87" spans="2:14" s="3" customFormat="1" ht="15" customHeight="1" x14ac:dyDescent="0.2">
      <c r="B87" s="76" t="str">
        <f t="shared" si="7"/>
        <v>&lt;=12</v>
      </c>
      <c r="C87" s="25"/>
      <c r="D87" s="7" t="s">
        <v>67</v>
      </c>
      <c r="E87" s="14" t="s">
        <v>67</v>
      </c>
      <c r="F87" s="15" t="s">
        <v>67</v>
      </c>
      <c r="G87" s="16" t="s">
        <v>67</v>
      </c>
      <c r="H87" s="59">
        <f t="shared" si="5"/>
        <v>0</v>
      </c>
      <c r="I87" s="7">
        <f t="shared" si="6"/>
        <v>0</v>
      </c>
      <c r="J87" s="14">
        <f>SUMIFS(日別入力!$AP:$AP,日別入力!$E:$E,設定!$C87,日別入力!$D:$D,設定!J$7,日別入力!$B:$B,設定!$B87)</f>
        <v>0</v>
      </c>
      <c r="K87" s="14">
        <f>SUMIFS(日別入力!$AP:$AP,日別入力!$E:$E,設定!$C87,日別入力!$D:$D,設定!K$7,日別入力!$B:$B,設定!$B87)</f>
        <v>0</v>
      </c>
      <c r="L87" s="14">
        <f>SUMIFS(日別入力!$AP:$AP,日別入力!$E:$E,設定!$C87,日別入力!$D:$D,設定!L$7,日別入力!$B:$B,設定!$B87)</f>
        <v>0</v>
      </c>
      <c r="M87" s="14">
        <f>SUMIFS(日別入力!$AP:$AP,日別入力!$E:$E,設定!$C87,日別入力!$D:$D,設定!M$7,日別入力!$B:$B,設定!$B87)</f>
        <v>0</v>
      </c>
      <c r="N87" s="16">
        <f>SUMIFS(日別入力!$AP:$AP,日別入力!$E:$E,設定!$C87,日別入力!$D:$D,設定!N$7,日別入力!$B:$B,設定!$B87)</f>
        <v>0</v>
      </c>
    </row>
    <row r="88" spans="2:14" s="3" customFormat="1" ht="15" customHeight="1" x14ac:dyDescent="0.2">
      <c r="B88" s="76" t="str">
        <f t="shared" si="7"/>
        <v>&lt;=12</v>
      </c>
      <c r="C88" s="25"/>
      <c r="D88" s="7" t="s">
        <v>67</v>
      </c>
      <c r="E88" s="14" t="s">
        <v>67</v>
      </c>
      <c r="F88" s="15" t="s">
        <v>67</v>
      </c>
      <c r="G88" s="16" t="s">
        <v>67</v>
      </c>
      <c r="H88" s="59">
        <f t="shared" si="5"/>
        <v>0</v>
      </c>
      <c r="I88" s="7">
        <f t="shared" si="6"/>
        <v>0</v>
      </c>
      <c r="J88" s="14">
        <f>SUMIFS(日別入力!$AP:$AP,日別入力!$E:$E,設定!$C88,日別入力!$D:$D,設定!J$7,日別入力!$B:$B,設定!$B88)</f>
        <v>0</v>
      </c>
      <c r="K88" s="14">
        <f>SUMIFS(日別入力!$AP:$AP,日別入力!$E:$E,設定!$C88,日別入力!$D:$D,設定!K$7,日別入力!$B:$B,設定!$B88)</f>
        <v>0</v>
      </c>
      <c r="L88" s="14">
        <f>SUMIFS(日別入力!$AP:$AP,日別入力!$E:$E,設定!$C88,日別入力!$D:$D,設定!L$7,日別入力!$B:$B,設定!$B88)</f>
        <v>0</v>
      </c>
      <c r="M88" s="14">
        <f>SUMIFS(日別入力!$AP:$AP,日別入力!$E:$E,設定!$C88,日別入力!$D:$D,設定!M$7,日別入力!$B:$B,設定!$B88)</f>
        <v>0</v>
      </c>
      <c r="N88" s="16">
        <f>SUMIFS(日別入力!$AP:$AP,日別入力!$E:$E,設定!$C88,日別入力!$D:$D,設定!N$7,日別入力!$B:$B,設定!$B88)</f>
        <v>0</v>
      </c>
    </row>
    <row r="89" spans="2:14" s="3" customFormat="1" ht="15" customHeight="1" x14ac:dyDescent="0.2">
      <c r="B89" s="76" t="str">
        <f t="shared" si="7"/>
        <v>&lt;=12</v>
      </c>
      <c r="C89" s="25"/>
      <c r="D89" s="7" t="s">
        <v>67</v>
      </c>
      <c r="E89" s="14" t="s">
        <v>67</v>
      </c>
      <c r="F89" s="15" t="s">
        <v>67</v>
      </c>
      <c r="G89" s="16" t="s">
        <v>67</v>
      </c>
      <c r="H89" s="59">
        <f t="shared" si="5"/>
        <v>0</v>
      </c>
      <c r="I89" s="7">
        <f t="shared" si="6"/>
        <v>0</v>
      </c>
      <c r="J89" s="14">
        <f>SUMIFS(日別入力!$AP:$AP,日別入力!$E:$E,設定!$C89,日別入力!$D:$D,設定!J$7,日別入力!$B:$B,設定!$B89)</f>
        <v>0</v>
      </c>
      <c r="K89" s="14">
        <f>SUMIFS(日別入力!$AP:$AP,日別入力!$E:$E,設定!$C89,日別入力!$D:$D,設定!K$7,日別入力!$B:$B,設定!$B89)</f>
        <v>0</v>
      </c>
      <c r="L89" s="14">
        <f>SUMIFS(日別入力!$AP:$AP,日別入力!$E:$E,設定!$C89,日別入力!$D:$D,設定!L$7,日別入力!$B:$B,設定!$B89)</f>
        <v>0</v>
      </c>
      <c r="M89" s="14">
        <f>SUMIFS(日別入力!$AP:$AP,日別入力!$E:$E,設定!$C89,日別入力!$D:$D,設定!M$7,日別入力!$B:$B,設定!$B89)</f>
        <v>0</v>
      </c>
      <c r="N89" s="16">
        <f>SUMIFS(日別入力!$AP:$AP,日別入力!$E:$E,設定!$C89,日別入力!$D:$D,設定!N$7,日別入力!$B:$B,設定!$B89)</f>
        <v>0</v>
      </c>
    </row>
    <row r="90" spans="2:14" s="3" customFormat="1" ht="15" customHeight="1" x14ac:dyDescent="0.2">
      <c r="B90" s="76" t="str">
        <f t="shared" si="7"/>
        <v>&lt;=12</v>
      </c>
      <c r="C90" s="25"/>
      <c r="D90" s="7" t="s">
        <v>67</v>
      </c>
      <c r="E90" s="14" t="s">
        <v>67</v>
      </c>
      <c r="F90" s="15" t="s">
        <v>67</v>
      </c>
      <c r="G90" s="16" t="s">
        <v>67</v>
      </c>
      <c r="H90" s="59">
        <f t="shared" si="5"/>
        <v>0</v>
      </c>
      <c r="I90" s="7">
        <f t="shared" si="6"/>
        <v>0</v>
      </c>
      <c r="J90" s="14">
        <f>SUMIFS(日別入力!$AP:$AP,日別入力!$E:$E,設定!$C90,日別入力!$D:$D,設定!J$7,日別入力!$B:$B,設定!$B90)</f>
        <v>0</v>
      </c>
      <c r="K90" s="14">
        <f>SUMIFS(日別入力!$AP:$AP,日別入力!$E:$E,設定!$C90,日別入力!$D:$D,設定!K$7,日別入力!$B:$B,設定!$B90)</f>
        <v>0</v>
      </c>
      <c r="L90" s="14">
        <f>SUMIFS(日別入力!$AP:$AP,日別入力!$E:$E,設定!$C90,日別入力!$D:$D,設定!L$7,日別入力!$B:$B,設定!$B90)</f>
        <v>0</v>
      </c>
      <c r="M90" s="14">
        <f>SUMIFS(日別入力!$AP:$AP,日別入力!$E:$E,設定!$C90,日別入力!$D:$D,設定!M$7,日別入力!$B:$B,設定!$B90)</f>
        <v>0</v>
      </c>
      <c r="N90" s="16">
        <f>SUMIFS(日別入力!$AP:$AP,日別入力!$E:$E,設定!$C90,日別入力!$D:$D,設定!N$7,日別入力!$B:$B,設定!$B90)</f>
        <v>0</v>
      </c>
    </row>
    <row r="91" spans="2:14" s="3" customFormat="1" ht="15" customHeight="1" x14ac:dyDescent="0.2">
      <c r="B91" s="76" t="str">
        <f t="shared" si="7"/>
        <v>&lt;=12</v>
      </c>
      <c r="C91" s="25"/>
      <c r="D91" s="7" t="s">
        <v>67</v>
      </c>
      <c r="E91" s="14" t="s">
        <v>67</v>
      </c>
      <c r="F91" s="15" t="s">
        <v>67</v>
      </c>
      <c r="G91" s="16" t="s">
        <v>67</v>
      </c>
      <c r="H91" s="59">
        <f t="shared" si="5"/>
        <v>0</v>
      </c>
      <c r="I91" s="7">
        <f t="shared" si="6"/>
        <v>0</v>
      </c>
      <c r="J91" s="14">
        <f>SUMIFS(日別入力!$AP:$AP,日別入力!$E:$E,設定!$C91,日別入力!$D:$D,設定!J$7,日別入力!$B:$B,設定!$B91)</f>
        <v>0</v>
      </c>
      <c r="K91" s="14">
        <f>SUMIFS(日別入力!$AP:$AP,日別入力!$E:$E,設定!$C91,日別入力!$D:$D,設定!K$7,日別入力!$B:$B,設定!$B91)</f>
        <v>0</v>
      </c>
      <c r="L91" s="14">
        <f>SUMIFS(日別入力!$AP:$AP,日別入力!$E:$E,設定!$C91,日別入力!$D:$D,設定!L$7,日別入力!$B:$B,設定!$B91)</f>
        <v>0</v>
      </c>
      <c r="M91" s="14">
        <f>SUMIFS(日別入力!$AP:$AP,日別入力!$E:$E,設定!$C91,日別入力!$D:$D,設定!M$7,日別入力!$B:$B,設定!$B91)</f>
        <v>0</v>
      </c>
      <c r="N91" s="16">
        <f>SUMIFS(日別入力!$AP:$AP,日別入力!$E:$E,設定!$C91,日別入力!$D:$D,設定!N$7,日別入力!$B:$B,設定!$B91)</f>
        <v>0</v>
      </c>
    </row>
    <row r="92" spans="2:14" s="3" customFormat="1" ht="15" customHeight="1" x14ac:dyDescent="0.2">
      <c r="B92" s="76" t="str">
        <f t="shared" si="7"/>
        <v>&lt;=12</v>
      </c>
      <c r="C92" s="25"/>
      <c r="D92" s="7" t="s">
        <v>67</v>
      </c>
      <c r="E92" s="14" t="s">
        <v>67</v>
      </c>
      <c r="F92" s="15" t="s">
        <v>67</v>
      </c>
      <c r="G92" s="16" t="s">
        <v>67</v>
      </c>
      <c r="H92" s="59">
        <f t="shared" si="5"/>
        <v>0</v>
      </c>
      <c r="I92" s="7">
        <f t="shared" si="6"/>
        <v>0</v>
      </c>
      <c r="J92" s="14">
        <f>SUMIFS(日別入力!$AP:$AP,日別入力!$E:$E,設定!$C92,日別入力!$D:$D,設定!J$7,日別入力!$B:$B,設定!$B92)</f>
        <v>0</v>
      </c>
      <c r="K92" s="14">
        <f>SUMIFS(日別入力!$AP:$AP,日別入力!$E:$E,設定!$C92,日別入力!$D:$D,設定!K$7,日別入力!$B:$B,設定!$B92)</f>
        <v>0</v>
      </c>
      <c r="L92" s="14">
        <f>SUMIFS(日別入力!$AP:$AP,日別入力!$E:$E,設定!$C92,日別入力!$D:$D,設定!L$7,日別入力!$B:$B,設定!$B92)</f>
        <v>0</v>
      </c>
      <c r="M92" s="14">
        <f>SUMIFS(日別入力!$AP:$AP,日別入力!$E:$E,設定!$C92,日別入力!$D:$D,設定!M$7,日別入力!$B:$B,設定!$B92)</f>
        <v>0</v>
      </c>
      <c r="N92" s="16">
        <f>SUMIFS(日別入力!$AP:$AP,日別入力!$E:$E,設定!$C92,日別入力!$D:$D,設定!N$7,日別入力!$B:$B,設定!$B92)</f>
        <v>0</v>
      </c>
    </row>
    <row r="93" spans="2:14" s="3" customFormat="1" ht="15" customHeight="1" x14ac:dyDescent="0.2">
      <c r="B93" s="76" t="str">
        <f t="shared" si="7"/>
        <v>&lt;=12</v>
      </c>
      <c r="C93" s="25"/>
      <c r="D93" s="7" t="s">
        <v>67</v>
      </c>
      <c r="E93" s="14" t="s">
        <v>67</v>
      </c>
      <c r="F93" s="15" t="s">
        <v>67</v>
      </c>
      <c r="G93" s="16" t="s">
        <v>67</v>
      </c>
      <c r="H93" s="59">
        <f t="shared" si="5"/>
        <v>0</v>
      </c>
      <c r="I93" s="7">
        <f t="shared" si="6"/>
        <v>0</v>
      </c>
      <c r="J93" s="14">
        <f>SUMIFS(日別入力!$AP:$AP,日別入力!$E:$E,設定!$C93,日別入力!$D:$D,設定!J$7,日別入力!$B:$B,設定!$B93)</f>
        <v>0</v>
      </c>
      <c r="K93" s="14">
        <f>SUMIFS(日別入力!$AP:$AP,日別入力!$E:$E,設定!$C93,日別入力!$D:$D,設定!K$7,日別入力!$B:$B,設定!$B93)</f>
        <v>0</v>
      </c>
      <c r="L93" s="14">
        <f>SUMIFS(日別入力!$AP:$AP,日別入力!$E:$E,設定!$C93,日別入力!$D:$D,設定!L$7,日別入力!$B:$B,設定!$B93)</f>
        <v>0</v>
      </c>
      <c r="M93" s="14">
        <f>SUMIFS(日別入力!$AP:$AP,日別入力!$E:$E,設定!$C93,日別入力!$D:$D,設定!M$7,日別入力!$B:$B,設定!$B93)</f>
        <v>0</v>
      </c>
      <c r="N93" s="16">
        <f>SUMIFS(日別入力!$AP:$AP,日別入力!$E:$E,設定!$C93,日別入力!$D:$D,設定!N$7,日別入力!$B:$B,設定!$B93)</f>
        <v>0</v>
      </c>
    </row>
    <row r="94" spans="2:14" s="3" customFormat="1" ht="15" customHeight="1" x14ac:dyDescent="0.2">
      <c r="B94" s="76" t="str">
        <f t="shared" si="7"/>
        <v>&lt;=12</v>
      </c>
      <c r="C94" s="25"/>
      <c r="D94" s="7" t="s">
        <v>67</v>
      </c>
      <c r="E94" s="14" t="s">
        <v>67</v>
      </c>
      <c r="F94" s="15" t="s">
        <v>67</v>
      </c>
      <c r="G94" s="16" t="s">
        <v>67</v>
      </c>
      <c r="H94" s="59">
        <f t="shared" si="5"/>
        <v>0</v>
      </c>
      <c r="I94" s="7">
        <f t="shared" si="6"/>
        <v>0</v>
      </c>
      <c r="J94" s="14">
        <f>SUMIFS(日別入力!$AP:$AP,日別入力!$E:$E,設定!$C94,日別入力!$D:$D,設定!J$7,日別入力!$B:$B,設定!$B94)</f>
        <v>0</v>
      </c>
      <c r="K94" s="14">
        <f>SUMIFS(日別入力!$AP:$AP,日別入力!$E:$E,設定!$C94,日別入力!$D:$D,設定!K$7,日別入力!$B:$B,設定!$B94)</f>
        <v>0</v>
      </c>
      <c r="L94" s="14">
        <f>SUMIFS(日別入力!$AP:$AP,日別入力!$E:$E,設定!$C94,日別入力!$D:$D,設定!L$7,日別入力!$B:$B,設定!$B94)</f>
        <v>0</v>
      </c>
      <c r="M94" s="14">
        <f>SUMIFS(日別入力!$AP:$AP,日別入力!$E:$E,設定!$C94,日別入力!$D:$D,設定!M$7,日別入力!$B:$B,設定!$B94)</f>
        <v>0</v>
      </c>
      <c r="N94" s="16">
        <f>SUMIFS(日別入力!$AP:$AP,日別入力!$E:$E,設定!$C94,日別入力!$D:$D,設定!N$7,日別入力!$B:$B,設定!$B94)</f>
        <v>0</v>
      </c>
    </row>
    <row r="95" spans="2:14" s="3" customFormat="1" ht="15" customHeight="1" x14ac:dyDescent="0.2">
      <c r="B95" s="76" t="str">
        <f t="shared" si="7"/>
        <v>&lt;=12</v>
      </c>
      <c r="C95" s="25"/>
      <c r="D95" s="7" t="s">
        <v>67</v>
      </c>
      <c r="E95" s="14" t="s">
        <v>67</v>
      </c>
      <c r="F95" s="15" t="s">
        <v>67</v>
      </c>
      <c r="G95" s="16" t="s">
        <v>67</v>
      </c>
      <c r="H95" s="59">
        <f t="shared" si="5"/>
        <v>0</v>
      </c>
      <c r="I95" s="7">
        <f t="shared" si="6"/>
        <v>0</v>
      </c>
      <c r="J95" s="14">
        <f>SUMIFS(日別入力!$AP:$AP,日別入力!$E:$E,設定!$C95,日別入力!$D:$D,設定!J$7,日別入力!$B:$B,設定!$B95)</f>
        <v>0</v>
      </c>
      <c r="K95" s="14">
        <f>SUMIFS(日別入力!$AP:$AP,日別入力!$E:$E,設定!$C95,日別入力!$D:$D,設定!K$7,日別入力!$B:$B,設定!$B95)</f>
        <v>0</v>
      </c>
      <c r="L95" s="14">
        <f>SUMIFS(日別入力!$AP:$AP,日別入力!$E:$E,設定!$C95,日別入力!$D:$D,設定!L$7,日別入力!$B:$B,設定!$B95)</f>
        <v>0</v>
      </c>
      <c r="M95" s="14">
        <f>SUMIFS(日別入力!$AP:$AP,日別入力!$E:$E,設定!$C95,日別入力!$D:$D,設定!M$7,日別入力!$B:$B,設定!$B95)</f>
        <v>0</v>
      </c>
      <c r="N95" s="16">
        <f>SUMIFS(日別入力!$AP:$AP,日別入力!$E:$E,設定!$C95,日別入力!$D:$D,設定!N$7,日別入力!$B:$B,設定!$B95)</f>
        <v>0</v>
      </c>
    </row>
    <row r="96" spans="2:14" s="3" customFormat="1" ht="15" customHeight="1" x14ac:dyDescent="0.2">
      <c r="B96" s="76" t="str">
        <f t="shared" si="7"/>
        <v>&lt;=12</v>
      </c>
      <c r="C96" s="25"/>
      <c r="D96" s="7" t="s">
        <v>67</v>
      </c>
      <c r="E96" s="14" t="s">
        <v>67</v>
      </c>
      <c r="F96" s="15" t="s">
        <v>67</v>
      </c>
      <c r="G96" s="16" t="s">
        <v>67</v>
      </c>
      <c r="H96" s="59">
        <f t="shared" si="5"/>
        <v>0</v>
      </c>
      <c r="I96" s="7">
        <f t="shared" si="6"/>
        <v>0</v>
      </c>
      <c r="J96" s="14">
        <f>SUMIFS(日別入力!$AP:$AP,日別入力!$E:$E,設定!$C96,日別入力!$D:$D,設定!J$7,日別入力!$B:$B,設定!$B96)</f>
        <v>0</v>
      </c>
      <c r="K96" s="14">
        <f>SUMIFS(日別入力!$AP:$AP,日別入力!$E:$E,設定!$C96,日別入力!$D:$D,設定!K$7,日別入力!$B:$B,設定!$B96)</f>
        <v>0</v>
      </c>
      <c r="L96" s="14">
        <f>SUMIFS(日別入力!$AP:$AP,日別入力!$E:$E,設定!$C96,日別入力!$D:$D,設定!L$7,日別入力!$B:$B,設定!$B96)</f>
        <v>0</v>
      </c>
      <c r="M96" s="14">
        <f>SUMIFS(日別入力!$AP:$AP,日別入力!$E:$E,設定!$C96,日別入力!$D:$D,設定!M$7,日別入力!$B:$B,設定!$B96)</f>
        <v>0</v>
      </c>
      <c r="N96" s="16">
        <f>SUMIFS(日別入力!$AP:$AP,日別入力!$E:$E,設定!$C96,日別入力!$D:$D,設定!N$7,日別入力!$B:$B,設定!$B96)</f>
        <v>0</v>
      </c>
    </row>
    <row r="97" spans="2:14" s="3" customFormat="1" ht="15" customHeight="1" x14ac:dyDescent="0.2">
      <c r="B97" s="76" t="str">
        <f t="shared" si="7"/>
        <v>&lt;=12</v>
      </c>
      <c r="C97" s="25"/>
      <c r="D97" s="7" t="s">
        <v>67</v>
      </c>
      <c r="E97" s="14" t="s">
        <v>67</v>
      </c>
      <c r="F97" s="15" t="s">
        <v>67</v>
      </c>
      <c r="G97" s="16" t="s">
        <v>67</v>
      </c>
      <c r="H97" s="59">
        <f t="shared" si="5"/>
        <v>0</v>
      </c>
      <c r="I97" s="7">
        <f t="shared" si="6"/>
        <v>0</v>
      </c>
      <c r="J97" s="14">
        <f>SUMIFS(日別入力!$AP:$AP,日別入力!$E:$E,設定!$C97,日別入力!$D:$D,設定!J$7,日別入力!$B:$B,設定!$B97)</f>
        <v>0</v>
      </c>
      <c r="K97" s="14">
        <f>SUMIFS(日別入力!$AP:$AP,日別入力!$E:$E,設定!$C97,日別入力!$D:$D,設定!K$7,日別入力!$B:$B,設定!$B97)</f>
        <v>0</v>
      </c>
      <c r="L97" s="14">
        <f>SUMIFS(日別入力!$AP:$AP,日別入力!$E:$E,設定!$C97,日別入力!$D:$D,設定!L$7,日別入力!$B:$B,設定!$B97)</f>
        <v>0</v>
      </c>
      <c r="M97" s="14">
        <f>SUMIFS(日別入力!$AP:$AP,日別入力!$E:$E,設定!$C97,日別入力!$D:$D,設定!M$7,日別入力!$B:$B,設定!$B97)</f>
        <v>0</v>
      </c>
      <c r="N97" s="16">
        <f>SUMIFS(日別入力!$AP:$AP,日別入力!$E:$E,設定!$C97,日別入力!$D:$D,設定!N$7,日別入力!$B:$B,設定!$B97)</f>
        <v>0</v>
      </c>
    </row>
    <row r="98" spans="2:14" s="3" customFormat="1" ht="15" customHeight="1" x14ac:dyDescent="0.2">
      <c r="B98" s="76" t="str">
        <f t="shared" si="7"/>
        <v>&lt;=12</v>
      </c>
      <c r="C98" s="25"/>
      <c r="D98" s="7" t="s">
        <v>67</v>
      </c>
      <c r="E98" s="14" t="s">
        <v>67</v>
      </c>
      <c r="F98" s="15" t="s">
        <v>67</v>
      </c>
      <c r="G98" s="16" t="s">
        <v>67</v>
      </c>
      <c r="H98" s="59">
        <f t="shared" si="5"/>
        <v>0</v>
      </c>
      <c r="I98" s="7">
        <f t="shared" si="6"/>
        <v>0</v>
      </c>
      <c r="J98" s="14">
        <f>SUMIFS(日別入力!$AP:$AP,日別入力!$E:$E,設定!$C98,日別入力!$D:$D,設定!J$7,日別入力!$B:$B,設定!$B98)</f>
        <v>0</v>
      </c>
      <c r="K98" s="14">
        <f>SUMIFS(日別入力!$AP:$AP,日別入力!$E:$E,設定!$C98,日別入力!$D:$D,設定!K$7,日別入力!$B:$B,設定!$B98)</f>
        <v>0</v>
      </c>
      <c r="L98" s="14">
        <f>SUMIFS(日別入力!$AP:$AP,日別入力!$E:$E,設定!$C98,日別入力!$D:$D,設定!L$7,日別入力!$B:$B,設定!$B98)</f>
        <v>0</v>
      </c>
      <c r="M98" s="14">
        <f>SUMIFS(日別入力!$AP:$AP,日別入力!$E:$E,設定!$C98,日別入力!$D:$D,設定!M$7,日別入力!$B:$B,設定!$B98)</f>
        <v>0</v>
      </c>
      <c r="N98" s="16">
        <f>SUMIFS(日別入力!$AP:$AP,日別入力!$E:$E,設定!$C98,日別入力!$D:$D,設定!N$7,日別入力!$B:$B,設定!$B98)</f>
        <v>0</v>
      </c>
    </row>
    <row r="99" spans="2:14" s="3" customFormat="1" ht="15" customHeight="1" x14ac:dyDescent="0.2">
      <c r="B99" s="76" t="str">
        <f t="shared" si="7"/>
        <v>&lt;=12</v>
      </c>
      <c r="C99" s="25"/>
      <c r="D99" s="7" t="s">
        <v>67</v>
      </c>
      <c r="E99" s="14" t="s">
        <v>67</v>
      </c>
      <c r="F99" s="15" t="s">
        <v>67</v>
      </c>
      <c r="G99" s="16" t="s">
        <v>67</v>
      </c>
      <c r="H99" s="59">
        <f t="shared" si="5"/>
        <v>0</v>
      </c>
      <c r="I99" s="7">
        <f t="shared" si="6"/>
        <v>0</v>
      </c>
      <c r="J99" s="14">
        <f>SUMIFS(日別入力!$AP:$AP,日別入力!$E:$E,設定!$C99,日別入力!$D:$D,設定!J$7,日別入力!$B:$B,設定!$B99)</f>
        <v>0</v>
      </c>
      <c r="K99" s="14">
        <f>SUMIFS(日別入力!$AP:$AP,日別入力!$E:$E,設定!$C99,日別入力!$D:$D,設定!K$7,日別入力!$B:$B,設定!$B99)</f>
        <v>0</v>
      </c>
      <c r="L99" s="14">
        <f>SUMIFS(日別入力!$AP:$AP,日別入力!$E:$E,設定!$C99,日別入力!$D:$D,設定!L$7,日別入力!$B:$B,設定!$B99)</f>
        <v>0</v>
      </c>
      <c r="M99" s="14">
        <f>SUMIFS(日別入力!$AP:$AP,日別入力!$E:$E,設定!$C99,日別入力!$D:$D,設定!M$7,日別入力!$B:$B,設定!$B99)</f>
        <v>0</v>
      </c>
      <c r="N99" s="16">
        <f>SUMIFS(日別入力!$AP:$AP,日別入力!$E:$E,設定!$C99,日別入力!$D:$D,設定!N$7,日別入力!$B:$B,設定!$B99)</f>
        <v>0</v>
      </c>
    </row>
    <row r="100" spans="2:14" s="3" customFormat="1" ht="15" customHeight="1" x14ac:dyDescent="0.2">
      <c r="B100" s="76" t="str">
        <f t="shared" si="7"/>
        <v>&lt;=12</v>
      </c>
      <c r="C100" s="25"/>
      <c r="D100" s="7" t="s">
        <v>67</v>
      </c>
      <c r="E100" s="14" t="s">
        <v>67</v>
      </c>
      <c r="F100" s="15" t="s">
        <v>67</v>
      </c>
      <c r="G100" s="16" t="s">
        <v>67</v>
      </c>
      <c r="H100" s="59">
        <f t="shared" si="5"/>
        <v>0</v>
      </c>
      <c r="I100" s="7">
        <f t="shared" si="6"/>
        <v>0</v>
      </c>
      <c r="J100" s="14">
        <f>SUMIFS(日別入力!$AP:$AP,日別入力!$E:$E,設定!$C100,日別入力!$D:$D,設定!J$7,日別入力!$B:$B,設定!$B100)</f>
        <v>0</v>
      </c>
      <c r="K100" s="14">
        <f>SUMIFS(日別入力!$AP:$AP,日別入力!$E:$E,設定!$C100,日別入力!$D:$D,設定!K$7,日別入力!$B:$B,設定!$B100)</f>
        <v>0</v>
      </c>
      <c r="L100" s="14">
        <f>SUMIFS(日別入力!$AP:$AP,日別入力!$E:$E,設定!$C100,日別入力!$D:$D,設定!L$7,日別入力!$B:$B,設定!$B100)</f>
        <v>0</v>
      </c>
      <c r="M100" s="14">
        <f>SUMIFS(日別入力!$AP:$AP,日別入力!$E:$E,設定!$C100,日別入力!$D:$D,設定!M$7,日別入力!$B:$B,設定!$B100)</f>
        <v>0</v>
      </c>
      <c r="N100" s="16">
        <f>SUMIFS(日別入力!$AP:$AP,日別入力!$E:$E,設定!$C100,日別入力!$D:$D,設定!N$7,日別入力!$B:$B,設定!$B100)</f>
        <v>0</v>
      </c>
    </row>
    <row r="101" spans="2:14" s="3" customFormat="1" ht="15" customHeight="1" x14ac:dyDescent="0.2">
      <c r="B101" s="76" t="str">
        <f t="shared" si="7"/>
        <v>&lt;=12</v>
      </c>
      <c r="C101" s="25"/>
      <c r="D101" s="7" t="s">
        <v>67</v>
      </c>
      <c r="E101" s="14" t="s">
        <v>67</v>
      </c>
      <c r="F101" s="15" t="s">
        <v>67</v>
      </c>
      <c r="G101" s="16" t="s">
        <v>67</v>
      </c>
      <c r="H101" s="59">
        <f t="shared" si="5"/>
        <v>0</v>
      </c>
      <c r="I101" s="7">
        <f t="shared" si="6"/>
        <v>0</v>
      </c>
      <c r="J101" s="14">
        <f>SUMIFS(日別入力!$AP:$AP,日別入力!$E:$E,設定!$C101,日別入力!$D:$D,設定!J$7,日別入力!$B:$B,設定!$B101)</f>
        <v>0</v>
      </c>
      <c r="K101" s="14">
        <f>SUMIFS(日別入力!$AP:$AP,日別入力!$E:$E,設定!$C101,日別入力!$D:$D,設定!K$7,日別入力!$B:$B,設定!$B101)</f>
        <v>0</v>
      </c>
      <c r="L101" s="14">
        <f>SUMIFS(日別入力!$AP:$AP,日別入力!$E:$E,設定!$C101,日別入力!$D:$D,設定!L$7,日別入力!$B:$B,設定!$B101)</f>
        <v>0</v>
      </c>
      <c r="M101" s="14">
        <f>SUMIFS(日別入力!$AP:$AP,日別入力!$E:$E,設定!$C101,日別入力!$D:$D,設定!M$7,日別入力!$B:$B,設定!$B101)</f>
        <v>0</v>
      </c>
      <c r="N101" s="16">
        <f>SUMIFS(日別入力!$AP:$AP,日別入力!$E:$E,設定!$C101,日別入力!$D:$D,設定!N$7,日別入力!$B:$B,設定!$B101)</f>
        <v>0</v>
      </c>
    </row>
    <row r="102" spans="2:14" s="3" customFormat="1" ht="15" customHeight="1" x14ac:dyDescent="0.2">
      <c r="B102" s="76" t="str">
        <f t="shared" si="7"/>
        <v>&lt;=12</v>
      </c>
      <c r="C102" s="25"/>
      <c r="D102" s="7" t="s">
        <v>67</v>
      </c>
      <c r="E102" s="14" t="s">
        <v>67</v>
      </c>
      <c r="F102" s="15" t="s">
        <v>67</v>
      </c>
      <c r="G102" s="16" t="s">
        <v>67</v>
      </c>
      <c r="H102" s="59">
        <f t="shared" si="5"/>
        <v>0</v>
      </c>
      <c r="I102" s="7">
        <f t="shared" si="6"/>
        <v>0</v>
      </c>
      <c r="J102" s="14">
        <f>SUMIFS(日別入力!$AP:$AP,日別入力!$E:$E,設定!$C102,日別入力!$D:$D,設定!J$7,日別入力!$B:$B,設定!$B102)</f>
        <v>0</v>
      </c>
      <c r="K102" s="14">
        <f>SUMIFS(日別入力!$AP:$AP,日別入力!$E:$E,設定!$C102,日別入力!$D:$D,設定!K$7,日別入力!$B:$B,設定!$B102)</f>
        <v>0</v>
      </c>
      <c r="L102" s="14">
        <f>SUMIFS(日別入力!$AP:$AP,日別入力!$E:$E,設定!$C102,日別入力!$D:$D,設定!L$7,日別入力!$B:$B,設定!$B102)</f>
        <v>0</v>
      </c>
      <c r="M102" s="14">
        <f>SUMIFS(日別入力!$AP:$AP,日別入力!$E:$E,設定!$C102,日別入力!$D:$D,設定!M$7,日別入力!$B:$B,設定!$B102)</f>
        <v>0</v>
      </c>
      <c r="N102" s="16">
        <f>SUMIFS(日別入力!$AP:$AP,日別入力!$E:$E,設定!$C102,日別入力!$D:$D,設定!N$7,日別入力!$B:$B,設定!$B102)</f>
        <v>0</v>
      </c>
    </row>
    <row r="103" spans="2:14" s="3" customFormat="1" ht="15" customHeight="1" x14ac:dyDescent="0.2">
      <c r="B103" s="76" t="str">
        <f t="shared" si="7"/>
        <v>&lt;=12</v>
      </c>
      <c r="C103" s="25"/>
      <c r="D103" s="7" t="s">
        <v>67</v>
      </c>
      <c r="E103" s="14" t="s">
        <v>67</v>
      </c>
      <c r="F103" s="15" t="s">
        <v>67</v>
      </c>
      <c r="G103" s="16" t="s">
        <v>67</v>
      </c>
      <c r="H103" s="59">
        <f t="shared" si="5"/>
        <v>0</v>
      </c>
      <c r="I103" s="7">
        <f t="shared" si="6"/>
        <v>0</v>
      </c>
      <c r="J103" s="14">
        <f>SUMIFS(日別入力!$AP:$AP,日別入力!$E:$E,設定!$C103,日別入力!$D:$D,設定!J$7,日別入力!$B:$B,設定!$B103)</f>
        <v>0</v>
      </c>
      <c r="K103" s="14">
        <f>SUMIFS(日別入力!$AP:$AP,日別入力!$E:$E,設定!$C103,日別入力!$D:$D,設定!K$7,日別入力!$B:$B,設定!$B103)</f>
        <v>0</v>
      </c>
      <c r="L103" s="14">
        <f>SUMIFS(日別入力!$AP:$AP,日別入力!$E:$E,設定!$C103,日別入力!$D:$D,設定!L$7,日別入力!$B:$B,設定!$B103)</f>
        <v>0</v>
      </c>
      <c r="M103" s="14">
        <f>SUMIFS(日別入力!$AP:$AP,日別入力!$E:$E,設定!$C103,日別入力!$D:$D,設定!M$7,日別入力!$B:$B,設定!$B103)</f>
        <v>0</v>
      </c>
      <c r="N103" s="16">
        <f>SUMIFS(日別入力!$AP:$AP,日別入力!$E:$E,設定!$C103,日別入力!$D:$D,設定!N$7,日別入力!$B:$B,設定!$B103)</f>
        <v>0</v>
      </c>
    </row>
    <row r="104" spans="2:14" s="3" customFormat="1" ht="15" customHeight="1" x14ac:dyDescent="0.2">
      <c r="B104" s="76" t="str">
        <f t="shared" si="7"/>
        <v>&lt;=12</v>
      </c>
      <c r="C104" s="25"/>
      <c r="D104" s="7" t="s">
        <v>67</v>
      </c>
      <c r="E104" s="14" t="s">
        <v>67</v>
      </c>
      <c r="F104" s="15" t="s">
        <v>67</v>
      </c>
      <c r="G104" s="16" t="s">
        <v>67</v>
      </c>
      <c r="H104" s="59">
        <f t="shared" si="5"/>
        <v>0</v>
      </c>
      <c r="I104" s="7">
        <f t="shared" si="6"/>
        <v>0</v>
      </c>
      <c r="J104" s="14">
        <f>SUMIFS(日別入力!$AP:$AP,日別入力!$E:$E,設定!$C104,日別入力!$D:$D,設定!J$7,日別入力!$B:$B,設定!$B104)</f>
        <v>0</v>
      </c>
      <c r="K104" s="14">
        <f>SUMIFS(日別入力!$AP:$AP,日別入力!$E:$E,設定!$C104,日別入力!$D:$D,設定!K$7,日別入力!$B:$B,設定!$B104)</f>
        <v>0</v>
      </c>
      <c r="L104" s="14">
        <f>SUMIFS(日別入力!$AP:$AP,日別入力!$E:$E,設定!$C104,日別入力!$D:$D,設定!L$7,日別入力!$B:$B,設定!$B104)</f>
        <v>0</v>
      </c>
      <c r="M104" s="14">
        <f>SUMIFS(日別入力!$AP:$AP,日別入力!$E:$E,設定!$C104,日別入力!$D:$D,設定!M$7,日別入力!$B:$B,設定!$B104)</f>
        <v>0</v>
      </c>
      <c r="N104" s="16">
        <f>SUMIFS(日別入力!$AP:$AP,日別入力!$E:$E,設定!$C104,日別入力!$D:$D,設定!N$7,日別入力!$B:$B,設定!$B104)</f>
        <v>0</v>
      </c>
    </row>
    <row r="105" spans="2:14" s="3" customFormat="1" ht="15" customHeight="1" x14ac:dyDescent="0.2">
      <c r="B105" s="76" t="str">
        <f t="shared" si="7"/>
        <v>&lt;=12</v>
      </c>
      <c r="C105" s="25"/>
      <c r="D105" s="7" t="s">
        <v>67</v>
      </c>
      <c r="E105" s="14" t="s">
        <v>67</v>
      </c>
      <c r="F105" s="15" t="s">
        <v>67</v>
      </c>
      <c r="G105" s="16" t="s">
        <v>67</v>
      </c>
      <c r="H105" s="59">
        <f t="shared" ref="H105:H108" si="8">SUM(I105,M105,N105)</f>
        <v>0</v>
      </c>
      <c r="I105" s="7">
        <f t="shared" ref="I105:I108" si="9">SUM(J105:L105)</f>
        <v>0</v>
      </c>
      <c r="J105" s="14">
        <f>SUMIFS(日別入力!$AP:$AP,日別入力!$E:$E,設定!$C105,日別入力!$D:$D,設定!J$7,日別入力!$B:$B,設定!$B105)</f>
        <v>0</v>
      </c>
      <c r="K105" s="14">
        <f>SUMIFS(日別入力!$AP:$AP,日別入力!$E:$E,設定!$C105,日別入力!$D:$D,設定!K$7,日別入力!$B:$B,設定!$B105)</f>
        <v>0</v>
      </c>
      <c r="L105" s="14">
        <f>SUMIFS(日別入力!$AP:$AP,日別入力!$E:$E,設定!$C105,日別入力!$D:$D,設定!L$7,日別入力!$B:$B,設定!$B105)</f>
        <v>0</v>
      </c>
      <c r="M105" s="14">
        <f>SUMIFS(日別入力!$AP:$AP,日別入力!$E:$E,設定!$C105,日別入力!$D:$D,設定!M$7,日別入力!$B:$B,設定!$B105)</f>
        <v>0</v>
      </c>
      <c r="N105" s="16">
        <f>SUMIFS(日別入力!$AP:$AP,日別入力!$E:$E,設定!$C105,日別入力!$D:$D,設定!N$7,日別入力!$B:$B,設定!$B105)</f>
        <v>0</v>
      </c>
    </row>
    <row r="106" spans="2:14" s="3" customFormat="1" ht="15" customHeight="1" x14ac:dyDescent="0.2">
      <c r="B106" s="76" t="str">
        <f t="shared" si="7"/>
        <v>&lt;=12</v>
      </c>
      <c r="C106" s="25"/>
      <c r="D106" s="7" t="s">
        <v>67</v>
      </c>
      <c r="E106" s="14" t="s">
        <v>67</v>
      </c>
      <c r="F106" s="15" t="s">
        <v>67</v>
      </c>
      <c r="G106" s="16" t="s">
        <v>67</v>
      </c>
      <c r="H106" s="59">
        <f t="shared" si="8"/>
        <v>0</v>
      </c>
      <c r="I106" s="7">
        <f t="shared" si="9"/>
        <v>0</v>
      </c>
      <c r="J106" s="14">
        <f>SUMIFS(日別入力!$AP:$AP,日別入力!$E:$E,設定!$C106,日別入力!$D:$D,設定!J$7,日別入力!$B:$B,設定!$B106)</f>
        <v>0</v>
      </c>
      <c r="K106" s="14">
        <f>SUMIFS(日別入力!$AP:$AP,日別入力!$E:$E,設定!$C106,日別入力!$D:$D,設定!K$7,日別入力!$B:$B,設定!$B106)</f>
        <v>0</v>
      </c>
      <c r="L106" s="14">
        <f>SUMIFS(日別入力!$AP:$AP,日別入力!$E:$E,設定!$C106,日別入力!$D:$D,設定!L$7,日別入力!$B:$B,設定!$B106)</f>
        <v>0</v>
      </c>
      <c r="M106" s="14">
        <f>SUMIFS(日別入力!$AP:$AP,日別入力!$E:$E,設定!$C106,日別入力!$D:$D,設定!M$7,日別入力!$B:$B,設定!$B106)</f>
        <v>0</v>
      </c>
      <c r="N106" s="16">
        <f>SUMIFS(日別入力!$AP:$AP,日別入力!$E:$E,設定!$C106,日別入力!$D:$D,設定!N$7,日別入力!$B:$B,設定!$B106)</f>
        <v>0</v>
      </c>
    </row>
    <row r="107" spans="2:14" s="3" customFormat="1" ht="15" customHeight="1" x14ac:dyDescent="0.2">
      <c r="B107" s="76" t="str">
        <f t="shared" si="7"/>
        <v>&lt;=12</v>
      </c>
      <c r="C107" s="25"/>
      <c r="D107" s="7" t="s">
        <v>67</v>
      </c>
      <c r="E107" s="14" t="s">
        <v>67</v>
      </c>
      <c r="F107" s="15" t="s">
        <v>67</v>
      </c>
      <c r="G107" s="16" t="s">
        <v>67</v>
      </c>
      <c r="H107" s="59">
        <f t="shared" si="8"/>
        <v>0</v>
      </c>
      <c r="I107" s="7">
        <f t="shared" si="9"/>
        <v>0</v>
      </c>
      <c r="J107" s="14">
        <f>SUMIFS(日別入力!$AP:$AP,日別入力!$E:$E,設定!$C107,日別入力!$D:$D,設定!J$7,日別入力!$B:$B,設定!$B107)</f>
        <v>0</v>
      </c>
      <c r="K107" s="14">
        <f>SUMIFS(日別入力!$AP:$AP,日別入力!$E:$E,設定!$C107,日別入力!$D:$D,設定!K$7,日別入力!$B:$B,設定!$B107)</f>
        <v>0</v>
      </c>
      <c r="L107" s="14">
        <f>SUMIFS(日別入力!$AP:$AP,日別入力!$E:$E,設定!$C107,日別入力!$D:$D,設定!L$7,日別入力!$B:$B,設定!$B107)</f>
        <v>0</v>
      </c>
      <c r="M107" s="14">
        <f>SUMIFS(日別入力!$AP:$AP,日別入力!$E:$E,設定!$C107,日別入力!$D:$D,設定!M$7,日別入力!$B:$B,設定!$B107)</f>
        <v>0</v>
      </c>
      <c r="N107" s="16">
        <f>SUMIFS(日別入力!$AP:$AP,日別入力!$E:$E,設定!$C107,日別入力!$D:$D,設定!N$7,日別入力!$B:$B,設定!$B107)</f>
        <v>0</v>
      </c>
    </row>
    <row r="108" spans="2:14" s="3" customFormat="1" ht="15" customHeight="1" thickBot="1" x14ac:dyDescent="0.25">
      <c r="B108" s="76" t="str">
        <f t="shared" si="7"/>
        <v>&lt;=12</v>
      </c>
      <c r="C108" s="27"/>
      <c r="D108" s="8" t="s">
        <v>67</v>
      </c>
      <c r="E108" s="17" t="s">
        <v>67</v>
      </c>
      <c r="F108" s="18" t="s">
        <v>67</v>
      </c>
      <c r="G108" s="19" t="s">
        <v>67</v>
      </c>
      <c r="H108" s="60">
        <f t="shared" si="8"/>
        <v>0</v>
      </c>
      <c r="I108" s="8">
        <f t="shared" si="9"/>
        <v>0</v>
      </c>
      <c r="J108" s="17">
        <f>SUMIFS(日別入力!$AP:$AP,日別入力!$E:$E,設定!$C108,日別入力!$D:$D,設定!J$7,日別入力!$B:$B,設定!$B108)</f>
        <v>0</v>
      </c>
      <c r="K108" s="17">
        <f>SUMIFS(日別入力!$AP:$AP,日別入力!$E:$E,設定!$C108,日別入力!$D:$D,設定!K$7,日別入力!$B:$B,設定!$B108)</f>
        <v>0</v>
      </c>
      <c r="L108" s="17">
        <f>SUMIFS(日別入力!$AP:$AP,日別入力!$E:$E,設定!$C108,日別入力!$D:$D,設定!L$7,日別入力!$B:$B,設定!$B108)</f>
        <v>0</v>
      </c>
      <c r="M108" s="17">
        <f>SUMIFS(日別入力!$AP:$AP,日別入力!$E:$E,設定!$C108,日別入力!$D:$D,設定!M$7,日別入力!$B:$B,設定!$B108)</f>
        <v>0</v>
      </c>
      <c r="N108" s="19">
        <f>SUMIFS(日別入力!$AP:$AP,日別入力!$E:$E,設定!$C108,日別入力!$D:$D,設定!N$7,日別入力!$B:$B,設定!$B108)</f>
        <v>0</v>
      </c>
    </row>
    <row r="109" spans="2:14" ht="15" customHeight="1" x14ac:dyDescent="0.2"/>
    <row r="110" spans="2:14" ht="22.5" customHeight="1" x14ac:dyDescent="0.2"/>
    <row r="111" spans="2:14" ht="22.5" customHeight="1" x14ac:dyDescent="0.2"/>
    <row r="112" spans="2:14" ht="22.5" customHeight="1" x14ac:dyDescent="0.2"/>
    <row r="113" ht="22.5" customHeight="1" x14ac:dyDescent="0.2"/>
    <row r="114" ht="22.5" customHeight="1" x14ac:dyDescent="0.2"/>
    <row r="115" ht="22.5" customHeight="1" x14ac:dyDescent="0.2"/>
    <row r="116" ht="22.5" customHeight="1" x14ac:dyDescent="0.2"/>
    <row r="117" ht="22.5" customHeight="1" x14ac:dyDescent="0.2"/>
    <row r="118" ht="22.5" customHeight="1" x14ac:dyDescent="0.2"/>
    <row r="119" ht="22.5" customHeight="1" x14ac:dyDescent="0.2"/>
    <row r="120" ht="22.5" customHeight="1" x14ac:dyDescent="0.2"/>
    <row r="121" ht="22.5" customHeight="1" x14ac:dyDescent="0.2"/>
    <row r="122" ht="22.5" customHeight="1" x14ac:dyDescent="0.2"/>
    <row r="123" ht="22.5" customHeight="1" x14ac:dyDescent="0.2"/>
    <row r="124" ht="22.5" customHeight="1" x14ac:dyDescent="0.2"/>
    <row r="125" ht="22.5" customHeight="1" x14ac:dyDescent="0.2"/>
    <row r="126" ht="22.5" customHeight="1" x14ac:dyDescent="0.2"/>
    <row r="127" ht="22.5" customHeight="1" x14ac:dyDescent="0.2"/>
    <row r="128" ht="22.5" customHeight="1" x14ac:dyDescent="0.2"/>
    <row r="129" ht="22.5" customHeight="1" x14ac:dyDescent="0.2"/>
    <row r="130" ht="22.5" customHeight="1" x14ac:dyDescent="0.2"/>
    <row r="131" ht="22.5" customHeight="1" x14ac:dyDescent="0.2"/>
    <row r="132" ht="22.5" customHeight="1" x14ac:dyDescent="0.2"/>
    <row r="133" ht="22.5" customHeight="1" x14ac:dyDescent="0.2"/>
    <row r="134" ht="22.5" customHeight="1" x14ac:dyDescent="0.2"/>
    <row r="135" ht="22.5" customHeight="1" x14ac:dyDescent="0.2"/>
    <row r="136" ht="22.5" customHeight="1" x14ac:dyDescent="0.2"/>
    <row r="137" ht="22.5" customHeight="1" x14ac:dyDescent="0.2"/>
    <row r="138" ht="22.5" customHeight="1" x14ac:dyDescent="0.2"/>
    <row r="139" ht="22.5" customHeight="1" x14ac:dyDescent="0.2"/>
    <row r="140" ht="22.5" customHeight="1" x14ac:dyDescent="0.2"/>
    <row r="141" ht="22.5" customHeight="1" x14ac:dyDescent="0.2"/>
    <row r="142" ht="22.5" customHeight="1" x14ac:dyDescent="0.2"/>
    <row r="143" ht="22.5" customHeight="1" x14ac:dyDescent="0.2"/>
    <row r="144" ht="22.5" customHeight="1" x14ac:dyDescent="0.2"/>
    <row r="145" ht="22.5" customHeight="1" x14ac:dyDescent="0.2"/>
    <row r="146" ht="22.5" customHeight="1" x14ac:dyDescent="0.2"/>
    <row r="147" ht="22.5" customHeight="1" x14ac:dyDescent="0.2"/>
    <row r="148" ht="22.5" customHeight="1" x14ac:dyDescent="0.2"/>
    <row r="149" ht="22.5" customHeight="1" x14ac:dyDescent="0.2"/>
    <row r="150" ht="22.5" customHeight="1" x14ac:dyDescent="0.2"/>
    <row r="151" ht="22.5" customHeight="1" x14ac:dyDescent="0.2"/>
    <row r="152" ht="22.5" customHeight="1" x14ac:dyDescent="0.2"/>
    <row r="153" ht="22.5" customHeight="1" x14ac:dyDescent="0.2"/>
    <row r="154" ht="22.5" customHeight="1" x14ac:dyDescent="0.2"/>
    <row r="155" ht="22.5" customHeight="1" x14ac:dyDescent="0.2"/>
    <row r="156" ht="22.5" customHeight="1" x14ac:dyDescent="0.2"/>
    <row r="157" ht="22.5" customHeight="1" x14ac:dyDescent="0.2"/>
    <row r="158" ht="22.5" customHeight="1" x14ac:dyDescent="0.2"/>
    <row r="159" ht="22.5" customHeight="1" x14ac:dyDescent="0.2"/>
    <row r="160" ht="22.5" customHeight="1" x14ac:dyDescent="0.2"/>
    <row r="161" ht="22.5" customHeight="1" x14ac:dyDescent="0.2"/>
    <row r="162" ht="22.5" customHeight="1" x14ac:dyDescent="0.2"/>
    <row r="163" ht="22.5" customHeight="1" x14ac:dyDescent="0.2"/>
    <row r="164" ht="22.5" customHeight="1" x14ac:dyDescent="0.2"/>
    <row r="165" ht="22.5" customHeight="1" x14ac:dyDescent="0.2"/>
    <row r="166" ht="22.5" customHeight="1" x14ac:dyDescent="0.2"/>
    <row r="167" ht="22.5" customHeight="1" x14ac:dyDescent="0.2"/>
    <row r="168" ht="22.5" customHeight="1" x14ac:dyDescent="0.2"/>
    <row r="169" ht="22.5" customHeight="1" x14ac:dyDescent="0.2"/>
    <row r="170" ht="22.5" customHeight="1" x14ac:dyDescent="0.2"/>
    <row r="171" ht="22.5" customHeight="1" x14ac:dyDescent="0.2"/>
    <row r="172" ht="22.5" customHeight="1" x14ac:dyDescent="0.2"/>
    <row r="173" ht="22.5" customHeight="1" x14ac:dyDescent="0.2"/>
    <row r="174" ht="22.5" customHeight="1" x14ac:dyDescent="0.2"/>
    <row r="175" ht="22.5" customHeight="1" x14ac:dyDescent="0.2"/>
    <row r="176" ht="22.5" customHeight="1" x14ac:dyDescent="0.2"/>
    <row r="177" ht="22.5" customHeight="1" x14ac:dyDescent="0.2"/>
    <row r="178" ht="22.5" customHeight="1" x14ac:dyDescent="0.2"/>
    <row r="179" ht="22.5" customHeight="1" x14ac:dyDescent="0.2"/>
    <row r="180" ht="22.5" customHeight="1" x14ac:dyDescent="0.2"/>
    <row r="181" ht="22.5" customHeight="1" x14ac:dyDescent="0.2"/>
    <row r="182" ht="22.5" customHeight="1" x14ac:dyDescent="0.2"/>
    <row r="183" ht="22.5" customHeight="1" x14ac:dyDescent="0.2"/>
    <row r="184" ht="22.5" customHeight="1" x14ac:dyDescent="0.2"/>
    <row r="185" ht="22.5" customHeight="1" x14ac:dyDescent="0.2"/>
    <row r="186" ht="22.5" customHeight="1" x14ac:dyDescent="0.2"/>
    <row r="187" ht="22.5" customHeight="1" x14ac:dyDescent="0.2"/>
    <row r="188" ht="22.5" customHeight="1" x14ac:dyDescent="0.2"/>
    <row r="189" ht="22.5" customHeight="1" x14ac:dyDescent="0.2"/>
    <row r="190" ht="22.5" customHeight="1" x14ac:dyDescent="0.2"/>
    <row r="191" ht="22.5" customHeight="1" x14ac:dyDescent="0.2"/>
    <row r="192" ht="22.5" customHeight="1" x14ac:dyDescent="0.2"/>
    <row r="193" ht="22.5" customHeight="1" x14ac:dyDescent="0.2"/>
    <row r="194" ht="22.5" customHeight="1" x14ac:dyDescent="0.2"/>
    <row r="195" ht="22.5" customHeight="1" x14ac:dyDescent="0.2"/>
    <row r="196" ht="22.5" customHeight="1" x14ac:dyDescent="0.2"/>
    <row r="197" ht="22.5" customHeight="1" x14ac:dyDescent="0.2"/>
    <row r="198" ht="22.5" customHeight="1" x14ac:dyDescent="0.2"/>
    <row r="199" ht="22.5" customHeight="1" x14ac:dyDescent="0.2"/>
    <row r="200" ht="22.5" customHeight="1" x14ac:dyDescent="0.2"/>
    <row r="201" ht="22.5" customHeight="1" x14ac:dyDescent="0.2"/>
    <row r="202" ht="22.5" customHeight="1" x14ac:dyDescent="0.2"/>
    <row r="203" ht="22.5" customHeight="1" x14ac:dyDescent="0.2"/>
    <row r="204" ht="22.5" customHeight="1" x14ac:dyDescent="0.2"/>
    <row r="205" ht="22.5" customHeight="1" x14ac:dyDescent="0.2"/>
    <row r="206" ht="22.5" customHeight="1" x14ac:dyDescent="0.2"/>
    <row r="207" ht="22.5" customHeight="1" x14ac:dyDescent="0.2"/>
    <row r="208" ht="22.5" customHeight="1" x14ac:dyDescent="0.2"/>
    <row r="209" ht="22.5" customHeight="1" x14ac:dyDescent="0.2"/>
    <row r="210" ht="22.5" customHeight="1" x14ac:dyDescent="0.2"/>
    <row r="211" ht="22.5" customHeight="1" x14ac:dyDescent="0.2"/>
    <row r="212" ht="22.5" customHeight="1" x14ac:dyDescent="0.2"/>
    <row r="213" ht="22.5" customHeight="1" x14ac:dyDescent="0.2"/>
    <row r="214" ht="22.5" customHeight="1" x14ac:dyDescent="0.2"/>
    <row r="215" ht="22.5" customHeight="1" x14ac:dyDescent="0.2"/>
    <row r="216" ht="22.5" customHeight="1" x14ac:dyDescent="0.2"/>
    <row r="217" ht="22.5" customHeight="1" x14ac:dyDescent="0.2"/>
    <row r="218" ht="22.5" customHeight="1" x14ac:dyDescent="0.2"/>
    <row r="219" ht="22.5" customHeight="1" x14ac:dyDescent="0.2"/>
    <row r="220" ht="22.5" customHeight="1" x14ac:dyDescent="0.2"/>
    <row r="221" ht="22.5" customHeight="1" x14ac:dyDescent="0.2"/>
    <row r="222" ht="22.5" customHeight="1" x14ac:dyDescent="0.2"/>
    <row r="223" ht="22.5" customHeight="1" x14ac:dyDescent="0.2"/>
    <row r="224" ht="22.5" customHeight="1" x14ac:dyDescent="0.2"/>
    <row r="225" ht="22.5" customHeight="1" x14ac:dyDescent="0.2"/>
    <row r="226" ht="22.5" customHeight="1" x14ac:dyDescent="0.2"/>
    <row r="227" ht="22.5" customHeight="1" x14ac:dyDescent="0.2"/>
    <row r="228" ht="22.5" customHeight="1" x14ac:dyDescent="0.2"/>
    <row r="229" ht="22.5" customHeight="1" x14ac:dyDescent="0.2"/>
    <row r="230" ht="22.5" customHeight="1" x14ac:dyDescent="0.2"/>
    <row r="231" ht="22.5" customHeight="1" x14ac:dyDescent="0.2"/>
    <row r="232" ht="22.5" customHeight="1" x14ac:dyDescent="0.2"/>
    <row r="233" ht="22.5" customHeight="1" x14ac:dyDescent="0.2"/>
    <row r="234" ht="22.5" customHeight="1" x14ac:dyDescent="0.2"/>
    <row r="235" ht="22.5" customHeight="1" x14ac:dyDescent="0.2"/>
    <row r="236" ht="22.5" customHeight="1" x14ac:dyDescent="0.2"/>
    <row r="237" ht="22.5" customHeight="1" x14ac:dyDescent="0.2"/>
    <row r="238" ht="22.5" customHeight="1" x14ac:dyDescent="0.2"/>
    <row r="239" ht="22.5" customHeight="1" x14ac:dyDescent="0.2"/>
    <row r="240" ht="22.5" customHeight="1" x14ac:dyDescent="0.2"/>
    <row r="241" ht="22.5" customHeight="1" x14ac:dyDescent="0.2"/>
    <row r="242" ht="22.5" customHeight="1" x14ac:dyDescent="0.2"/>
    <row r="243" ht="22.5" customHeight="1" x14ac:dyDescent="0.2"/>
    <row r="244" ht="22.5" customHeight="1" x14ac:dyDescent="0.2"/>
    <row r="245" ht="22.5" customHeight="1" x14ac:dyDescent="0.2"/>
    <row r="246" ht="22.5" customHeight="1" x14ac:dyDescent="0.2"/>
    <row r="247" ht="22.5" customHeight="1" x14ac:dyDescent="0.2"/>
    <row r="248" ht="22.5" customHeight="1" x14ac:dyDescent="0.2"/>
    <row r="249" ht="22.5" customHeight="1" x14ac:dyDescent="0.2"/>
    <row r="250" ht="22.5" customHeight="1" x14ac:dyDescent="0.2"/>
    <row r="251" ht="22.5" customHeight="1" x14ac:dyDescent="0.2"/>
    <row r="252" ht="22.5" customHeight="1" x14ac:dyDescent="0.2"/>
    <row r="253" ht="22.5" customHeight="1" x14ac:dyDescent="0.2"/>
    <row r="254" ht="22.5" customHeight="1" x14ac:dyDescent="0.2"/>
    <row r="255" ht="22.5" customHeight="1" x14ac:dyDescent="0.2"/>
    <row r="256" ht="22.5" customHeight="1" x14ac:dyDescent="0.2"/>
    <row r="257" ht="22.5" customHeight="1" x14ac:dyDescent="0.2"/>
    <row r="258" ht="22.5" customHeight="1" x14ac:dyDescent="0.2"/>
    <row r="259" ht="22.5" customHeight="1" x14ac:dyDescent="0.2"/>
    <row r="260" ht="22.5" customHeight="1" x14ac:dyDescent="0.2"/>
    <row r="261" ht="22.5" customHeight="1" x14ac:dyDescent="0.2"/>
    <row r="262" ht="22.5" customHeight="1" x14ac:dyDescent="0.2"/>
    <row r="263" ht="22.5" customHeight="1" x14ac:dyDescent="0.2"/>
    <row r="264" ht="22.5" customHeight="1" x14ac:dyDescent="0.2"/>
    <row r="265" ht="22.5" customHeight="1" x14ac:dyDescent="0.2"/>
    <row r="266" ht="22.5" customHeight="1" x14ac:dyDescent="0.2"/>
    <row r="267" ht="22.5" customHeight="1" x14ac:dyDescent="0.2"/>
    <row r="268" ht="22.5" customHeight="1" x14ac:dyDescent="0.2"/>
    <row r="269" ht="22.5" customHeight="1" x14ac:dyDescent="0.2"/>
    <row r="270" ht="22.5" customHeight="1" x14ac:dyDescent="0.2"/>
    <row r="271" ht="22.5" customHeight="1" x14ac:dyDescent="0.2"/>
    <row r="272" ht="22.5" customHeight="1" x14ac:dyDescent="0.2"/>
    <row r="273" ht="22.5" customHeight="1" x14ac:dyDescent="0.2"/>
    <row r="274" ht="22.5" customHeight="1" x14ac:dyDescent="0.2"/>
    <row r="275" ht="22.5" customHeight="1" x14ac:dyDescent="0.2"/>
    <row r="276" ht="22.5" customHeight="1" x14ac:dyDescent="0.2"/>
    <row r="277" ht="22.5" customHeight="1" x14ac:dyDescent="0.2"/>
    <row r="278" ht="22.5" customHeight="1" x14ac:dyDescent="0.2"/>
    <row r="279" ht="22.5" customHeight="1" x14ac:dyDescent="0.2"/>
    <row r="280" ht="22.5" customHeight="1" x14ac:dyDescent="0.2"/>
    <row r="281" ht="22.5" customHeight="1" x14ac:dyDescent="0.2"/>
    <row r="282" ht="22.5" customHeight="1" x14ac:dyDescent="0.2"/>
    <row r="283" ht="22.5" customHeight="1" x14ac:dyDescent="0.2"/>
    <row r="284" ht="22.5" customHeight="1" x14ac:dyDescent="0.2"/>
    <row r="285" ht="22.5" customHeight="1" x14ac:dyDescent="0.2"/>
    <row r="286" ht="22.5" customHeight="1" x14ac:dyDescent="0.2"/>
    <row r="287" ht="22.5" customHeight="1" x14ac:dyDescent="0.2"/>
    <row r="288" ht="22.5" customHeight="1" x14ac:dyDescent="0.2"/>
    <row r="289" ht="22.5" customHeight="1" x14ac:dyDescent="0.2"/>
    <row r="290" ht="22.5" customHeight="1" x14ac:dyDescent="0.2"/>
    <row r="291" ht="22.5" customHeight="1" x14ac:dyDescent="0.2"/>
    <row r="292" ht="22.5" customHeight="1" x14ac:dyDescent="0.2"/>
    <row r="293" ht="22.5" customHeight="1" x14ac:dyDescent="0.2"/>
    <row r="294" ht="22.5" customHeight="1" x14ac:dyDescent="0.2"/>
    <row r="295" ht="22.5" customHeight="1" x14ac:dyDescent="0.2"/>
    <row r="296" ht="22.5" customHeight="1" x14ac:dyDescent="0.2"/>
    <row r="297" ht="22.5" customHeight="1" x14ac:dyDescent="0.2"/>
    <row r="298" ht="22.5" customHeight="1" x14ac:dyDescent="0.2"/>
    <row r="299" ht="22.5" customHeight="1" x14ac:dyDescent="0.2"/>
    <row r="300" ht="22.5" customHeight="1" x14ac:dyDescent="0.2"/>
    <row r="301" ht="22.5" customHeight="1" x14ac:dyDescent="0.2"/>
    <row r="302" ht="22.5" customHeight="1" x14ac:dyDescent="0.2"/>
    <row r="303" ht="22.5" customHeight="1" x14ac:dyDescent="0.2"/>
    <row r="304" ht="22.5" customHeight="1" x14ac:dyDescent="0.2"/>
    <row r="305" ht="22.5" customHeight="1" x14ac:dyDescent="0.2"/>
    <row r="306" ht="22.5" customHeight="1" x14ac:dyDescent="0.2"/>
    <row r="307" ht="22.5" customHeight="1" x14ac:dyDescent="0.2"/>
    <row r="308" ht="22.5" customHeight="1" x14ac:dyDescent="0.2"/>
    <row r="309" ht="22.5" customHeight="1" x14ac:dyDescent="0.2"/>
    <row r="310" ht="22.5" customHeight="1" x14ac:dyDescent="0.2"/>
    <row r="311" ht="22.5" customHeight="1" x14ac:dyDescent="0.2"/>
    <row r="312" ht="22.5" customHeight="1" x14ac:dyDescent="0.2"/>
    <row r="313" ht="22.5" customHeight="1" x14ac:dyDescent="0.2"/>
    <row r="314" ht="22.5" customHeight="1" x14ac:dyDescent="0.2"/>
    <row r="315" ht="22.5" customHeight="1" x14ac:dyDescent="0.2"/>
    <row r="316" ht="22.5" customHeight="1" x14ac:dyDescent="0.2"/>
    <row r="317" ht="22.5" customHeight="1" x14ac:dyDescent="0.2"/>
    <row r="318" ht="22.5" customHeight="1" x14ac:dyDescent="0.2"/>
    <row r="319" ht="22.5" customHeight="1" x14ac:dyDescent="0.2"/>
    <row r="320" ht="22.5" customHeight="1" x14ac:dyDescent="0.2"/>
    <row r="321" ht="22.5" customHeight="1" x14ac:dyDescent="0.2"/>
    <row r="322" ht="22.5" customHeight="1" x14ac:dyDescent="0.2"/>
    <row r="323" ht="22.5" customHeight="1" x14ac:dyDescent="0.2"/>
    <row r="324" ht="22.5" customHeight="1" x14ac:dyDescent="0.2"/>
    <row r="325" ht="22.5" customHeight="1" x14ac:dyDescent="0.2"/>
    <row r="326" ht="22.5" customHeight="1" x14ac:dyDescent="0.2"/>
    <row r="327" ht="22.5" customHeight="1" x14ac:dyDescent="0.2"/>
    <row r="328" ht="22.5" customHeight="1" x14ac:dyDescent="0.2"/>
    <row r="329" ht="22.5" customHeight="1" x14ac:dyDescent="0.2"/>
    <row r="330" ht="22.5" customHeight="1" x14ac:dyDescent="0.2"/>
    <row r="331" ht="22.5" customHeight="1" x14ac:dyDescent="0.2"/>
    <row r="332" ht="22.5" customHeight="1" x14ac:dyDescent="0.2"/>
    <row r="333" ht="22.5" customHeight="1" x14ac:dyDescent="0.2"/>
    <row r="334" ht="22.5" customHeight="1" x14ac:dyDescent="0.2"/>
    <row r="335" ht="22.5" customHeight="1" x14ac:dyDescent="0.2"/>
    <row r="336" ht="22.5" customHeight="1" x14ac:dyDescent="0.2"/>
    <row r="337" ht="22.5" customHeight="1" x14ac:dyDescent="0.2"/>
    <row r="338" ht="22.5" customHeight="1" x14ac:dyDescent="0.2"/>
    <row r="339" ht="22.5" customHeight="1" x14ac:dyDescent="0.2"/>
    <row r="340" ht="22.5" customHeight="1" x14ac:dyDescent="0.2"/>
    <row r="341" ht="22.5" customHeight="1" x14ac:dyDescent="0.2"/>
    <row r="342" ht="22.5" customHeight="1" x14ac:dyDescent="0.2"/>
    <row r="343" ht="22.5" customHeight="1" x14ac:dyDescent="0.2"/>
    <row r="344" ht="22.5" customHeight="1" x14ac:dyDescent="0.2"/>
    <row r="345" ht="22.5" customHeight="1" x14ac:dyDescent="0.2"/>
    <row r="346" ht="22.5" customHeight="1" x14ac:dyDescent="0.2"/>
    <row r="347" ht="22.5" customHeight="1" x14ac:dyDescent="0.2"/>
    <row r="348" ht="22.5" customHeight="1" x14ac:dyDescent="0.2"/>
    <row r="349" ht="22.5" customHeight="1" x14ac:dyDescent="0.2"/>
    <row r="350" ht="22.5" customHeight="1" x14ac:dyDescent="0.2"/>
    <row r="351" ht="22.5" customHeight="1" x14ac:dyDescent="0.2"/>
    <row r="352" ht="22.5" customHeight="1" x14ac:dyDescent="0.2"/>
    <row r="353" ht="22.5" customHeight="1" x14ac:dyDescent="0.2"/>
    <row r="354" ht="22.5" customHeight="1" x14ac:dyDescent="0.2"/>
    <row r="355" ht="22.5" customHeight="1" x14ac:dyDescent="0.2"/>
    <row r="356" ht="22.5" customHeight="1" x14ac:dyDescent="0.2"/>
    <row r="357" ht="22.5" customHeight="1" x14ac:dyDescent="0.2"/>
    <row r="358" ht="22.5" customHeight="1" x14ac:dyDescent="0.2"/>
    <row r="359" ht="22.5" customHeight="1" x14ac:dyDescent="0.2"/>
    <row r="360" ht="22.5" customHeight="1" x14ac:dyDescent="0.2"/>
    <row r="361" ht="22.5" customHeight="1" x14ac:dyDescent="0.2"/>
    <row r="362" ht="22.5" customHeight="1" x14ac:dyDescent="0.2"/>
    <row r="363" ht="22.5" customHeight="1" x14ac:dyDescent="0.2"/>
    <row r="364" ht="22.5" customHeight="1" x14ac:dyDescent="0.2"/>
    <row r="365" ht="22.5" customHeight="1" x14ac:dyDescent="0.2"/>
    <row r="366" ht="22.5" customHeight="1" x14ac:dyDescent="0.2"/>
    <row r="367" ht="22.5" customHeight="1" x14ac:dyDescent="0.2"/>
    <row r="368" ht="22.5" customHeight="1" x14ac:dyDescent="0.2"/>
    <row r="369" ht="22.5" customHeight="1" x14ac:dyDescent="0.2"/>
    <row r="370" ht="22.5" customHeight="1" x14ac:dyDescent="0.2"/>
    <row r="371" ht="22.5" customHeight="1" x14ac:dyDescent="0.2"/>
    <row r="372" ht="22.5" customHeight="1" x14ac:dyDescent="0.2"/>
    <row r="373" ht="22.5" customHeight="1" x14ac:dyDescent="0.2"/>
    <row r="374" ht="22.5" customHeight="1" x14ac:dyDescent="0.2"/>
    <row r="375" ht="22.5" customHeight="1" x14ac:dyDescent="0.2"/>
    <row r="376" ht="22.5" customHeight="1" x14ac:dyDescent="0.2"/>
    <row r="377" ht="22.5" customHeight="1" x14ac:dyDescent="0.2"/>
    <row r="378" ht="22.5" customHeight="1" x14ac:dyDescent="0.2"/>
    <row r="379" ht="22.5" customHeight="1" x14ac:dyDescent="0.2"/>
    <row r="380" ht="22.5" customHeight="1" x14ac:dyDescent="0.2"/>
    <row r="381" ht="22.5" customHeight="1" x14ac:dyDescent="0.2"/>
    <row r="382" ht="22.5" customHeight="1" x14ac:dyDescent="0.2"/>
    <row r="383" ht="22.5" customHeight="1" x14ac:dyDescent="0.2"/>
    <row r="384" ht="22.5" customHeight="1" x14ac:dyDescent="0.2"/>
    <row r="385" ht="22.5" customHeight="1" x14ac:dyDescent="0.2"/>
    <row r="386" ht="22.5" customHeight="1" x14ac:dyDescent="0.2"/>
    <row r="387" ht="22.5" customHeight="1" x14ac:dyDescent="0.2"/>
    <row r="388" ht="22.5" customHeight="1" x14ac:dyDescent="0.2"/>
    <row r="389" ht="22.5" customHeight="1" x14ac:dyDescent="0.2"/>
    <row r="390" ht="22.5" customHeight="1" x14ac:dyDescent="0.2"/>
    <row r="391" ht="22.5" customHeight="1" x14ac:dyDescent="0.2"/>
    <row r="392" ht="22.5" customHeight="1" x14ac:dyDescent="0.2"/>
    <row r="393" ht="22.5" customHeight="1" x14ac:dyDescent="0.2"/>
    <row r="394" ht="22.5" customHeight="1" x14ac:dyDescent="0.2"/>
    <row r="395" ht="22.5" customHeight="1" x14ac:dyDescent="0.2"/>
    <row r="396" ht="22.5" customHeight="1" x14ac:dyDescent="0.2"/>
    <row r="397" ht="22.5" customHeight="1" x14ac:dyDescent="0.2"/>
    <row r="398" ht="22.5" customHeight="1" x14ac:dyDescent="0.2"/>
    <row r="399" ht="22.5" customHeight="1" x14ac:dyDescent="0.2"/>
    <row r="400" ht="22.5" customHeight="1" x14ac:dyDescent="0.2"/>
    <row r="401" ht="22.5" customHeight="1" x14ac:dyDescent="0.2"/>
    <row r="402" ht="22.5" customHeight="1" x14ac:dyDescent="0.2"/>
    <row r="403" ht="22.5" customHeight="1" x14ac:dyDescent="0.2"/>
    <row r="404" ht="22.5" customHeight="1" x14ac:dyDescent="0.2"/>
    <row r="405" ht="22.5" customHeight="1" x14ac:dyDescent="0.2"/>
    <row r="406" ht="22.5" customHeight="1" x14ac:dyDescent="0.2"/>
    <row r="407" ht="22.5" customHeight="1" x14ac:dyDescent="0.2"/>
    <row r="408" ht="22.5" customHeight="1" x14ac:dyDescent="0.2"/>
    <row r="409" ht="22.5" customHeight="1" x14ac:dyDescent="0.2"/>
    <row r="410" ht="22.5" customHeight="1" x14ac:dyDescent="0.2"/>
    <row r="411" ht="22.5" customHeight="1" x14ac:dyDescent="0.2"/>
    <row r="412" ht="22.5" customHeight="1" x14ac:dyDescent="0.2"/>
    <row r="413" ht="22.5" customHeight="1" x14ac:dyDescent="0.2"/>
    <row r="414" ht="22.5" customHeight="1" x14ac:dyDescent="0.2"/>
    <row r="415" ht="22.5" customHeight="1" x14ac:dyDescent="0.2"/>
    <row r="416" ht="22.5" customHeight="1" x14ac:dyDescent="0.2"/>
    <row r="417" ht="22.5" customHeight="1" x14ac:dyDescent="0.2"/>
    <row r="418" ht="22.5" customHeight="1" x14ac:dyDescent="0.2"/>
    <row r="419" ht="22.5" customHeight="1" x14ac:dyDescent="0.2"/>
    <row r="420" ht="22.5" customHeight="1" x14ac:dyDescent="0.2"/>
    <row r="421" ht="22.5" customHeight="1" x14ac:dyDescent="0.2"/>
    <row r="422" ht="22.5" customHeight="1" x14ac:dyDescent="0.2"/>
    <row r="423" ht="22.5" customHeight="1" x14ac:dyDescent="0.2"/>
    <row r="424" ht="22.5" customHeight="1" x14ac:dyDescent="0.2"/>
    <row r="425" ht="22.5" customHeight="1" x14ac:dyDescent="0.2"/>
    <row r="426" ht="22.5" customHeight="1" x14ac:dyDescent="0.2"/>
    <row r="427" ht="22.5" customHeight="1" x14ac:dyDescent="0.2"/>
    <row r="428" ht="22.5" customHeight="1" x14ac:dyDescent="0.2"/>
    <row r="429" ht="22.5" customHeight="1" x14ac:dyDescent="0.2"/>
    <row r="430" ht="22.5" customHeight="1" x14ac:dyDescent="0.2"/>
    <row r="431" ht="22.5" customHeight="1" x14ac:dyDescent="0.2"/>
    <row r="432" ht="22.5" customHeight="1" x14ac:dyDescent="0.2"/>
    <row r="433" ht="22.5" customHeight="1" x14ac:dyDescent="0.2"/>
    <row r="434" ht="22.5" customHeight="1" x14ac:dyDescent="0.2"/>
    <row r="435" ht="22.5" customHeight="1" x14ac:dyDescent="0.2"/>
    <row r="436" ht="22.5" customHeight="1" x14ac:dyDescent="0.2"/>
    <row r="437" ht="22.5" customHeight="1" x14ac:dyDescent="0.2"/>
    <row r="438" ht="22.5" customHeight="1" x14ac:dyDescent="0.2"/>
    <row r="439" ht="22.5" customHeight="1" x14ac:dyDescent="0.2"/>
    <row r="440" ht="22.5" customHeight="1" x14ac:dyDescent="0.2"/>
    <row r="441" ht="22.5" customHeight="1" x14ac:dyDescent="0.2"/>
    <row r="442" ht="22.5" customHeight="1" x14ac:dyDescent="0.2"/>
    <row r="443" ht="22.5" customHeight="1" x14ac:dyDescent="0.2"/>
    <row r="444" ht="22.5" customHeight="1" x14ac:dyDescent="0.2"/>
    <row r="445" ht="22.5" customHeight="1" x14ac:dyDescent="0.2"/>
    <row r="446" ht="22.5" customHeight="1" x14ac:dyDescent="0.2"/>
    <row r="447" ht="22.5" customHeight="1" x14ac:dyDescent="0.2"/>
    <row r="448" ht="22.5" customHeight="1" x14ac:dyDescent="0.2"/>
    <row r="449" ht="22.5" customHeight="1" x14ac:dyDescent="0.2"/>
    <row r="450" ht="22.5" customHeight="1" x14ac:dyDescent="0.2"/>
    <row r="451" ht="22.5" customHeight="1" x14ac:dyDescent="0.2"/>
    <row r="452" ht="22.5" customHeight="1" x14ac:dyDescent="0.2"/>
    <row r="453" ht="22.5" customHeight="1" x14ac:dyDescent="0.2"/>
    <row r="454" ht="22.5" customHeight="1" x14ac:dyDescent="0.2"/>
    <row r="455" ht="22.5" customHeight="1" x14ac:dyDescent="0.2"/>
    <row r="456" ht="22.5" customHeight="1" x14ac:dyDescent="0.2"/>
    <row r="457" ht="22.5" customHeight="1" x14ac:dyDescent="0.2"/>
    <row r="458" ht="22.5" customHeight="1" x14ac:dyDescent="0.2"/>
    <row r="459" ht="22.5" customHeight="1" x14ac:dyDescent="0.2"/>
    <row r="460" ht="22.5" customHeight="1" x14ac:dyDescent="0.2"/>
    <row r="461" ht="22.5" customHeight="1" x14ac:dyDescent="0.2"/>
    <row r="462" ht="22.5" customHeight="1" x14ac:dyDescent="0.2"/>
    <row r="463" ht="22.5" customHeight="1" x14ac:dyDescent="0.2"/>
    <row r="464" ht="22.5" customHeight="1" x14ac:dyDescent="0.2"/>
    <row r="465" ht="22.5" customHeight="1" x14ac:dyDescent="0.2"/>
    <row r="466" ht="22.5" customHeight="1" x14ac:dyDescent="0.2"/>
    <row r="467" ht="22.5" customHeight="1" x14ac:dyDescent="0.2"/>
    <row r="468" ht="22.5" customHeight="1" x14ac:dyDescent="0.2"/>
    <row r="469" ht="22.5" customHeight="1" x14ac:dyDescent="0.2"/>
    <row r="470" ht="22.5" customHeight="1" x14ac:dyDescent="0.2"/>
    <row r="471" ht="22.5" customHeight="1" x14ac:dyDescent="0.2"/>
    <row r="472" ht="22.5" customHeight="1" x14ac:dyDescent="0.2"/>
    <row r="473" ht="22.5" customHeight="1" x14ac:dyDescent="0.2"/>
    <row r="474" ht="22.5" customHeight="1" x14ac:dyDescent="0.2"/>
    <row r="475" ht="22.5" customHeight="1" x14ac:dyDescent="0.2"/>
    <row r="476" ht="22.5" customHeight="1" x14ac:dyDescent="0.2"/>
    <row r="477" ht="22.5" customHeight="1" x14ac:dyDescent="0.2"/>
    <row r="478" ht="22.5" customHeight="1" x14ac:dyDescent="0.2"/>
    <row r="479" ht="22.5" customHeight="1" x14ac:dyDescent="0.2"/>
    <row r="480" ht="22.5" customHeight="1" x14ac:dyDescent="0.2"/>
    <row r="481" ht="22.5" customHeight="1" x14ac:dyDescent="0.2"/>
    <row r="482" ht="22.5" customHeight="1" x14ac:dyDescent="0.2"/>
    <row r="483" ht="22.5" customHeight="1" x14ac:dyDescent="0.2"/>
    <row r="484" ht="22.5" customHeight="1" x14ac:dyDescent="0.2"/>
    <row r="485" ht="22.5" customHeight="1" x14ac:dyDescent="0.2"/>
    <row r="486" ht="22.5" customHeight="1" x14ac:dyDescent="0.2"/>
    <row r="487" ht="22.5" customHeight="1" x14ac:dyDescent="0.2"/>
    <row r="488" ht="22.5" customHeight="1" x14ac:dyDescent="0.2"/>
    <row r="489" ht="22.5" customHeight="1" x14ac:dyDescent="0.2"/>
    <row r="490" ht="22.5" customHeight="1" x14ac:dyDescent="0.2"/>
    <row r="491" ht="22.5" customHeight="1" x14ac:dyDescent="0.2"/>
    <row r="492" ht="22.5" customHeight="1" x14ac:dyDescent="0.2"/>
    <row r="493" ht="22.5" customHeight="1" x14ac:dyDescent="0.2"/>
    <row r="494" ht="22.5" customHeight="1" x14ac:dyDescent="0.2"/>
    <row r="495" ht="22.5" customHeight="1" x14ac:dyDescent="0.2"/>
    <row r="496" ht="22.5" customHeight="1" x14ac:dyDescent="0.2"/>
    <row r="497" ht="22.5" customHeight="1" x14ac:dyDescent="0.2"/>
    <row r="498" ht="22.5" customHeight="1" x14ac:dyDescent="0.2"/>
    <row r="499" ht="22.5" customHeight="1" x14ac:dyDescent="0.2"/>
    <row r="500" ht="22.5" customHeight="1" x14ac:dyDescent="0.2"/>
    <row r="501" ht="22.5" customHeight="1" x14ac:dyDescent="0.2"/>
    <row r="502" ht="22.5" customHeight="1" x14ac:dyDescent="0.2"/>
    <row r="503" ht="22.5" customHeight="1" x14ac:dyDescent="0.2"/>
    <row r="504" ht="22.5" customHeight="1" x14ac:dyDescent="0.2"/>
    <row r="505" ht="22.5" customHeight="1" x14ac:dyDescent="0.2"/>
    <row r="506" ht="22.5" customHeight="1" x14ac:dyDescent="0.2"/>
    <row r="507" ht="22.5" customHeight="1" x14ac:dyDescent="0.2"/>
    <row r="508" ht="22.5" customHeight="1" x14ac:dyDescent="0.2"/>
    <row r="509" ht="22.5" customHeight="1" x14ac:dyDescent="0.2"/>
    <row r="510" ht="22.5" customHeight="1" x14ac:dyDescent="0.2"/>
    <row r="511" ht="22.5" customHeight="1" x14ac:dyDescent="0.2"/>
    <row r="512" ht="22.5" customHeight="1" x14ac:dyDescent="0.2"/>
    <row r="513" ht="22.5" customHeight="1" x14ac:dyDescent="0.2"/>
    <row r="514" ht="22.5" customHeight="1" x14ac:dyDescent="0.2"/>
    <row r="515" ht="22.5" customHeight="1" x14ac:dyDescent="0.2"/>
    <row r="516" ht="22.5" customHeight="1" x14ac:dyDescent="0.2"/>
    <row r="517" ht="22.5" customHeight="1" x14ac:dyDescent="0.2"/>
    <row r="518" ht="22.5" customHeight="1" x14ac:dyDescent="0.2"/>
    <row r="519" ht="22.5" customHeight="1" x14ac:dyDescent="0.2"/>
    <row r="520" ht="22.5" customHeight="1" x14ac:dyDescent="0.2"/>
    <row r="521" ht="22.5" customHeight="1" x14ac:dyDescent="0.2"/>
    <row r="522" ht="22.5" customHeight="1" x14ac:dyDescent="0.2"/>
    <row r="523" ht="22.5" customHeight="1" x14ac:dyDescent="0.2"/>
    <row r="524" ht="22.5" customHeight="1" x14ac:dyDescent="0.2"/>
    <row r="525" ht="22.5" customHeight="1" x14ac:dyDescent="0.2"/>
    <row r="526" ht="22.5" customHeight="1" x14ac:dyDescent="0.2"/>
    <row r="527" ht="22.5" customHeight="1" x14ac:dyDescent="0.2"/>
    <row r="528" ht="22.5" customHeight="1" x14ac:dyDescent="0.2"/>
    <row r="529" ht="22.5" customHeight="1" x14ac:dyDescent="0.2"/>
    <row r="530" ht="22.5" customHeight="1" x14ac:dyDescent="0.2"/>
    <row r="531" ht="22.5" customHeight="1" x14ac:dyDescent="0.2"/>
    <row r="532" ht="22.5" customHeight="1" x14ac:dyDescent="0.2"/>
    <row r="533" ht="22.5" customHeight="1" x14ac:dyDescent="0.2"/>
    <row r="534" ht="22.5" customHeight="1" x14ac:dyDescent="0.2"/>
    <row r="535" ht="22.5" customHeight="1" x14ac:dyDescent="0.2"/>
    <row r="536" ht="22.5" customHeight="1" x14ac:dyDescent="0.2"/>
    <row r="537" ht="22.5" customHeight="1" x14ac:dyDescent="0.2"/>
    <row r="538" ht="22.5" customHeight="1" x14ac:dyDescent="0.2"/>
    <row r="539" ht="22.5" customHeight="1" x14ac:dyDescent="0.2"/>
    <row r="540" ht="22.5" customHeight="1" x14ac:dyDescent="0.2"/>
    <row r="541" ht="22.5" customHeight="1" x14ac:dyDescent="0.2"/>
    <row r="542" ht="22.5" customHeight="1" x14ac:dyDescent="0.2"/>
    <row r="543" ht="22.5" customHeight="1" x14ac:dyDescent="0.2"/>
    <row r="544" ht="22.5" customHeight="1" x14ac:dyDescent="0.2"/>
    <row r="545" ht="22.5" customHeight="1" x14ac:dyDescent="0.2"/>
    <row r="546" ht="22.5" customHeight="1" x14ac:dyDescent="0.2"/>
    <row r="547" ht="22.5" customHeight="1" x14ac:dyDescent="0.2"/>
    <row r="548" ht="22.5" customHeight="1" x14ac:dyDescent="0.2"/>
    <row r="549" ht="22.5" customHeight="1" x14ac:dyDescent="0.2"/>
    <row r="550" ht="22.5" customHeight="1" x14ac:dyDescent="0.2"/>
    <row r="551" ht="22.5" customHeight="1" x14ac:dyDescent="0.2"/>
    <row r="552" ht="22.5" customHeight="1" x14ac:dyDescent="0.2"/>
    <row r="553" ht="22.5" customHeight="1" x14ac:dyDescent="0.2"/>
    <row r="554" ht="22.5" customHeight="1" x14ac:dyDescent="0.2"/>
    <row r="555" ht="22.5" customHeight="1" x14ac:dyDescent="0.2"/>
    <row r="556" ht="22.5" customHeight="1" x14ac:dyDescent="0.2"/>
    <row r="557" ht="22.5" customHeight="1" x14ac:dyDescent="0.2"/>
    <row r="558" ht="22.5" customHeight="1" x14ac:dyDescent="0.2"/>
    <row r="559" ht="22.5" customHeight="1" x14ac:dyDescent="0.2"/>
    <row r="560" ht="22.5" customHeight="1" x14ac:dyDescent="0.2"/>
    <row r="561" ht="22.5" customHeight="1" x14ac:dyDescent="0.2"/>
    <row r="562" ht="22.5" customHeight="1" x14ac:dyDescent="0.2"/>
    <row r="563" ht="22.5" customHeight="1" x14ac:dyDescent="0.2"/>
    <row r="564" ht="22.5" customHeight="1" x14ac:dyDescent="0.2"/>
    <row r="565" ht="22.5" customHeight="1" x14ac:dyDescent="0.2"/>
    <row r="566" ht="22.5" customHeight="1" x14ac:dyDescent="0.2"/>
    <row r="567" ht="22.5" customHeight="1" x14ac:dyDescent="0.2"/>
    <row r="568" ht="22.5" customHeight="1" x14ac:dyDescent="0.2"/>
    <row r="569" ht="22.5" customHeight="1" x14ac:dyDescent="0.2"/>
    <row r="570" ht="22.5" customHeight="1" x14ac:dyDescent="0.2"/>
  </sheetData>
  <autoFilter ref="B8:N108" xr:uid="{E8815ED3-98BE-4247-BD34-A163F6662E10}"/>
  <mergeCells count="5">
    <mergeCell ref="C1:N1"/>
    <mergeCell ref="C2:E2"/>
    <mergeCell ref="C3:E3"/>
    <mergeCell ref="C5:G5"/>
    <mergeCell ref="H5:N5"/>
  </mergeCells>
  <phoneticPr fontId="2"/>
  <dataValidations count="4">
    <dataValidation type="list" allowBlank="1" showInputMessage="1" showErrorMessage="1" sqref="B9" xr:uid="{905D599E-EA7C-48DB-AD49-37DCB3DAFCF1}">
      <formula1>"&lt;=12,1,2,3,4,5,6,7,8,9,10,11,12"</formula1>
    </dataValidation>
    <dataValidation type="list" allowBlank="1" showInputMessage="1" showErrorMessage="1" sqref="F9:F108" xr:uid="{31E826C6-FFF6-4D63-B478-137F0B969D4C}">
      <formula1>"有給役員,正社員７か月以上,正社員７か月未満,その他７か月以上,その他７か月未満,臨時雇用者"</formula1>
    </dataValidation>
    <dataValidation type="list" allowBlank="1" showInputMessage="1" showErrorMessage="1" sqref="G9:G108" xr:uid="{77FDD29B-2040-41A3-8D10-51DD06FE1227}">
      <formula1>"経営主,構成員,その他"</formula1>
    </dataValidation>
    <dataValidation type="list" allowBlank="1" showInputMessage="1" showErrorMessage="1" sqref="D9:D108" xr:uid="{105D0622-30DA-4679-803B-BB97F39773B6}">
      <formula1>"男,女"</formula1>
    </dataValidation>
  </dataValidations>
  <pageMargins left="0.19685039370078741" right="0.19685039370078741" top="0.31496062992125984" bottom="0.19685039370078741" header="0" footer="0.27559055118110237"/>
  <pageSetup paperSize="9" orientation="landscape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218070-B29C-42F0-A30E-0FE9C3FD1D69}">
  <dimension ref="B1:AP681"/>
  <sheetViews>
    <sheetView showGridLines="0" zoomScaleNormal="100" workbookViewId="0">
      <pane xSplit="10" ySplit="6" topLeftCell="K7" activePane="bottomRight" state="frozen"/>
      <selection activeCell="F2" sqref="F2"/>
      <selection pane="topRight" activeCell="F2" sqref="F2"/>
      <selection pane="bottomLeft" activeCell="F2" sqref="F2"/>
      <selection pane="bottomRight"/>
    </sheetView>
  </sheetViews>
  <sheetFormatPr defaultColWidth="1.21875" defaultRowHeight="7.5" customHeight="1" x14ac:dyDescent="0.2"/>
  <cols>
    <col min="1" max="1" width="1" style="1" customWidth="1"/>
    <col min="2" max="2" width="3.77734375" style="1" customWidth="1"/>
    <col min="3" max="3" width="8.77734375" style="1" customWidth="1"/>
    <col min="4" max="4" width="12.77734375" style="1" customWidth="1"/>
    <col min="5" max="5" width="8.77734375" style="1" customWidth="1"/>
    <col min="6" max="7" width="4.77734375" style="1" customWidth="1"/>
    <col min="8" max="8" width="14.109375" style="1" customWidth="1"/>
    <col min="9" max="10" width="6.77734375" style="1" customWidth="1"/>
    <col min="11" max="41" width="2.33203125" style="1" customWidth="1"/>
    <col min="42" max="42" width="4.77734375" style="1" customWidth="1"/>
    <col min="43" max="43" width="0.88671875" style="1" customWidth="1"/>
    <col min="44" max="44" width="1.21875" style="1"/>
    <col min="45" max="45" width="3.44140625" style="1" bestFit="1" customWidth="1"/>
    <col min="46" max="16384" width="1.21875" style="1"/>
  </cols>
  <sheetData>
    <row r="1" spans="2:42" ht="24" customHeight="1" x14ac:dyDescent="0.2">
      <c r="B1" s="119" t="s">
        <v>91</v>
      </c>
      <c r="C1" s="119"/>
      <c r="D1" s="119"/>
      <c r="E1" s="119"/>
      <c r="F1" s="119"/>
      <c r="G1" s="119"/>
      <c r="H1" s="119"/>
      <c r="I1" s="119"/>
      <c r="J1" s="119"/>
      <c r="K1" s="119"/>
      <c r="L1" s="119"/>
      <c r="M1" s="119"/>
      <c r="N1" s="119"/>
      <c r="O1" s="119"/>
      <c r="P1" s="119"/>
      <c r="Q1" s="119"/>
      <c r="R1" s="119"/>
      <c r="S1" s="119"/>
      <c r="T1" s="119"/>
      <c r="U1" s="119"/>
      <c r="V1" s="119"/>
      <c r="W1" s="119"/>
      <c r="X1" s="119"/>
      <c r="Y1" s="119"/>
      <c r="Z1" s="119"/>
      <c r="AA1" s="119"/>
      <c r="AB1" s="119"/>
      <c r="AC1" s="119"/>
      <c r="AD1" s="119"/>
      <c r="AE1" s="119"/>
      <c r="AF1" s="119"/>
      <c r="AG1" s="119"/>
      <c r="AH1" s="119"/>
      <c r="AI1" s="119"/>
      <c r="AJ1" s="119"/>
      <c r="AK1" s="119"/>
      <c r="AL1" s="119"/>
      <c r="AM1" s="119"/>
      <c r="AN1" s="119"/>
      <c r="AO1" s="119"/>
      <c r="AP1" s="119"/>
    </row>
    <row r="2" spans="2:42" ht="15" customHeight="1" x14ac:dyDescent="0.2">
      <c r="B2" s="136" t="s">
        <v>92</v>
      </c>
      <c r="C2" s="137"/>
      <c r="D2" s="138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2:42" ht="24" customHeight="1" x14ac:dyDescent="0.2">
      <c r="B3" s="139">
        <f>設定!C3</f>
        <v>0</v>
      </c>
      <c r="C3" s="140"/>
      <c r="D3" s="141"/>
    </row>
    <row r="4" spans="2:42" ht="7.5" customHeight="1" thickBot="1" x14ac:dyDescent="0.25">
      <c r="K4" s="2"/>
    </row>
    <row r="5" spans="2:42" s="3" customFormat="1" ht="15" customHeight="1" x14ac:dyDescent="0.2">
      <c r="B5" s="142" t="s">
        <v>13</v>
      </c>
      <c r="C5" s="144" t="s">
        <v>78</v>
      </c>
      <c r="D5" s="144" t="s">
        <v>79</v>
      </c>
      <c r="E5" s="146" t="s">
        <v>80</v>
      </c>
      <c r="F5" s="132" t="s">
        <v>81</v>
      </c>
      <c r="G5" s="132" t="s">
        <v>82</v>
      </c>
      <c r="H5" s="132" t="s">
        <v>83</v>
      </c>
      <c r="I5" s="132" t="s">
        <v>84</v>
      </c>
      <c r="J5" s="151" t="s">
        <v>88</v>
      </c>
      <c r="K5" s="148" t="s">
        <v>85</v>
      </c>
      <c r="L5" s="149"/>
      <c r="M5" s="149"/>
      <c r="N5" s="149"/>
      <c r="O5" s="149"/>
      <c r="P5" s="149"/>
      <c r="Q5" s="149"/>
      <c r="R5" s="149"/>
      <c r="S5" s="149"/>
      <c r="T5" s="149"/>
      <c r="U5" s="149"/>
      <c r="V5" s="149"/>
      <c r="W5" s="149"/>
      <c r="X5" s="149"/>
      <c r="Y5" s="149"/>
      <c r="Z5" s="149"/>
      <c r="AA5" s="149"/>
      <c r="AB5" s="149"/>
      <c r="AC5" s="149"/>
      <c r="AD5" s="149"/>
      <c r="AE5" s="149"/>
      <c r="AF5" s="149"/>
      <c r="AG5" s="149"/>
      <c r="AH5" s="149"/>
      <c r="AI5" s="149"/>
      <c r="AJ5" s="149"/>
      <c r="AK5" s="149"/>
      <c r="AL5" s="149"/>
      <c r="AM5" s="149"/>
      <c r="AN5" s="149"/>
      <c r="AO5" s="150"/>
      <c r="AP5" s="134" t="s">
        <v>86</v>
      </c>
    </row>
    <row r="6" spans="2:42" s="3" customFormat="1" ht="15" customHeight="1" thickBot="1" x14ac:dyDescent="0.25">
      <c r="B6" s="143"/>
      <c r="C6" s="145"/>
      <c r="D6" s="145"/>
      <c r="E6" s="147"/>
      <c r="F6" s="133"/>
      <c r="G6" s="133"/>
      <c r="H6" s="133"/>
      <c r="I6" s="133"/>
      <c r="J6" s="152"/>
      <c r="K6" s="77">
        <v>1</v>
      </c>
      <c r="L6" s="78">
        <v>2</v>
      </c>
      <c r="M6" s="78">
        <v>3</v>
      </c>
      <c r="N6" s="78">
        <v>4</v>
      </c>
      <c r="O6" s="78">
        <v>5</v>
      </c>
      <c r="P6" s="78">
        <v>6</v>
      </c>
      <c r="Q6" s="78">
        <v>7</v>
      </c>
      <c r="R6" s="78">
        <v>8</v>
      </c>
      <c r="S6" s="78">
        <v>9</v>
      </c>
      <c r="T6" s="78">
        <v>10</v>
      </c>
      <c r="U6" s="78">
        <v>11</v>
      </c>
      <c r="V6" s="78">
        <v>12</v>
      </c>
      <c r="W6" s="78">
        <v>13</v>
      </c>
      <c r="X6" s="78">
        <v>14</v>
      </c>
      <c r="Y6" s="78">
        <v>15</v>
      </c>
      <c r="Z6" s="78">
        <v>16</v>
      </c>
      <c r="AA6" s="78">
        <v>17</v>
      </c>
      <c r="AB6" s="78">
        <v>18</v>
      </c>
      <c r="AC6" s="78">
        <v>19</v>
      </c>
      <c r="AD6" s="78">
        <v>20</v>
      </c>
      <c r="AE6" s="78">
        <v>21</v>
      </c>
      <c r="AF6" s="78">
        <v>22</v>
      </c>
      <c r="AG6" s="78">
        <v>23</v>
      </c>
      <c r="AH6" s="78">
        <v>24</v>
      </c>
      <c r="AI6" s="78">
        <v>25</v>
      </c>
      <c r="AJ6" s="78">
        <v>26</v>
      </c>
      <c r="AK6" s="78">
        <v>27</v>
      </c>
      <c r="AL6" s="78">
        <v>28</v>
      </c>
      <c r="AM6" s="78">
        <v>29</v>
      </c>
      <c r="AN6" s="78">
        <v>30</v>
      </c>
      <c r="AO6" s="79">
        <v>31</v>
      </c>
      <c r="AP6" s="135"/>
    </row>
    <row r="7" spans="2:42" s="3" customFormat="1" ht="24" customHeight="1" x14ac:dyDescent="0.2">
      <c r="B7" s="80"/>
      <c r="C7" s="81"/>
      <c r="D7" s="82"/>
      <c r="E7" s="83"/>
      <c r="F7" s="84" t="str">
        <f>IFERROR(VLOOKUP($E7,設定!$C:$G,2,0),"")</f>
        <v/>
      </c>
      <c r="G7" s="84" t="str">
        <f>IFERROR(VLOOKUP($E7,設定!$C:$G,3,0),"")</f>
        <v/>
      </c>
      <c r="H7" s="84" t="str">
        <f>IFERROR(VLOOKUP($E7,設定!$C:$G,4,0),"")</f>
        <v/>
      </c>
      <c r="I7" s="84" t="str">
        <f>IFERROR(VLOOKUP($E7,設定!$C:$G,5,0),"")</f>
        <v/>
      </c>
      <c r="J7" s="117"/>
      <c r="K7" s="85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7"/>
      <c r="AP7" s="88">
        <f>J7*SUM(K7:AO7)</f>
        <v>0</v>
      </c>
    </row>
    <row r="8" spans="2:42" s="3" customFormat="1" ht="24" customHeight="1" x14ac:dyDescent="0.2">
      <c r="B8" s="80"/>
      <c r="C8" s="81"/>
      <c r="D8" s="82"/>
      <c r="E8" s="83"/>
      <c r="F8" s="84" t="str">
        <f>IFERROR(VLOOKUP($E8,設定!$C:$G,2,0),"")</f>
        <v/>
      </c>
      <c r="G8" s="84" t="str">
        <f>IFERROR(VLOOKUP($E8,設定!$C:$G,3,0),"")</f>
        <v/>
      </c>
      <c r="H8" s="84" t="str">
        <f>IFERROR(VLOOKUP($E8,設定!$C:$G,4,0),"")</f>
        <v/>
      </c>
      <c r="I8" s="84" t="str">
        <f>IFERROR(VLOOKUP($E8,設定!$C:$G,5,0),"")</f>
        <v/>
      </c>
      <c r="J8" s="117"/>
      <c r="K8" s="85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7"/>
      <c r="AP8" s="88">
        <f t="shared" ref="AP8:AP71" si="0">J8*SUM(K8:AO8)</f>
        <v>0</v>
      </c>
    </row>
    <row r="9" spans="2:42" s="3" customFormat="1" ht="24" customHeight="1" x14ac:dyDescent="0.2">
      <c r="B9" s="80"/>
      <c r="C9" s="81"/>
      <c r="D9" s="82"/>
      <c r="E9" s="83"/>
      <c r="F9" s="84" t="str">
        <f>IFERROR(VLOOKUP($E9,設定!$C:$G,2,0),"")</f>
        <v/>
      </c>
      <c r="G9" s="84" t="str">
        <f>IFERROR(VLOOKUP($E9,設定!$C:$G,3,0),"")</f>
        <v/>
      </c>
      <c r="H9" s="84" t="str">
        <f>IFERROR(VLOOKUP($E9,設定!$C:$G,4,0),"")</f>
        <v/>
      </c>
      <c r="I9" s="84" t="str">
        <f>IFERROR(VLOOKUP($E9,設定!$C:$G,5,0),"")</f>
        <v/>
      </c>
      <c r="J9" s="117"/>
      <c r="K9" s="85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7"/>
      <c r="AP9" s="88">
        <f t="shared" si="0"/>
        <v>0</v>
      </c>
    </row>
    <row r="10" spans="2:42" s="3" customFormat="1" ht="24" customHeight="1" x14ac:dyDescent="0.2">
      <c r="B10" s="80"/>
      <c r="C10" s="81"/>
      <c r="D10" s="82"/>
      <c r="E10" s="83"/>
      <c r="F10" s="84" t="str">
        <f>IFERROR(VLOOKUP($E10,設定!$C:$G,2,0),"")</f>
        <v/>
      </c>
      <c r="G10" s="84" t="str">
        <f>IFERROR(VLOOKUP($E10,設定!$C:$G,3,0),"")</f>
        <v/>
      </c>
      <c r="H10" s="84" t="str">
        <f>IFERROR(VLOOKUP($E10,設定!$C:$G,4,0),"")</f>
        <v/>
      </c>
      <c r="I10" s="84" t="str">
        <f>IFERROR(VLOOKUP($E10,設定!$C:$G,5,0),"")</f>
        <v/>
      </c>
      <c r="J10" s="117"/>
      <c r="K10" s="85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7"/>
      <c r="AP10" s="88">
        <f t="shared" si="0"/>
        <v>0</v>
      </c>
    </row>
    <row r="11" spans="2:42" s="3" customFormat="1" ht="24" customHeight="1" x14ac:dyDescent="0.2">
      <c r="B11" s="80"/>
      <c r="C11" s="81"/>
      <c r="D11" s="82"/>
      <c r="E11" s="83"/>
      <c r="F11" s="84" t="str">
        <f>IFERROR(VLOOKUP($E11,設定!$C:$G,2,0),"")</f>
        <v/>
      </c>
      <c r="G11" s="84" t="str">
        <f>IFERROR(VLOOKUP($E11,設定!$C:$G,3,0),"")</f>
        <v/>
      </c>
      <c r="H11" s="84" t="str">
        <f>IFERROR(VLOOKUP($E11,設定!$C:$G,4,0),"")</f>
        <v/>
      </c>
      <c r="I11" s="84" t="str">
        <f>IFERROR(VLOOKUP($E11,設定!$C:$G,5,0),"")</f>
        <v/>
      </c>
      <c r="J11" s="117"/>
      <c r="K11" s="85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7"/>
      <c r="AP11" s="88">
        <f t="shared" si="0"/>
        <v>0</v>
      </c>
    </row>
    <row r="12" spans="2:42" s="3" customFormat="1" ht="24" customHeight="1" x14ac:dyDescent="0.2">
      <c r="B12" s="80"/>
      <c r="C12" s="81"/>
      <c r="D12" s="82"/>
      <c r="E12" s="83"/>
      <c r="F12" s="84" t="str">
        <f>IFERROR(VLOOKUP($E12,設定!$C:$G,2,0),"")</f>
        <v/>
      </c>
      <c r="G12" s="84" t="str">
        <f>IFERROR(VLOOKUP($E12,設定!$C:$G,3,0),"")</f>
        <v/>
      </c>
      <c r="H12" s="84" t="str">
        <f>IFERROR(VLOOKUP($E12,設定!$C:$G,4,0),"")</f>
        <v/>
      </c>
      <c r="I12" s="84" t="str">
        <f>IFERROR(VLOOKUP($E12,設定!$C:$G,5,0),"")</f>
        <v/>
      </c>
      <c r="J12" s="117"/>
      <c r="K12" s="85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7"/>
      <c r="AP12" s="88">
        <f t="shared" si="0"/>
        <v>0</v>
      </c>
    </row>
    <row r="13" spans="2:42" s="3" customFormat="1" ht="24" customHeight="1" x14ac:dyDescent="0.2">
      <c r="B13" s="80"/>
      <c r="C13" s="81"/>
      <c r="D13" s="82"/>
      <c r="E13" s="83"/>
      <c r="F13" s="84" t="str">
        <f>IFERROR(VLOOKUP($E13,設定!$C:$G,2,0),"")</f>
        <v/>
      </c>
      <c r="G13" s="84" t="str">
        <f>IFERROR(VLOOKUP($E13,設定!$C:$G,3,0),"")</f>
        <v/>
      </c>
      <c r="H13" s="84" t="str">
        <f>IFERROR(VLOOKUP($E13,設定!$C:$G,4,0),"")</f>
        <v/>
      </c>
      <c r="I13" s="84" t="str">
        <f>IFERROR(VLOOKUP($E13,設定!$C:$G,5,0),"")</f>
        <v/>
      </c>
      <c r="J13" s="117"/>
      <c r="K13" s="85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7"/>
      <c r="AP13" s="88">
        <f t="shared" si="0"/>
        <v>0</v>
      </c>
    </row>
    <row r="14" spans="2:42" s="3" customFormat="1" ht="24" customHeight="1" x14ac:dyDescent="0.2">
      <c r="B14" s="80"/>
      <c r="C14" s="81"/>
      <c r="D14" s="82"/>
      <c r="E14" s="83"/>
      <c r="F14" s="84" t="str">
        <f>IFERROR(VLOOKUP($E14,設定!$C:$G,2,0),"")</f>
        <v/>
      </c>
      <c r="G14" s="84" t="str">
        <f>IFERROR(VLOOKUP($E14,設定!$C:$G,3,0),"")</f>
        <v/>
      </c>
      <c r="H14" s="84" t="str">
        <f>IFERROR(VLOOKUP($E14,設定!$C:$G,4,0),"")</f>
        <v/>
      </c>
      <c r="I14" s="84" t="str">
        <f>IFERROR(VLOOKUP($E14,設定!$C:$G,5,0),"")</f>
        <v/>
      </c>
      <c r="J14" s="117"/>
      <c r="K14" s="85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7"/>
      <c r="AP14" s="88">
        <f t="shared" si="0"/>
        <v>0</v>
      </c>
    </row>
    <row r="15" spans="2:42" s="3" customFormat="1" ht="24" customHeight="1" x14ac:dyDescent="0.2">
      <c r="B15" s="80"/>
      <c r="C15" s="81"/>
      <c r="D15" s="82"/>
      <c r="E15" s="83"/>
      <c r="F15" s="84" t="str">
        <f>IFERROR(VLOOKUP($E15,設定!$C:$G,2,0),"")</f>
        <v/>
      </c>
      <c r="G15" s="84" t="str">
        <f>IFERROR(VLOOKUP($E15,設定!$C:$G,3,0),"")</f>
        <v/>
      </c>
      <c r="H15" s="84" t="str">
        <f>IFERROR(VLOOKUP($E15,設定!$C:$G,4,0),"")</f>
        <v/>
      </c>
      <c r="I15" s="84" t="str">
        <f>IFERROR(VLOOKUP($E15,設定!$C:$G,5,0),"")</f>
        <v/>
      </c>
      <c r="J15" s="117"/>
      <c r="K15" s="85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7"/>
      <c r="AP15" s="88">
        <f t="shared" si="0"/>
        <v>0</v>
      </c>
    </row>
    <row r="16" spans="2:42" s="3" customFormat="1" ht="24" customHeight="1" x14ac:dyDescent="0.2">
      <c r="B16" s="80"/>
      <c r="C16" s="81"/>
      <c r="D16" s="82"/>
      <c r="E16" s="83"/>
      <c r="F16" s="84" t="str">
        <f>IFERROR(VLOOKUP($E16,設定!$C:$G,2,0),"")</f>
        <v/>
      </c>
      <c r="G16" s="84" t="str">
        <f>IFERROR(VLOOKUP($E16,設定!$C:$G,3,0),"")</f>
        <v/>
      </c>
      <c r="H16" s="84" t="str">
        <f>IFERROR(VLOOKUP($E16,設定!$C:$G,4,0),"")</f>
        <v/>
      </c>
      <c r="I16" s="84" t="str">
        <f>IFERROR(VLOOKUP($E16,設定!$C:$G,5,0),"")</f>
        <v/>
      </c>
      <c r="J16" s="117"/>
      <c r="K16" s="85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7"/>
      <c r="AP16" s="88">
        <f t="shared" si="0"/>
        <v>0</v>
      </c>
    </row>
    <row r="17" spans="2:42" s="3" customFormat="1" ht="24" customHeight="1" x14ac:dyDescent="0.2">
      <c r="B17" s="80"/>
      <c r="C17" s="81"/>
      <c r="D17" s="82"/>
      <c r="E17" s="83"/>
      <c r="F17" s="84" t="str">
        <f>IFERROR(VLOOKUP($E17,設定!$C:$G,2,0),"")</f>
        <v/>
      </c>
      <c r="G17" s="84" t="str">
        <f>IFERROR(VLOOKUP($E17,設定!$C:$G,3,0),"")</f>
        <v/>
      </c>
      <c r="H17" s="84" t="str">
        <f>IFERROR(VLOOKUP($E17,設定!$C:$G,4,0),"")</f>
        <v/>
      </c>
      <c r="I17" s="84" t="str">
        <f>IFERROR(VLOOKUP($E17,設定!$C:$G,5,0),"")</f>
        <v/>
      </c>
      <c r="J17" s="117"/>
      <c r="K17" s="85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7"/>
      <c r="AP17" s="88">
        <f t="shared" si="0"/>
        <v>0</v>
      </c>
    </row>
    <row r="18" spans="2:42" s="3" customFormat="1" ht="24" customHeight="1" x14ac:dyDescent="0.2">
      <c r="B18" s="80"/>
      <c r="C18" s="81"/>
      <c r="D18" s="82"/>
      <c r="E18" s="83"/>
      <c r="F18" s="84" t="str">
        <f>IFERROR(VLOOKUP($E18,設定!$C:$G,2,0),"")</f>
        <v/>
      </c>
      <c r="G18" s="84" t="str">
        <f>IFERROR(VLOOKUP($E18,設定!$C:$G,3,0),"")</f>
        <v/>
      </c>
      <c r="H18" s="84" t="str">
        <f>IFERROR(VLOOKUP($E18,設定!$C:$G,4,0),"")</f>
        <v/>
      </c>
      <c r="I18" s="84" t="str">
        <f>IFERROR(VLOOKUP($E18,設定!$C:$G,5,0),"")</f>
        <v/>
      </c>
      <c r="J18" s="117"/>
      <c r="K18" s="85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7"/>
      <c r="AP18" s="88">
        <f t="shared" si="0"/>
        <v>0</v>
      </c>
    </row>
    <row r="19" spans="2:42" s="3" customFormat="1" ht="24" customHeight="1" x14ac:dyDescent="0.2">
      <c r="B19" s="80"/>
      <c r="C19" s="81"/>
      <c r="D19" s="82"/>
      <c r="E19" s="83"/>
      <c r="F19" s="84" t="str">
        <f>IFERROR(VLOOKUP($E19,設定!$C:$G,2,0),"")</f>
        <v/>
      </c>
      <c r="G19" s="84" t="str">
        <f>IFERROR(VLOOKUP($E19,設定!$C:$G,3,0),"")</f>
        <v/>
      </c>
      <c r="H19" s="84" t="str">
        <f>IFERROR(VLOOKUP($E19,設定!$C:$G,4,0),"")</f>
        <v/>
      </c>
      <c r="I19" s="84" t="str">
        <f>IFERROR(VLOOKUP($E19,設定!$C:$G,5,0),"")</f>
        <v/>
      </c>
      <c r="J19" s="117"/>
      <c r="K19" s="85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7"/>
      <c r="AP19" s="88">
        <f t="shared" si="0"/>
        <v>0</v>
      </c>
    </row>
    <row r="20" spans="2:42" s="3" customFormat="1" ht="24" customHeight="1" x14ac:dyDescent="0.2">
      <c r="B20" s="80"/>
      <c r="C20" s="81"/>
      <c r="D20" s="82"/>
      <c r="E20" s="83"/>
      <c r="F20" s="84" t="str">
        <f>IFERROR(VLOOKUP($E20,設定!$C:$G,2,0),"")</f>
        <v/>
      </c>
      <c r="G20" s="84" t="str">
        <f>IFERROR(VLOOKUP($E20,設定!$C:$G,3,0),"")</f>
        <v/>
      </c>
      <c r="H20" s="84" t="str">
        <f>IFERROR(VLOOKUP($E20,設定!$C:$G,4,0),"")</f>
        <v/>
      </c>
      <c r="I20" s="84" t="str">
        <f>IFERROR(VLOOKUP($E20,設定!$C:$G,5,0),"")</f>
        <v/>
      </c>
      <c r="J20" s="117"/>
      <c r="K20" s="85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7"/>
      <c r="AP20" s="88">
        <f t="shared" si="0"/>
        <v>0</v>
      </c>
    </row>
    <row r="21" spans="2:42" s="3" customFormat="1" ht="24" customHeight="1" x14ac:dyDescent="0.2">
      <c r="B21" s="80"/>
      <c r="C21" s="81"/>
      <c r="D21" s="82"/>
      <c r="E21" s="83"/>
      <c r="F21" s="84" t="str">
        <f>IFERROR(VLOOKUP($E21,設定!$C:$G,2,0),"")</f>
        <v/>
      </c>
      <c r="G21" s="84" t="str">
        <f>IFERROR(VLOOKUP($E21,設定!$C:$G,3,0),"")</f>
        <v/>
      </c>
      <c r="H21" s="84" t="str">
        <f>IFERROR(VLOOKUP($E21,設定!$C:$G,4,0),"")</f>
        <v/>
      </c>
      <c r="I21" s="84" t="str">
        <f>IFERROR(VLOOKUP($E21,設定!$C:$G,5,0),"")</f>
        <v/>
      </c>
      <c r="J21" s="117"/>
      <c r="K21" s="85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7"/>
      <c r="AP21" s="88">
        <f t="shared" si="0"/>
        <v>0</v>
      </c>
    </row>
    <row r="22" spans="2:42" s="3" customFormat="1" ht="24" customHeight="1" x14ac:dyDescent="0.2">
      <c r="B22" s="80"/>
      <c r="C22" s="81"/>
      <c r="D22" s="82"/>
      <c r="E22" s="83"/>
      <c r="F22" s="84" t="str">
        <f>IFERROR(VLOOKUP($E22,設定!$C:$G,2,0),"")</f>
        <v/>
      </c>
      <c r="G22" s="84" t="str">
        <f>IFERROR(VLOOKUP($E22,設定!$C:$G,3,0),"")</f>
        <v/>
      </c>
      <c r="H22" s="84" t="str">
        <f>IFERROR(VLOOKUP($E22,設定!$C:$G,4,0),"")</f>
        <v/>
      </c>
      <c r="I22" s="84" t="str">
        <f>IFERROR(VLOOKUP($E22,設定!$C:$G,5,0),"")</f>
        <v/>
      </c>
      <c r="J22" s="117"/>
      <c r="K22" s="85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7"/>
      <c r="AP22" s="88">
        <f t="shared" si="0"/>
        <v>0</v>
      </c>
    </row>
    <row r="23" spans="2:42" s="3" customFormat="1" ht="24" customHeight="1" x14ac:dyDescent="0.2">
      <c r="B23" s="80"/>
      <c r="C23" s="81"/>
      <c r="D23" s="82"/>
      <c r="E23" s="83"/>
      <c r="F23" s="84" t="str">
        <f>IFERROR(VLOOKUP($E23,設定!$C:$G,2,0),"")</f>
        <v/>
      </c>
      <c r="G23" s="84" t="str">
        <f>IFERROR(VLOOKUP($E23,設定!$C:$G,3,0),"")</f>
        <v/>
      </c>
      <c r="H23" s="84" t="str">
        <f>IFERROR(VLOOKUP($E23,設定!$C:$G,4,0),"")</f>
        <v/>
      </c>
      <c r="I23" s="84" t="str">
        <f>IFERROR(VLOOKUP($E23,設定!$C:$G,5,0),"")</f>
        <v/>
      </c>
      <c r="J23" s="117"/>
      <c r="K23" s="85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7"/>
      <c r="AP23" s="88">
        <f t="shared" si="0"/>
        <v>0</v>
      </c>
    </row>
    <row r="24" spans="2:42" s="3" customFormat="1" ht="24" customHeight="1" x14ac:dyDescent="0.2">
      <c r="B24" s="80"/>
      <c r="C24" s="81"/>
      <c r="D24" s="82"/>
      <c r="E24" s="83"/>
      <c r="F24" s="84" t="str">
        <f>IFERROR(VLOOKUP($E24,設定!$C:$G,2,0),"")</f>
        <v/>
      </c>
      <c r="G24" s="84" t="str">
        <f>IFERROR(VLOOKUP($E24,設定!$C:$G,3,0),"")</f>
        <v/>
      </c>
      <c r="H24" s="84" t="str">
        <f>IFERROR(VLOOKUP($E24,設定!$C:$G,4,0),"")</f>
        <v/>
      </c>
      <c r="I24" s="84" t="str">
        <f>IFERROR(VLOOKUP($E24,設定!$C:$G,5,0),"")</f>
        <v/>
      </c>
      <c r="J24" s="117"/>
      <c r="K24" s="85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7"/>
      <c r="AP24" s="88">
        <f t="shared" si="0"/>
        <v>0</v>
      </c>
    </row>
    <row r="25" spans="2:42" s="3" customFormat="1" ht="24" customHeight="1" x14ac:dyDescent="0.2">
      <c r="B25" s="80"/>
      <c r="C25" s="81"/>
      <c r="D25" s="82"/>
      <c r="E25" s="83"/>
      <c r="F25" s="84" t="str">
        <f>IFERROR(VLOOKUP($E25,設定!$C:$G,2,0),"")</f>
        <v/>
      </c>
      <c r="G25" s="84" t="str">
        <f>IFERROR(VLOOKUP($E25,設定!$C:$G,3,0),"")</f>
        <v/>
      </c>
      <c r="H25" s="84" t="str">
        <f>IFERROR(VLOOKUP($E25,設定!$C:$G,4,0),"")</f>
        <v/>
      </c>
      <c r="I25" s="84" t="str">
        <f>IFERROR(VLOOKUP($E25,設定!$C:$G,5,0),"")</f>
        <v/>
      </c>
      <c r="J25" s="117"/>
      <c r="K25" s="85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7"/>
      <c r="AP25" s="88">
        <f t="shared" si="0"/>
        <v>0</v>
      </c>
    </row>
    <row r="26" spans="2:42" s="3" customFormat="1" ht="24" customHeight="1" x14ac:dyDescent="0.2">
      <c r="B26" s="80"/>
      <c r="C26" s="81"/>
      <c r="D26" s="82"/>
      <c r="E26" s="83"/>
      <c r="F26" s="84" t="str">
        <f>IFERROR(VLOOKUP($E26,設定!$C:$G,2,0),"")</f>
        <v/>
      </c>
      <c r="G26" s="84" t="str">
        <f>IFERROR(VLOOKUP($E26,設定!$C:$G,3,0),"")</f>
        <v/>
      </c>
      <c r="H26" s="84" t="str">
        <f>IFERROR(VLOOKUP($E26,設定!$C:$G,4,0),"")</f>
        <v/>
      </c>
      <c r="I26" s="84" t="str">
        <f>IFERROR(VLOOKUP($E26,設定!$C:$G,5,0),"")</f>
        <v/>
      </c>
      <c r="J26" s="117"/>
      <c r="K26" s="85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7"/>
      <c r="AP26" s="88">
        <f t="shared" si="0"/>
        <v>0</v>
      </c>
    </row>
    <row r="27" spans="2:42" s="3" customFormat="1" ht="24" customHeight="1" x14ac:dyDescent="0.2">
      <c r="B27" s="80"/>
      <c r="C27" s="81"/>
      <c r="D27" s="82"/>
      <c r="E27" s="83"/>
      <c r="F27" s="84" t="str">
        <f>IFERROR(VLOOKUP($E27,設定!$C:$G,2,0),"")</f>
        <v/>
      </c>
      <c r="G27" s="84" t="str">
        <f>IFERROR(VLOOKUP($E27,設定!$C:$G,3,0),"")</f>
        <v/>
      </c>
      <c r="H27" s="84" t="str">
        <f>IFERROR(VLOOKUP($E27,設定!$C:$G,4,0),"")</f>
        <v/>
      </c>
      <c r="I27" s="84" t="str">
        <f>IFERROR(VLOOKUP($E27,設定!$C:$G,5,0),"")</f>
        <v/>
      </c>
      <c r="J27" s="117"/>
      <c r="K27" s="85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7"/>
      <c r="AP27" s="88">
        <f t="shared" si="0"/>
        <v>0</v>
      </c>
    </row>
    <row r="28" spans="2:42" s="3" customFormat="1" ht="24" customHeight="1" x14ac:dyDescent="0.2">
      <c r="B28" s="80"/>
      <c r="C28" s="81"/>
      <c r="D28" s="82"/>
      <c r="E28" s="83"/>
      <c r="F28" s="84" t="str">
        <f>IFERROR(VLOOKUP($E28,設定!$C:$G,2,0),"")</f>
        <v/>
      </c>
      <c r="G28" s="84" t="str">
        <f>IFERROR(VLOOKUP($E28,設定!$C:$G,3,0),"")</f>
        <v/>
      </c>
      <c r="H28" s="84" t="str">
        <f>IFERROR(VLOOKUP($E28,設定!$C:$G,4,0),"")</f>
        <v/>
      </c>
      <c r="I28" s="84" t="str">
        <f>IFERROR(VLOOKUP($E28,設定!$C:$G,5,0),"")</f>
        <v/>
      </c>
      <c r="J28" s="117"/>
      <c r="K28" s="85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7"/>
      <c r="AP28" s="88">
        <f t="shared" si="0"/>
        <v>0</v>
      </c>
    </row>
    <row r="29" spans="2:42" s="3" customFormat="1" ht="24" customHeight="1" x14ac:dyDescent="0.2">
      <c r="B29" s="80"/>
      <c r="C29" s="81"/>
      <c r="D29" s="82"/>
      <c r="E29" s="83"/>
      <c r="F29" s="84" t="str">
        <f>IFERROR(VLOOKUP($E29,設定!$C:$G,2,0),"")</f>
        <v/>
      </c>
      <c r="G29" s="84" t="str">
        <f>IFERROR(VLOOKUP($E29,設定!$C:$G,3,0),"")</f>
        <v/>
      </c>
      <c r="H29" s="84" t="str">
        <f>IFERROR(VLOOKUP($E29,設定!$C:$G,4,0),"")</f>
        <v/>
      </c>
      <c r="I29" s="84" t="str">
        <f>IFERROR(VLOOKUP($E29,設定!$C:$G,5,0),"")</f>
        <v/>
      </c>
      <c r="J29" s="117"/>
      <c r="K29" s="85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7"/>
      <c r="AP29" s="88">
        <f t="shared" si="0"/>
        <v>0</v>
      </c>
    </row>
    <row r="30" spans="2:42" s="3" customFormat="1" ht="24" customHeight="1" x14ac:dyDescent="0.2">
      <c r="B30" s="80"/>
      <c r="C30" s="81"/>
      <c r="D30" s="82"/>
      <c r="E30" s="83"/>
      <c r="F30" s="84" t="str">
        <f>IFERROR(VLOOKUP($E30,設定!$C:$G,2,0),"")</f>
        <v/>
      </c>
      <c r="G30" s="84" t="str">
        <f>IFERROR(VLOOKUP($E30,設定!$C:$G,3,0),"")</f>
        <v/>
      </c>
      <c r="H30" s="84" t="str">
        <f>IFERROR(VLOOKUP($E30,設定!$C:$G,4,0),"")</f>
        <v/>
      </c>
      <c r="I30" s="84" t="str">
        <f>IFERROR(VLOOKUP($E30,設定!$C:$G,5,0),"")</f>
        <v/>
      </c>
      <c r="J30" s="117"/>
      <c r="K30" s="85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7"/>
      <c r="AP30" s="88">
        <f t="shared" si="0"/>
        <v>0</v>
      </c>
    </row>
    <row r="31" spans="2:42" s="3" customFormat="1" ht="24" customHeight="1" x14ac:dyDescent="0.2">
      <c r="B31" s="80"/>
      <c r="C31" s="81"/>
      <c r="D31" s="82"/>
      <c r="E31" s="83"/>
      <c r="F31" s="84" t="str">
        <f>IFERROR(VLOOKUP($E31,設定!$C:$G,2,0),"")</f>
        <v/>
      </c>
      <c r="G31" s="84" t="str">
        <f>IFERROR(VLOOKUP($E31,設定!$C:$G,3,0),"")</f>
        <v/>
      </c>
      <c r="H31" s="84" t="str">
        <f>IFERROR(VLOOKUP($E31,設定!$C:$G,4,0),"")</f>
        <v/>
      </c>
      <c r="I31" s="84" t="str">
        <f>IFERROR(VLOOKUP($E31,設定!$C:$G,5,0),"")</f>
        <v/>
      </c>
      <c r="J31" s="117"/>
      <c r="K31" s="85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7"/>
      <c r="AP31" s="88">
        <f t="shared" si="0"/>
        <v>0</v>
      </c>
    </row>
    <row r="32" spans="2:42" s="3" customFormat="1" ht="24" customHeight="1" x14ac:dyDescent="0.2">
      <c r="B32" s="80"/>
      <c r="C32" s="81"/>
      <c r="D32" s="82"/>
      <c r="E32" s="83"/>
      <c r="F32" s="84" t="str">
        <f>IFERROR(VLOOKUP($E32,設定!$C:$G,2,0),"")</f>
        <v/>
      </c>
      <c r="G32" s="84" t="str">
        <f>IFERROR(VLOOKUP($E32,設定!$C:$G,3,0),"")</f>
        <v/>
      </c>
      <c r="H32" s="84" t="str">
        <f>IFERROR(VLOOKUP($E32,設定!$C:$G,4,0),"")</f>
        <v/>
      </c>
      <c r="I32" s="84" t="str">
        <f>IFERROR(VLOOKUP($E32,設定!$C:$G,5,0),"")</f>
        <v/>
      </c>
      <c r="J32" s="117"/>
      <c r="K32" s="85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7"/>
      <c r="AP32" s="88">
        <f t="shared" si="0"/>
        <v>0</v>
      </c>
    </row>
    <row r="33" spans="2:42" s="3" customFormat="1" ht="24" customHeight="1" x14ac:dyDescent="0.2">
      <c r="B33" s="80"/>
      <c r="C33" s="81"/>
      <c r="D33" s="82"/>
      <c r="E33" s="83"/>
      <c r="F33" s="84" t="str">
        <f>IFERROR(VLOOKUP($E33,設定!$C:$G,2,0),"")</f>
        <v/>
      </c>
      <c r="G33" s="84" t="str">
        <f>IFERROR(VLOOKUP($E33,設定!$C:$G,3,0),"")</f>
        <v/>
      </c>
      <c r="H33" s="84" t="str">
        <f>IFERROR(VLOOKUP($E33,設定!$C:$G,4,0),"")</f>
        <v/>
      </c>
      <c r="I33" s="84" t="str">
        <f>IFERROR(VLOOKUP($E33,設定!$C:$G,5,0),"")</f>
        <v/>
      </c>
      <c r="J33" s="117"/>
      <c r="K33" s="85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7"/>
      <c r="AP33" s="88">
        <f t="shared" si="0"/>
        <v>0</v>
      </c>
    </row>
    <row r="34" spans="2:42" s="3" customFormat="1" ht="24" customHeight="1" x14ac:dyDescent="0.2">
      <c r="B34" s="80"/>
      <c r="C34" s="81"/>
      <c r="D34" s="82"/>
      <c r="E34" s="83"/>
      <c r="F34" s="84" t="str">
        <f>IFERROR(VLOOKUP($E34,設定!$C:$G,2,0),"")</f>
        <v/>
      </c>
      <c r="G34" s="84" t="str">
        <f>IFERROR(VLOOKUP($E34,設定!$C:$G,3,0),"")</f>
        <v/>
      </c>
      <c r="H34" s="84" t="str">
        <f>IFERROR(VLOOKUP($E34,設定!$C:$G,4,0),"")</f>
        <v/>
      </c>
      <c r="I34" s="84" t="str">
        <f>IFERROR(VLOOKUP($E34,設定!$C:$G,5,0),"")</f>
        <v/>
      </c>
      <c r="J34" s="117"/>
      <c r="K34" s="85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7"/>
      <c r="AP34" s="88">
        <f t="shared" si="0"/>
        <v>0</v>
      </c>
    </row>
    <row r="35" spans="2:42" s="3" customFormat="1" ht="24" customHeight="1" x14ac:dyDescent="0.2">
      <c r="B35" s="80"/>
      <c r="C35" s="81"/>
      <c r="D35" s="82"/>
      <c r="E35" s="83"/>
      <c r="F35" s="84" t="str">
        <f>IFERROR(VLOOKUP($E35,設定!$C:$G,2,0),"")</f>
        <v/>
      </c>
      <c r="G35" s="84" t="str">
        <f>IFERROR(VLOOKUP($E35,設定!$C:$G,3,0),"")</f>
        <v/>
      </c>
      <c r="H35" s="84" t="str">
        <f>IFERROR(VLOOKUP($E35,設定!$C:$G,4,0),"")</f>
        <v/>
      </c>
      <c r="I35" s="84" t="str">
        <f>IFERROR(VLOOKUP($E35,設定!$C:$G,5,0),"")</f>
        <v/>
      </c>
      <c r="J35" s="117"/>
      <c r="K35" s="85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7"/>
      <c r="AP35" s="88">
        <f t="shared" si="0"/>
        <v>0</v>
      </c>
    </row>
    <row r="36" spans="2:42" s="3" customFormat="1" ht="24" customHeight="1" x14ac:dyDescent="0.2">
      <c r="B36" s="80"/>
      <c r="C36" s="81"/>
      <c r="D36" s="82"/>
      <c r="E36" s="83"/>
      <c r="F36" s="84" t="str">
        <f>IFERROR(VLOOKUP($E36,設定!$C:$G,2,0),"")</f>
        <v/>
      </c>
      <c r="G36" s="84" t="str">
        <f>IFERROR(VLOOKUP($E36,設定!$C:$G,3,0),"")</f>
        <v/>
      </c>
      <c r="H36" s="84" t="str">
        <f>IFERROR(VLOOKUP($E36,設定!$C:$G,4,0),"")</f>
        <v/>
      </c>
      <c r="I36" s="84" t="str">
        <f>IFERROR(VLOOKUP($E36,設定!$C:$G,5,0),"")</f>
        <v/>
      </c>
      <c r="J36" s="117"/>
      <c r="K36" s="85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7"/>
      <c r="AP36" s="88">
        <f t="shared" si="0"/>
        <v>0</v>
      </c>
    </row>
    <row r="37" spans="2:42" s="3" customFormat="1" ht="24" customHeight="1" x14ac:dyDescent="0.2">
      <c r="B37" s="80"/>
      <c r="C37" s="81"/>
      <c r="D37" s="82"/>
      <c r="E37" s="83"/>
      <c r="F37" s="84" t="str">
        <f>IFERROR(VLOOKUP($E37,設定!$C:$G,2,0),"")</f>
        <v/>
      </c>
      <c r="G37" s="84" t="str">
        <f>IFERROR(VLOOKUP($E37,設定!$C:$G,3,0),"")</f>
        <v/>
      </c>
      <c r="H37" s="84" t="str">
        <f>IFERROR(VLOOKUP($E37,設定!$C:$G,4,0),"")</f>
        <v/>
      </c>
      <c r="I37" s="84" t="str">
        <f>IFERROR(VLOOKUP($E37,設定!$C:$G,5,0),"")</f>
        <v/>
      </c>
      <c r="J37" s="117"/>
      <c r="K37" s="85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7"/>
      <c r="AP37" s="88">
        <f t="shared" si="0"/>
        <v>0</v>
      </c>
    </row>
    <row r="38" spans="2:42" s="3" customFormat="1" ht="24" customHeight="1" x14ac:dyDescent="0.2">
      <c r="B38" s="80"/>
      <c r="C38" s="81"/>
      <c r="D38" s="82"/>
      <c r="E38" s="83"/>
      <c r="F38" s="84" t="str">
        <f>IFERROR(VLOOKUP($E38,設定!$C:$G,2,0),"")</f>
        <v/>
      </c>
      <c r="G38" s="84" t="str">
        <f>IFERROR(VLOOKUP($E38,設定!$C:$G,3,0),"")</f>
        <v/>
      </c>
      <c r="H38" s="84" t="str">
        <f>IFERROR(VLOOKUP($E38,設定!$C:$G,4,0),"")</f>
        <v/>
      </c>
      <c r="I38" s="84" t="str">
        <f>IFERROR(VLOOKUP($E38,設定!$C:$G,5,0),"")</f>
        <v/>
      </c>
      <c r="J38" s="117"/>
      <c r="K38" s="85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7"/>
      <c r="AP38" s="88">
        <f t="shared" si="0"/>
        <v>0</v>
      </c>
    </row>
    <row r="39" spans="2:42" s="3" customFormat="1" ht="24" customHeight="1" x14ac:dyDescent="0.2">
      <c r="B39" s="80"/>
      <c r="C39" s="81"/>
      <c r="D39" s="82"/>
      <c r="E39" s="83"/>
      <c r="F39" s="84" t="str">
        <f>IFERROR(VLOOKUP($E39,設定!$C:$G,2,0),"")</f>
        <v/>
      </c>
      <c r="G39" s="84" t="str">
        <f>IFERROR(VLOOKUP($E39,設定!$C:$G,3,0),"")</f>
        <v/>
      </c>
      <c r="H39" s="84" t="str">
        <f>IFERROR(VLOOKUP($E39,設定!$C:$G,4,0),"")</f>
        <v/>
      </c>
      <c r="I39" s="84" t="str">
        <f>IFERROR(VLOOKUP($E39,設定!$C:$G,5,0),"")</f>
        <v/>
      </c>
      <c r="J39" s="117"/>
      <c r="K39" s="85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7"/>
      <c r="AP39" s="88">
        <f t="shared" si="0"/>
        <v>0</v>
      </c>
    </row>
    <row r="40" spans="2:42" s="3" customFormat="1" ht="24" customHeight="1" x14ac:dyDescent="0.2">
      <c r="B40" s="80"/>
      <c r="C40" s="81"/>
      <c r="D40" s="82"/>
      <c r="E40" s="83"/>
      <c r="F40" s="84" t="str">
        <f>IFERROR(VLOOKUP($E40,設定!$C:$G,2,0),"")</f>
        <v/>
      </c>
      <c r="G40" s="84" t="str">
        <f>IFERROR(VLOOKUP($E40,設定!$C:$G,3,0),"")</f>
        <v/>
      </c>
      <c r="H40" s="84" t="str">
        <f>IFERROR(VLOOKUP($E40,設定!$C:$G,4,0),"")</f>
        <v/>
      </c>
      <c r="I40" s="84" t="str">
        <f>IFERROR(VLOOKUP($E40,設定!$C:$G,5,0),"")</f>
        <v/>
      </c>
      <c r="J40" s="117"/>
      <c r="K40" s="85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7"/>
      <c r="AP40" s="88">
        <f t="shared" si="0"/>
        <v>0</v>
      </c>
    </row>
    <row r="41" spans="2:42" s="3" customFormat="1" ht="24" customHeight="1" x14ac:dyDescent="0.2">
      <c r="B41" s="80"/>
      <c r="C41" s="81"/>
      <c r="D41" s="82"/>
      <c r="E41" s="83"/>
      <c r="F41" s="84" t="str">
        <f>IFERROR(VLOOKUP($E41,設定!$C:$G,2,0),"")</f>
        <v/>
      </c>
      <c r="G41" s="84" t="str">
        <f>IFERROR(VLOOKUP($E41,設定!$C:$G,3,0),"")</f>
        <v/>
      </c>
      <c r="H41" s="84" t="str">
        <f>IFERROR(VLOOKUP($E41,設定!$C:$G,4,0),"")</f>
        <v/>
      </c>
      <c r="I41" s="84" t="str">
        <f>IFERROR(VLOOKUP($E41,設定!$C:$G,5,0),"")</f>
        <v/>
      </c>
      <c r="J41" s="117"/>
      <c r="K41" s="85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7"/>
      <c r="AP41" s="88">
        <f t="shared" si="0"/>
        <v>0</v>
      </c>
    </row>
    <row r="42" spans="2:42" s="3" customFormat="1" ht="24" customHeight="1" x14ac:dyDescent="0.2">
      <c r="B42" s="80"/>
      <c r="C42" s="81"/>
      <c r="D42" s="82"/>
      <c r="E42" s="83"/>
      <c r="F42" s="84" t="str">
        <f>IFERROR(VLOOKUP($E42,設定!$C:$G,2,0),"")</f>
        <v/>
      </c>
      <c r="G42" s="84" t="str">
        <f>IFERROR(VLOOKUP($E42,設定!$C:$G,3,0),"")</f>
        <v/>
      </c>
      <c r="H42" s="84" t="str">
        <f>IFERROR(VLOOKUP($E42,設定!$C:$G,4,0),"")</f>
        <v/>
      </c>
      <c r="I42" s="84" t="str">
        <f>IFERROR(VLOOKUP($E42,設定!$C:$G,5,0),"")</f>
        <v/>
      </c>
      <c r="J42" s="117"/>
      <c r="K42" s="85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7"/>
      <c r="AP42" s="88">
        <f t="shared" si="0"/>
        <v>0</v>
      </c>
    </row>
    <row r="43" spans="2:42" s="3" customFormat="1" ht="24" customHeight="1" x14ac:dyDescent="0.2">
      <c r="B43" s="80"/>
      <c r="C43" s="81"/>
      <c r="D43" s="82"/>
      <c r="E43" s="83"/>
      <c r="F43" s="84" t="str">
        <f>IFERROR(VLOOKUP($E43,設定!$C:$G,2,0),"")</f>
        <v/>
      </c>
      <c r="G43" s="84" t="str">
        <f>IFERROR(VLOOKUP($E43,設定!$C:$G,3,0),"")</f>
        <v/>
      </c>
      <c r="H43" s="84" t="str">
        <f>IFERROR(VLOOKUP($E43,設定!$C:$G,4,0),"")</f>
        <v/>
      </c>
      <c r="I43" s="84" t="str">
        <f>IFERROR(VLOOKUP($E43,設定!$C:$G,5,0),"")</f>
        <v/>
      </c>
      <c r="J43" s="117"/>
      <c r="K43" s="85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7"/>
      <c r="AP43" s="88">
        <f t="shared" si="0"/>
        <v>0</v>
      </c>
    </row>
    <row r="44" spans="2:42" s="3" customFormat="1" ht="24" customHeight="1" x14ac:dyDescent="0.2">
      <c r="B44" s="80"/>
      <c r="C44" s="81"/>
      <c r="D44" s="82"/>
      <c r="E44" s="83"/>
      <c r="F44" s="84" t="str">
        <f>IFERROR(VLOOKUP($E44,設定!$C:$G,2,0),"")</f>
        <v/>
      </c>
      <c r="G44" s="84" t="str">
        <f>IFERROR(VLOOKUP($E44,設定!$C:$G,3,0),"")</f>
        <v/>
      </c>
      <c r="H44" s="84" t="str">
        <f>IFERROR(VLOOKUP($E44,設定!$C:$G,4,0),"")</f>
        <v/>
      </c>
      <c r="I44" s="84" t="str">
        <f>IFERROR(VLOOKUP($E44,設定!$C:$G,5,0),"")</f>
        <v/>
      </c>
      <c r="J44" s="117"/>
      <c r="K44" s="85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7"/>
      <c r="AP44" s="88">
        <f t="shared" si="0"/>
        <v>0</v>
      </c>
    </row>
    <row r="45" spans="2:42" s="3" customFormat="1" ht="24" customHeight="1" x14ac:dyDescent="0.2">
      <c r="B45" s="80"/>
      <c r="C45" s="81"/>
      <c r="D45" s="82"/>
      <c r="E45" s="83"/>
      <c r="F45" s="84" t="str">
        <f>IFERROR(VLOOKUP($E45,設定!$C:$G,2,0),"")</f>
        <v/>
      </c>
      <c r="G45" s="84" t="str">
        <f>IFERROR(VLOOKUP($E45,設定!$C:$G,3,0),"")</f>
        <v/>
      </c>
      <c r="H45" s="84" t="str">
        <f>IFERROR(VLOOKUP($E45,設定!$C:$G,4,0),"")</f>
        <v/>
      </c>
      <c r="I45" s="84" t="str">
        <f>IFERROR(VLOOKUP($E45,設定!$C:$G,5,0),"")</f>
        <v/>
      </c>
      <c r="J45" s="117"/>
      <c r="K45" s="85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7"/>
      <c r="AP45" s="88">
        <f t="shared" si="0"/>
        <v>0</v>
      </c>
    </row>
    <row r="46" spans="2:42" s="3" customFormat="1" ht="24" customHeight="1" x14ac:dyDescent="0.2">
      <c r="B46" s="80"/>
      <c r="C46" s="81"/>
      <c r="D46" s="82"/>
      <c r="E46" s="83"/>
      <c r="F46" s="84" t="str">
        <f>IFERROR(VLOOKUP($E46,設定!$C:$G,2,0),"")</f>
        <v/>
      </c>
      <c r="G46" s="84" t="str">
        <f>IFERROR(VLOOKUP($E46,設定!$C:$G,3,0),"")</f>
        <v/>
      </c>
      <c r="H46" s="84" t="str">
        <f>IFERROR(VLOOKUP($E46,設定!$C:$G,4,0),"")</f>
        <v/>
      </c>
      <c r="I46" s="84" t="str">
        <f>IFERROR(VLOOKUP($E46,設定!$C:$G,5,0),"")</f>
        <v/>
      </c>
      <c r="J46" s="117"/>
      <c r="K46" s="85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7"/>
      <c r="AP46" s="88">
        <f t="shared" si="0"/>
        <v>0</v>
      </c>
    </row>
    <row r="47" spans="2:42" s="3" customFormat="1" ht="24" customHeight="1" x14ac:dyDescent="0.2">
      <c r="B47" s="80"/>
      <c r="C47" s="81"/>
      <c r="D47" s="82"/>
      <c r="E47" s="83"/>
      <c r="F47" s="84" t="str">
        <f>IFERROR(VLOOKUP($E47,設定!$C:$G,2,0),"")</f>
        <v/>
      </c>
      <c r="G47" s="84" t="str">
        <f>IFERROR(VLOOKUP($E47,設定!$C:$G,3,0),"")</f>
        <v/>
      </c>
      <c r="H47" s="84" t="str">
        <f>IFERROR(VLOOKUP($E47,設定!$C:$G,4,0),"")</f>
        <v/>
      </c>
      <c r="I47" s="84" t="str">
        <f>IFERROR(VLOOKUP($E47,設定!$C:$G,5,0),"")</f>
        <v/>
      </c>
      <c r="J47" s="117"/>
      <c r="K47" s="85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7"/>
      <c r="AP47" s="88">
        <f t="shared" si="0"/>
        <v>0</v>
      </c>
    </row>
    <row r="48" spans="2:42" s="3" customFormat="1" ht="24" customHeight="1" x14ac:dyDescent="0.2">
      <c r="B48" s="80"/>
      <c r="C48" s="81"/>
      <c r="D48" s="82"/>
      <c r="E48" s="83"/>
      <c r="F48" s="84" t="str">
        <f>IFERROR(VLOOKUP($E48,設定!$C:$G,2,0),"")</f>
        <v/>
      </c>
      <c r="G48" s="84" t="str">
        <f>IFERROR(VLOOKUP($E48,設定!$C:$G,3,0),"")</f>
        <v/>
      </c>
      <c r="H48" s="84" t="str">
        <f>IFERROR(VLOOKUP($E48,設定!$C:$G,4,0),"")</f>
        <v/>
      </c>
      <c r="I48" s="84" t="str">
        <f>IFERROR(VLOOKUP($E48,設定!$C:$G,5,0),"")</f>
        <v/>
      </c>
      <c r="J48" s="117"/>
      <c r="K48" s="85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7"/>
      <c r="AP48" s="88">
        <f t="shared" si="0"/>
        <v>0</v>
      </c>
    </row>
    <row r="49" spans="2:42" s="3" customFormat="1" ht="24" customHeight="1" x14ac:dyDescent="0.2">
      <c r="B49" s="80"/>
      <c r="C49" s="81"/>
      <c r="D49" s="82"/>
      <c r="E49" s="83"/>
      <c r="F49" s="84" t="str">
        <f>IFERROR(VLOOKUP($E49,設定!$C:$G,2,0),"")</f>
        <v/>
      </c>
      <c r="G49" s="84" t="str">
        <f>IFERROR(VLOOKUP($E49,設定!$C:$G,3,0),"")</f>
        <v/>
      </c>
      <c r="H49" s="84" t="str">
        <f>IFERROR(VLOOKUP($E49,設定!$C:$G,4,0),"")</f>
        <v/>
      </c>
      <c r="I49" s="84" t="str">
        <f>IFERROR(VLOOKUP($E49,設定!$C:$G,5,0),"")</f>
        <v/>
      </c>
      <c r="J49" s="117"/>
      <c r="K49" s="85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7"/>
      <c r="AP49" s="88">
        <f t="shared" si="0"/>
        <v>0</v>
      </c>
    </row>
    <row r="50" spans="2:42" s="3" customFormat="1" ht="24" customHeight="1" x14ac:dyDescent="0.2">
      <c r="B50" s="80"/>
      <c r="C50" s="81"/>
      <c r="D50" s="82"/>
      <c r="E50" s="83"/>
      <c r="F50" s="84" t="str">
        <f>IFERROR(VLOOKUP($E50,設定!$C:$G,2,0),"")</f>
        <v/>
      </c>
      <c r="G50" s="84" t="str">
        <f>IFERROR(VLOOKUP($E50,設定!$C:$G,3,0),"")</f>
        <v/>
      </c>
      <c r="H50" s="84" t="str">
        <f>IFERROR(VLOOKUP($E50,設定!$C:$G,4,0),"")</f>
        <v/>
      </c>
      <c r="I50" s="84" t="str">
        <f>IFERROR(VLOOKUP($E50,設定!$C:$G,5,0),"")</f>
        <v/>
      </c>
      <c r="J50" s="117"/>
      <c r="K50" s="85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7"/>
      <c r="AP50" s="88">
        <f t="shared" si="0"/>
        <v>0</v>
      </c>
    </row>
    <row r="51" spans="2:42" s="3" customFormat="1" ht="24" customHeight="1" x14ac:dyDescent="0.2">
      <c r="B51" s="80"/>
      <c r="C51" s="81"/>
      <c r="D51" s="82"/>
      <c r="E51" s="83"/>
      <c r="F51" s="84" t="str">
        <f>IFERROR(VLOOKUP($E51,設定!$C:$G,2,0),"")</f>
        <v/>
      </c>
      <c r="G51" s="84" t="str">
        <f>IFERROR(VLOOKUP($E51,設定!$C:$G,3,0),"")</f>
        <v/>
      </c>
      <c r="H51" s="84" t="str">
        <f>IFERROR(VLOOKUP($E51,設定!$C:$G,4,0),"")</f>
        <v/>
      </c>
      <c r="I51" s="84" t="str">
        <f>IFERROR(VLOOKUP($E51,設定!$C:$G,5,0),"")</f>
        <v/>
      </c>
      <c r="J51" s="117"/>
      <c r="K51" s="85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7"/>
      <c r="AP51" s="88">
        <f t="shared" si="0"/>
        <v>0</v>
      </c>
    </row>
    <row r="52" spans="2:42" s="3" customFormat="1" ht="24" customHeight="1" x14ac:dyDescent="0.2">
      <c r="B52" s="80"/>
      <c r="C52" s="81"/>
      <c r="D52" s="82"/>
      <c r="E52" s="83"/>
      <c r="F52" s="84" t="str">
        <f>IFERROR(VLOOKUP($E52,設定!$C:$G,2,0),"")</f>
        <v/>
      </c>
      <c r="G52" s="84" t="str">
        <f>IFERROR(VLOOKUP($E52,設定!$C:$G,3,0),"")</f>
        <v/>
      </c>
      <c r="H52" s="84" t="str">
        <f>IFERROR(VLOOKUP($E52,設定!$C:$G,4,0),"")</f>
        <v/>
      </c>
      <c r="I52" s="84" t="str">
        <f>IFERROR(VLOOKUP($E52,設定!$C:$G,5,0),"")</f>
        <v/>
      </c>
      <c r="J52" s="117"/>
      <c r="K52" s="85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7"/>
      <c r="AP52" s="88">
        <f t="shared" si="0"/>
        <v>0</v>
      </c>
    </row>
    <row r="53" spans="2:42" s="3" customFormat="1" ht="24" customHeight="1" x14ac:dyDescent="0.2">
      <c r="B53" s="80"/>
      <c r="C53" s="81"/>
      <c r="D53" s="82"/>
      <c r="E53" s="83"/>
      <c r="F53" s="84" t="str">
        <f>IFERROR(VLOOKUP($E53,設定!$C:$G,2,0),"")</f>
        <v/>
      </c>
      <c r="G53" s="84" t="str">
        <f>IFERROR(VLOOKUP($E53,設定!$C:$G,3,0),"")</f>
        <v/>
      </c>
      <c r="H53" s="84" t="str">
        <f>IFERROR(VLOOKUP($E53,設定!$C:$G,4,0),"")</f>
        <v/>
      </c>
      <c r="I53" s="84" t="str">
        <f>IFERROR(VLOOKUP($E53,設定!$C:$G,5,0),"")</f>
        <v/>
      </c>
      <c r="J53" s="117"/>
      <c r="K53" s="85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7"/>
      <c r="AP53" s="88">
        <f t="shared" si="0"/>
        <v>0</v>
      </c>
    </row>
    <row r="54" spans="2:42" s="3" customFormat="1" ht="24" customHeight="1" x14ac:dyDescent="0.2">
      <c r="B54" s="80"/>
      <c r="C54" s="81"/>
      <c r="D54" s="82"/>
      <c r="E54" s="83"/>
      <c r="F54" s="84" t="str">
        <f>IFERROR(VLOOKUP($E54,設定!$C:$G,2,0),"")</f>
        <v/>
      </c>
      <c r="G54" s="84" t="str">
        <f>IFERROR(VLOOKUP($E54,設定!$C:$G,3,0),"")</f>
        <v/>
      </c>
      <c r="H54" s="84" t="str">
        <f>IFERROR(VLOOKUP($E54,設定!$C:$G,4,0),"")</f>
        <v/>
      </c>
      <c r="I54" s="84" t="str">
        <f>IFERROR(VLOOKUP($E54,設定!$C:$G,5,0),"")</f>
        <v/>
      </c>
      <c r="J54" s="117"/>
      <c r="K54" s="85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7"/>
      <c r="AP54" s="88">
        <f t="shared" si="0"/>
        <v>0</v>
      </c>
    </row>
    <row r="55" spans="2:42" s="3" customFormat="1" ht="24" customHeight="1" x14ac:dyDescent="0.2">
      <c r="B55" s="80"/>
      <c r="C55" s="81"/>
      <c r="D55" s="82"/>
      <c r="E55" s="83"/>
      <c r="F55" s="84" t="str">
        <f>IFERROR(VLOOKUP($E55,設定!$C:$G,2,0),"")</f>
        <v/>
      </c>
      <c r="G55" s="84" t="str">
        <f>IFERROR(VLOOKUP($E55,設定!$C:$G,3,0),"")</f>
        <v/>
      </c>
      <c r="H55" s="84" t="str">
        <f>IFERROR(VLOOKUP($E55,設定!$C:$G,4,0),"")</f>
        <v/>
      </c>
      <c r="I55" s="84" t="str">
        <f>IFERROR(VLOOKUP($E55,設定!$C:$G,5,0),"")</f>
        <v/>
      </c>
      <c r="J55" s="117"/>
      <c r="K55" s="85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7"/>
      <c r="AP55" s="88">
        <f t="shared" si="0"/>
        <v>0</v>
      </c>
    </row>
    <row r="56" spans="2:42" s="3" customFormat="1" ht="24" customHeight="1" x14ac:dyDescent="0.2">
      <c r="B56" s="80"/>
      <c r="C56" s="81"/>
      <c r="D56" s="82"/>
      <c r="E56" s="83"/>
      <c r="F56" s="84" t="str">
        <f>IFERROR(VLOOKUP($E56,設定!$C:$G,2,0),"")</f>
        <v/>
      </c>
      <c r="G56" s="84" t="str">
        <f>IFERROR(VLOOKUP($E56,設定!$C:$G,3,0),"")</f>
        <v/>
      </c>
      <c r="H56" s="84" t="str">
        <f>IFERROR(VLOOKUP($E56,設定!$C:$G,4,0),"")</f>
        <v/>
      </c>
      <c r="I56" s="84" t="str">
        <f>IFERROR(VLOOKUP($E56,設定!$C:$G,5,0),"")</f>
        <v/>
      </c>
      <c r="J56" s="117"/>
      <c r="K56" s="85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7"/>
      <c r="AP56" s="88">
        <f t="shared" si="0"/>
        <v>0</v>
      </c>
    </row>
    <row r="57" spans="2:42" s="3" customFormat="1" ht="24" customHeight="1" x14ac:dyDescent="0.2">
      <c r="B57" s="80"/>
      <c r="C57" s="81"/>
      <c r="D57" s="82"/>
      <c r="E57" s="83"/>
      <c r="F57" s="84" t="str">
        <f>IFERROR(VLOOKUP($E57,設定!$C:$G,2,0),"")</f>
        <v/>
      </c>
      <c r="G57" s="84" t="str">
        <f>IFERROR(VLOOKUP($E57,設定!$C:$G,3,0),"")</f>
        <v/>
      </c>
      <c r="H57" s="84" t="str">
        <f>IFERROR(VLOOKUP($E57,設定!$C:$G,4,0),"")</f>
        <v/>
      </c>
      <c r="I57" s="84" t="str">
        <f>IFERROR(VLOOKUP($E57,設定!$C:$G,5,0),"")</f>
        <v/>
      </c>
      <c r="J57" s="117"/>
      <c r="K57" s="85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7"/>
      <c r="AP57" s="88">
        <f t="shared" si="0"/>
        <v>0</v>
      </c>
    </row>
    <row r="58" spans="2:42" s="3" customFormat="1" ht="24" customHeight="1" x14ac:dyDescent="0.2">
      <c r="B58" s="80"/>
      <c r="C58" s="81"/>
      <c r="D58" s="82"/>
      <c r="E58" s="83"/>
      <c r="F58" s="84" t="str">
        <f>IFERROR(VLOOKUP($E58,設定!$C:$G,2,0),"")</f>
        <v/>
      </c>
      <c r="G58" s="84" t="str">
        <f>IFERROR(VLOOKUP($E58,設定!$C:$G,3,0),"")</f>
        <v/>
      </c>
      <c r="H58" s="84" t="str">
        <f>IFERROR(VLOOKUP($E58,設定!$C:$G,4,0),"")</f>
        <v/>
      </c>
      <c r="I58" s="84" t="str">
        <f>IFERROR(VLOOKUP($E58,設定!$C:$G,5,0),"")</f>
        <v/>
      </c>
      <c r="J58" s="117"/>
      <c r="K58" s="85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7"/>
      <c r="AP58" s="88">
        <f t="shared" si="0"/>
        <v>0</v>
      </c>
    </row>
    <row r="59" spans="2:42" s="3" customFormat="1" ht="24" customHeight="1" x14ac:dyDescent="0.2">
      <c r="B59" s="80"/>
      <c r="C59" s="81"/>
      <c r="D59" s="82"/>
      <c r="E59" s="83"/>
      <c r="F59" s="84" t="str">
        <f>IFERROR(VLOOKUP($E59,設定!$C:$G,2,0),"")</f>
        <v/>
      </c>
      <c r="G59" s="84" t="str">
        <f>IFERROR(VLOOKUP($E59,設定!$C:$G,3,0),"")</f>
        <v/>
      </c>
      <c r="H59" s="84" t="str">
        <f>IFERROR(VLOOKUP($E59,設定!$C:$G,4,0),"")</f>
        <v/>
      </c>
      <c r="I59" s="84" t="str">
        <f>IFERROR(VLOOKUP($E59,設定!$C:$G,5,0),"")</f>
        <v/>
      </c>
      <c r="J59" s="117"/>
      <c r="K59" s="85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7"/>
      <c r="AP59" s="88">
        <f t="shared" si="0"/>
        <v>0</v>
      </c>
    </row>
    <row r="60" spans="2:42" s="3" customFormat="1" ht="24" customHeight="1" x14ac:dyDescent="0.2">
      <c r="B60" s="80"/>
      <c r="C60" s="81"/>
      <c r="D60" s="82"/>
      <c r="E60" s="83"/>
      <c r="F60" s="84" t="str">
        <f>IFERROR(VLOOKUP($E60,設定!$C:$G,2,0),"")</f>
        <v/>
      </c>
      <c r="G60" s="84" t="str">
        <f>IFERROR(VLOOKUP($E60,設定!$C:$G,3,0),"")</f>
        <v/>
      </c>
      <c r="H60" s="84" t="str">
        <f>IFERROR(VLOOKUP($E60,設定!$C:$G,4,0),"")</f>
        <v/>
      </c>
      <c r="I60" s="84" t="str">
        <f>IFERROR(VLOOKUP($E60,設定!$C:$G,5,0),"")</f>
        <v/>
      </c>
      <c r="J60" s="117"/>
      <c r="K60" s="85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7"/>
      <c r="AP60" s="88">
        <f t="shared" si="0"/>
        <v>0</v>
      </c>
    </row>
    <row r="61" spans="2:42" s="3" customFormat="1" ht="24" customHeight="1" x14ac:dyDescent="0.2">
      <c r="B61" s="80"/>
      <c r="C61" s="81"/>
      <c r="D61" s="82"/>
      <c r="E61" s="83"/>
      <c r="F61" s="84" t="str">
        <f>IFERROR(VLOOKUP($E61,設定!$C:$G,2,0),"")</f>
        <v/>
      </c>
      <c r="G61" s="84" t="str">
        <f>IFERROR(VLOOKUP($E61,設定!$C:$G,3,0),"")</f>
        <v/>
      </c>
      <c r="H61" s="84" t="str">
        <f>IFERROR(VLOOKUP($E61,設定!$C:$G,4,0),"")</f>
        <v/>
      </c>
      <c r="I61" s="84" t="str">
        <f>IFERROR(VLOOKUP($E61,設定!$C:$G,5,0),"")</f>
        <v/>
      </c>
      <c r="J61" s="117"/>
      <c r="K61" s="85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7"/>
      <c r="AP61" s="88">
        <f t="shared" si="0"/>
        <v>0</v>
      </c>
    </row>
    <row r="62" spans="2:42" s="3" customFormat="1" ht="24" customHeight="1" x14ac:dyDescent="0.2">
      <c r="B62" s="80"/>
      <c r="C62" s="81"/>
      <c r="D62" s="82"/>
      <c r="E62" s="83"/>
      <c r="F62" s="84" t="str">
        <f>IFERROR(VLOOKUP($E62,設定!$C:$G,2,0),"")</f>
        <v/>
      </c>
      <c r="G62" s="84" t="str">
        <f>IFERROR(VLOOKUP($E62,設定!$C:$G,3,0),"")</f>
        <v/>
      </c>
      <c r="H62" s="84" t="str">
        <f>IFERROR(VLOOKUP($E62,設定!$C:$G,4,0),"")</f>
        <v/>
      </c>
      <c r="I62" s="84" t="str">
        <f>IFERROR(VLOOKUP($E62,設定!$C:$G,5,0),"")</f>
        <v/>
      </c>
      <c r="J62" s="117"/>
      <c r="K62" s="85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86"/>
      <c r="AE62" s="86"/>
      <c r="AF62" s="86"/>
      <c r="AG62" s="86"/>
      <c r="AH62" s="86"/>
      <c r="AI62" s="86"/>
      <c r="AJ62" s="86"/>
      <c r="AK62" s="86"/>
      <c r="AL62" s="86"/>
      <c r="AM62" s="86"/>
      <c r="AN62" s="86"/>
      <c r="AO62" s="87"/>
      <c r="AP62" s="88">
        <f t="shared" si="0"/>
        <v>0</v>
      </c>
    </row>
    <row r="63" spans="2:42" s="3" customFormat="1" ht="24" customHeight="1" x14ac:dyDescent="0.2">
      <c r="B63" s="80"/>
      <c r="C63" s="81"/>
      <c r="D63" s="82"/>
      <c r="E63" s="83"/>
      <c r="F63" s="84" t="str">
        <f>IFERROR(VLOOKUP($E63,設定!$C:$G,2,0),"")</f>
        <v/>
      </c>
      <c r="G63" s="84" t="str">
        <f>IFERROR(VLOOKUP($E63,設定!$C:$G,3,0),"")</f>
        <v/>
      </c>
      <c r="H63" s="84" t="str">
        <f>IFERROR(VLOOKUP($E63,設定!$C:$G,4,0),"")</f>
        <v/>
      </c>
      <c r="I63" s="84" t="str">
        <f>IFERROR(VLOOKUP($E63,設定!$C:$G,5,0),"")</f>
        <v/>
      </c>
      <c r="J63" s="117"/>
      <c r="K63" s="85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86"/>
      <c r="AE63" s="86"/>
      <c r="AF63" s="86"/>
      <c r="AG63" s="86"/>
      <c r="AH63" s="86"/>
      <c r="AI63" s="86"/>
      <c r="AJ63" s="86"/>
      <c r="AK63" s="86"/>
      <c r="AL63" s="86"/>
      <c r="AM63" s="86"/>
      <c r="AN63" s="86"/>
      <c r="AO63" s="87"/>
      <c r="AP63" s="88">
        <f t="shared" si="0"/>
        <v>0</v>
      </c>
    </row>
    <row r="64" spans="2:42" s="3" customFormat="1" ht="24" customHeight="1" x14ac:dyDescent="0.2">
      <c r="B64" s="80"/>
      <c r="C64" s="81"/>
      <c r="D64" s="82"/>
      <c r="E64" s="83"/>
      <c r="F64" s="84" t="str">
        <f>IFERROR(VLOOKUP($E64,設定!$C:$G,2,0),"")</f>
        <v/>
      </c>
      <c r="G64" s="84" t="str">
        <f>IFERROR(VLOOKUP($E64,設定!$C:$G,3,0),"")</f>
        <v/>
      </c>
      <c r="H64" s="84" t="str">
        <f>IFERROR(VLOOKUP($E64,設定!$C:$G,4,0),"")</f>
        <v/>
      </c>
      <c r="I64" s="84" t="str">
        <f>IFERROR(VLOOKUP($E64,設定!$C:$G,5,0),"")</f>
        <v/>
      </c>
      <c r="J64" s="117"/>
      <c r="K64" s="85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86"/>
      <c r="AE64" s="86"/>
      <c r="AF64" s="86"/>
      <c r="AG64" s="86"/>
      <c r="AH64" s="86"/>
      <c r="AI64" s="86"/>
      <c r="AJ64" s="86"/>
      <c r="AK64" s="86"/>
      <c r="AL64" s="86"/>
      <c r="AM64" s="86"/>
      <c r="AN64" s="86"/>
      <c r="AO64" s="87"/>
      <c r="AP64" s="88">
        <f t="shared" si="0"/>
        <v>0</v>
      </c>
    </row>
    <row r="65" spans="2:42" s="3" customFormat="1" ht="24" customHeight="1" x14ac:dyDescent="0.2">
      <c r="B65" s="80"/>
      <c r="C65" s="81"/>
      <c r="D65" s="82"/>
      <c r="E65" s="83"/>
      <c r="F65" s="84" t="str">
        <f>IFERROR(VLOOKUP($E65,設定!$C:$G,2,0),"")</f>
        <v/>
      </c>
      <c r="G65" s="84" t="str">
        <f>IFERROR(VLOOKUP($E65,設定!$C:$G,3,0),"")</f>
        <v/>
      </c>
      <c r="H65" s="84" t="str">
        <f>IFERROR(VLOOKUP($E65,設定!$C:$G,4,0),"")</f>
        <v/>
      </c>
      <c r="I65" s="84" t="str">
        <f>IFERROR(VLOOKUP($E65,設定!$C:$G,5,0),"")</f>
        <v/>
      </c>
      <c r="J65" s="117"/>
      <c r="K65" s="85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7"/>
      <c r="AP65" s="88">
        <f t="shared" si="0"/>
        <v>0</v>
      </c>
    </row>
    <row r="66" spans="2:42" s="3" customFormat="1" ht="24" customHeight="1" x14ac:dyDescent="0.2">
      <c r="B66" s="80"/>
      <c r="C66" s="81"/>
      <c r="D66" s="82"/>
      <c r="E66" s="83"/>
      <c r="F66" s="84" t="str">
        <f>IFERROR(VLOOKUP($E66,設定!$C:$G,2,0),"")</f>
        <v/>
      </c>
      <c r="G66" s="84" t="str">
        <f>IFERROR(VLOOKUP($E66,設定!$C:$G,3,0),"")</f>
        <v/>
      </c>
      <c r="H66" s="84" t="str">
        <f>IFERROR(VLOOKUP($E66,設定!$C:$G,4,0),"")</f>
        <v/>
      </c>
      <c r="I66" s="84" t="str">
        <f>IFERROR(VLOOKUP($E66,設定!$C:$G,5,0),"")</f>
        <v/>
      </c>
      <c r="J66" s="117"/>
      <c r="K66" s="85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7"/>
      <c r="AP66" s="88">
        <f t="shared" si="0"/>
        <v>0</v>
      </c>
    </row>
    <row r="67" spans="2:42" s="3" customFormat="1" ht="24" customHeight="1" x14ac:dyDescent="0.2">
      <c r="B67" s="80"/>
      <c r="C67" s="81"/>
      <c r="D67" s="82"/>
      <c r="E67" s="83"/>
      <c r="F67" s="84" t="str">
        <f>IFERROR(VLOOKUP($E67,設定!$C:$G,2,0),"")</f>
        <v/>
      </c>
      <c r="G67" s="84" t="str">
        <f>IFERROR(VLOOKUP($E67,設定!$C:$G,3,0),"")</f>
        <v/>
      </c>
      <c r="H67" s="84" t="str">
        <f>IFERROR(VLOOKUP($E67,設定!$C:$G,4,0),"")</f>
        <v/>
      </c>
      <c r="I67" s="84" t="str">
        <f>IFERROR(VLOOKUP($E67,設定!$C:$G,5,0),"")</f>
        <v/>
      </c>
      <c r="J67" s="117"/>
      <c r="K67" s="85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7"/>
      <c r="AP67" s="88">
        <f t="shared" si="0"/>
        <v>0</v>
      </c>
    </row>
    <row r="68" spans="2:42" s="3" customFormat="1" ht="24" customHeight="1" x14ac:dyDescent="0.2">
      <c r="B68" s="80"/>
      <c r="C68" s="81"/>
      <c r="D68" s="82"/>
      <c r="E68" s="83"/>
      <c r="F68" s="84" t="str">
        <f>IFERROR(VLOOKUP($E68,設定!$C:$G,2,0),"")</f>
        <v/>
      </c>
      <c r="G68" s="84" t="str">
        <f>IFERROR(VLOOKUP($E68,設定!$C:$G,3,0),"")</f>
        <v/>
      </c>
      <c r="H68" s="84" t="str">
        <f>IFERROR(VLOOKUP($E68,設定!$C:$G,4,0),"")</f>
        <v/>
      </c>
      <c r="I68" s="84" t="str">
        <f>IFERROR(VLOOKUP($E68,設定!$C:$G,5,0),"")</f>
        <v/>
      </c>
      <c r="J68" s="117"/>
      <c r="K68" s="85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86"/>
      <c r="AE68" s="86"/>
      <c r="AF68" s="86"/>
      <c r="AG68" s="86"/>
      <c r="AH68" s="86"/>
      <c r="AI68" s="86"/>
      <c r="AJ68" s="86"/>
      <c r="AK68" s="86"/>
      <c r="AL68" s="86"/>
      <c r="AM68" s="86"/>
      <c r="AN68" s="86"/>
      <c r="AO68" s="87"/>
      <c r="AP68" s="88">
        <f t="shared" si="0"/>
        <v>0</v>
      </c>
    </row>
    <row r="69" spans="2:42" s="3" customFormat="1" ht="24" customHeight="1" x14ac:dyDescent="0.2">
      <c r="B69" s="80"/>
      <c r="C69" s="81"/>
      <c r="D69" s="82"/>
      <c r="E69" s="83"/>
      <c r="F69" s="84" t="str">
        <f>IFERROR(VLOOKUP($E69,設定!$C:$G,2,0),"")</f>
        <v/>
      </c>
      <c r="G69" s="84" t="str">
        <f>IFERROR(VLOOKUP($E69,設定!$C:$G,3,0),"")</f>
        <v/>
      </c>
      <c r="H69" s="84" t="str">
        <f>IFERROR(VLOOKUP($E69,設定!$C:$G,4,0),"")</f>
        <v/>
      </c>
      <c r="I69" s="84" t="str">
        <f>IFERROR(VLOOKUP($E69,設定!$C:$G,5,0),"")</f>
        <v/>
      </c>
      <c r="J69" s="117"/>
      <c r="K69" s="85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86"/>
      <c r="AE69" s="86"/>
      <c r="AF69" s="86"/>
      <c r="AG69" s="86"/>
      <c r="AH69" s="86"/>
      <c r="AI69" s="86"/>
      <c r="AJ69" s="86"/>
      <c r="AK69" s="86"/>
      <c r="AL69" s="86"/>
      <c r="AM69" s="86"/>
      <c r="AN69" s="86"/>
      <c r="AO69" s="87"/>
      <c r="AP69" s="88">
        <f t="shared" si="0"/>
        <v>0</v>
      </c>
    </row>
    <row r="70" spans="2:42" s="3" customFormat="1" ht="24" customHeight="1" x14ac:dyDescent="0.2">
      <c r="B70" s="80"/>
      <c r="C70" s="81"/>
      <c r="D70" s="82"/>
      <c r="E70" s="83"/>
      <c r="F70" s="84" t="str">
        <f>IFERROR(VLOOKUP($E70,設定!$C:$G,2,0),"")</f>
        <v/>
      </c>
      <c r="G70" s="84" t="str">
        <f>IFERROR(VLOOKUP($E70,設定!$C:$G,3,0),"")</f>
        <v/>
      </c>
      <c r="H70" s="84" t="str">
        <f>IFERROR(VLOOKUP($E70,設定!$C:$G,4,0),"")</f>
        <v/>
      </c>
      <c r="I70" s="84" t="str">
        <f>IFERROR(VLOOKUP($E70,設定!$C:$G,5,0),"")</f>
        <v/>
      </c>
      <c r="J70" s="117"/>
      <c r="K70" s="85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86"/>
      <c r="AE70" s="86"/>
      <c r="AF70" s="86"/>
      <c r="AG70" s="86"/>
      <c r="AH70" s="86"/>
      <c r="AI70" s="86"/>
      <c r="AJ70" s="86"/>
      <c r="AK70" s="86"/>
      <c r="AL70" s="86"/>
      <c r="AM70" s="86"/>
      <c r="AN70" s="86"/>
      <c r="AO70" s="87"/>
      <c r="AP70" s="88">
        <f t="shared" si="0"/>
        <v>0</v>
      </c>
    </row>
    <row r="71" spans="2:42" s="3" customFormat="1" ht="24" customHeight="1" x14ac:dyDescent="0.2">
      <c r="B71" s="80"/>
      <c r="C71" s="81"/>
      <c r="D71" s="82"/>
      <c r="E71" s="83"/>
      <c r="F71" s="84" t="str">
        <f>IFERROR(VLOOKUP($E71,設定!$C:$G,2,0),"")</f>
        <v/>
      </c>
      <c r="G71" s="84" t="str">
        <f>IFERROR(VLOOKUP($E71,設定!$C:$G,3,0),"")</f>
        <v/>
      </c>
      <c r="H71" s="84" t="str">
        <f>IFERROR(VLOOKUP($E71,設定!$C:$G,4,0),"")</f>
        <v/>
      </c>
      <c r="I71" s="84" t="str">
        <f>IFERROR(VLOOKUP($E71,設定!$C:$G,5,0),"")</f>
        <v/>
      </c>
      <c r="J71" s="117"/>
      <c r="K71" s="85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86"/>
      <c r="AE71" s="86"/>
      <c r="AF71" s="86"/>
      <c r="AG71" s="86"/>
      <c r="AH71" s="86"/>
      <c r="AI71" s="86"/>
      <c r="AJ71" s="86"/>
      <c r="AK71" s="86"/>
      <c r="AL71" s="86"/>
      <c r="AM71" s="86"/>
      <c r="AN71" s="86"/>
      <c r="AO71" s="87"/>
      <c r="AP71" s="88">
        <f t="shared" si="0"/>
        <v>0</v>
      </c>
    </row>
    <row r="72" spans="2:42" s="3" customFormat="1" ht="24" customHeight="1" x14ac:dyDescent="0.2">
      <c r="B72" s="80"/>
      <c r="C72" s="81"/>
      <c r="D72" s="82"/>
      <c r="E72" s="83"/>
      <c r="F72" s="84" t="str">
        <f>IFERROR(VLOOKUP($E72,設定!$C:$G,2,0),"")</f>
        <v/>
      </c>
      <c r="G72" s="84" t="str">
        <f>IFERROR(VLOOKUP($E72,設定!$C:$G,3,0),"")</f>
        <v/>
      </c>
      <c r="H72" s="84" t="str">
        <f>IFERROR(VLOOKUP($E72,設定!$C:$G,4,0),"")</f>
        <v/>
      </c>
      <c r="I72" s="84" t="str">
        <f>IFERROR(VLOOKUP($E72,設定!$C:$G,5,0),"")</f>
        <v/>
      </c>
      <c r="J72" s="117"/>
      <c r="K72" s="85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86"/>
      <c r="AE72" s="86"/>
      <c r="AF72" s="86"/>
      <c r="AG72" s="86"/>
      <c r="AH72" s="86"/>
      <c r="AI72" s="86"/>
      <c r="AJ72" s="86"/>
      <c r="AK72" s="86"/>
      <c r="AL72" s="86"/>
      <c r="AM72" s="86"/>
      <c r="AN72" s="86"/>
      <c r="AO72" s="87"/>
      <c r="AP72" s="88">
        <f t="shared" ref="AP72:AP135" si="1">J72*SUM(K72:AO72)</f>
        <v>0</v>
      </c>
    </row>
    <row r="73" spans="2:42" s="3" customFormat="1" ht="24" customHeight="1" x14ac:dyDescent="0.2">
      <c r="B73" s="80"/>
      <c r="C73" s="81"/>
      <c r="D73" s="82"/>
      <c r="E73" s="83"/>
      <c r="F73" s="84" t="str">
        <f>IFERROR(VLOOKUP($E73,設定!$C:$G,2,0),"")</f>
        <v/>
      </c>
      <c r="G73" s="84" t="str">
        <f>IFERROR(VLOOKUP($E73,設定!$C:$G,3,0),"")</f>
        <v/>
      </c>
      <c r="H73" s="84" t="str">
        <f>IFERROR(VLOOKUP($E73,設定!$C:$G,4,0),"")</f>
        <v/>
      </c>
      <c r="I73" s="84" t="str">
        <f>IFERROR(VLOOKUP($E73,設定!$C:$G,5,0),"")</f>
        <v/>
      </c>
      <c r="J73" s="117"/>
      <c r="K73" s="85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86"/>
      <c r="AE73" s="86"/>
      <c r="AF73" s="86"/>
      <c r="AG73" s="86"/>
      <c r="AH73" s="86"/>
      <c r="AI73" s="86"/>
      <c r="AJ73" s="86"/>
      <c r="AK73" s="86"/>
      <c r="AL73" s="86"/>
      <c r="AM73" s="86"/>
      <c r="AN73" s="86"/>
      <c r="AO73" s="87"/>
      <c r="AP73" s="88">
        <f t="shared" si="1"/>
        <v>0</v>
      </c>
    </row>
    <row r="74" spans="2:42" s="3" customFormat="1" ht="24" customHeight="1" x14ac:dyDescent="0.2">
      <c r="B74" s="80"/>
      <c r="C74" s="81"/>
      <c r="D74" s="82"/>
      <c r="E74" s="83"/>
      <c r="F74" s="84" t="str">
        <f>IFERROR(VLOOKUP($E74,設定!$C:$G,2,0),"")</f>
        <v/>
      </c>
      <c r="G74" s="84" t="str">
        <f>IFERROR(VLOOKUP($E74,設定!$C:$G,3,0),"")</f>
        <v/>
      </c>
      <c r="H74" s="84" t="str">
        <f>IFERROR(VLOOKUP($E74,設定!$C:$G,4,0),"")</f>
        <v/>
      </c>
      <c r="I74" s="84" t="str">
        <f>IFERROR(VLOOKUP($E74,設定!$C:$G,5,0),"")</f>
        <v/>
      </c>
      <c r="J74" s="117"/>
      <c r="K74" s="85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86"/>
      <c r="AE74" s="86"/>
      <c r="AF74" s="86"/>
      <c r="AG74" s="86"/>
      <c r="AH74" s="86"/>
      <c r="AI74" s="86"/>
      <c r="AJ74" s="86"/>
      <c r="AK74" s="86"/>
      <c r="AL74" s="86"/>
      <c r="AM74" s="86"/>
      <c r="AN74" s="86"/>
      <c r="AO74" s="87"/>
      <c r="AP74" s="88">
        <f t="shared" si="1"/>
        <v>0</v>
      </c>
    </row>
    <row r="75" spans="2:42" s="3" customFormat="1" ht="24" customHeight="1" x14ac:dyDescent="0.2">
      <c r="B75" s="80"/>
      <c r="C75" s="81"/>
      <c r="D75" s="82"/>
      <c r="E75" s="83"/>
      <c r="F75" s="84" t="str">
        <f>IFERROR(VLOOKUP($E75,設定!$C:$G,2,0),"")</f>
        <v/>
      </c>
      <c r="G75" s="84" t="str">
        <f>IFERROR(VLOOKUP($E75,設定!$C:$G,3,0),"")</f>
        <v/>
      </c>
      <c r="H75" s="84" t="str">
        <f>IFERROR(VLOOKUP($E75,設定!$C:$G,4,0),"")</f>
        <v/>
      </c>
      <c r="I75" s="84" t="str">
        <f>IFERROR(VLOOKUP($E75,設定!$C:$G,5,0),"")</f>
        <v/>
      </c>
      <c r="J75" s="117"/>
      <c r="K75" s="85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  <c r="AG75" s="86"/>
      <c r="AH75" s="86"/>
      <c r="AI75" s="86"/>
      <c r="AJ75" s="86"/>
      <c r="AK75" s="86"/>
      <c r="AL75" s="86"/>
      <c r="AM75" s="86"/>
      <c r="AN75" s="86"/>
      <c r="AO75" s="87"/>
      <c r="AP75" s="88">
        <f t="shared" si="1"/>
        <v>0</v>
      </c>
    </row>
    <row r="76" spans="2:42" s="3" customFormat="1" ht="24" customHeight="1" x14ac:dyDescent="0.2">
      <c r="B76" s="80"/>
      <c r="C76" s="81"/>
      <c r="D76" s="82"/>
      <c r="E76" s="83"/>
      <c r="F76" s="84" t="str">
        <f>IFERROR(VLOOKUP($E76,設定!$C:$G,2,0),"")</f>
        <v/>
      </c>
      <c r="G76" s="84" t="str">
        <f>IFERROR(VLOOKUP($E76,設定!$C:$G,3,0),"")</f>
        <v/>
      </c>
      <c r="H76" s="84" t="str">
        <f>IFERROR(VLOOKUP($E76,設定!$C:$G,4,0),"")</f>
        <v/>
      </c>
      <c r="I76" s="84" t="str">
        <f>IFERROR(VLOOKUP($E76,設定!$C:$G,5,0),"")</f>
        <v/>
      </c>
      <c r="J76" s="117"/>
      <c r="K76" s="85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6"/>
      <c r="AJ76" s="86"/>
      <c r="AK76" s="86"/>
      <c r="AL76" s="86"/>
      <c r="AM76" s="86"/>
      <c r="AN76" s="86"/>
      <c r="AO76" s="87"/>
      <c r="AP76" s="88">
        <f t="shared" si="1"/>
        <v>0</v>
      </c>
    </row>
    <row r="77" spans="2:42" s="3" customFormat="1" ht="24" customHeight="1" x14ac:dyDescent="0.2">
      <c r="B77" s="80"/>
      <c r="C77" s="81"/>
      <c r="D77" s="82"/>
      <c r="E77" s="83"/>
      <c r="F77" s="84" t="str">
        <f>IFERROR(VLOOKUP($E77,設定!$C:$G,2,0),"")</f>
        <v/>
      </c>
      <c r="G77" s="84" t="str">
        <f>IFERROR(VLOOKUP($E77,設定!$C:$G,3,0),"")</f>
        <v/>
      </c>
      <c r="H77" s="84" t="str">
        <f>IFERROR(VLOOKUP($E77,設定!$C:$G,4,0),"")</f>
        <v/>
      </c>
      <c r="I77" s="84" t="str">
        <f>IFERROR(VLOOKUP($E77,設定!$C:$G,5,0),"")</f>
        <v/>
      </c>
      <c r="J77" s="117"/>
      <c r="K77" s="85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7"/>
      <c r="AP77" s="88">
        <f t="shared" si="1"/>
        <v>0</v>
      </c>
    </row>
    <row r="78" spans="2:42" s="3" customFormat="1" ht="24" customHeight="1" x14ac:dyDescent="0.2">
      <c r="B78" s="80"/>
      <c r="C78" s="81"/>
      <c r="D78" s="82"/>
      <c r="E78" s="83"/>
      <c r="F78" s="84" t="str">
        <f>IFERROR(VLOOKUP($E78,設定!$C:$G,2,0),"")</f>
        <v/>
      </c>
      <c r="G78" s="84" t="str">
        <f>IFERROR(VLOOKUP($E78,設定!$C:$G,3,0),"")</f>
        <v/>
      </c>
      <c r="H78" s="84" t="str">
        <f>IFERROR(VLOOKUP($E78,設定!$C:$G,4,0),"")</f>
        <v/>
      </c>
      <c r="I78" s="84" t="str">
        <f>IFERROR(VLOOKUP($E78,設定!$C:$G,5,0),"")</f>
        <v/>
      </c>
      <c r="J78" s="117"/>
      <c r="K78" s="85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7"/>
      <c r="AP78" s="88">
        <f t="shared" si="1"/>
        <v>0</v>
      </c>
    </row>
    <row r="79" spans="2:42" s="3" customFormat="1" ht="24" customHeight="1" x14ac:dyDescent="0.2">
      <c r="B79" s="80"/>
      <c r="C79" s="81"/>
      <c r="D79" s="82"/>
      <c r="E79" s="83"/>
      <c r="F79" s="84" t="str">
        <f>IFERROR(VLOOKUP($E79,設定!$C:$G,2,0),"")</f>
        <v/>
      </c>
      <c r="G79" s="84" t="str">
        <f>IFERROR(VLOOKUP($E79,設定!$C:$G,3,0),"")</f>
        <v/>
      </c>
      <c r="H79" s="84" t="str">
        <f>IFERROR(VLOOKUP($E79,設定!$C:$G,4,0),"")</f>
        <v/>
      </c>
      <c r="I79" s="84" t="str">
        <f>IFERROR(VLOOKUP($E79,設定!$C:$G,5,0),"")</f>
        <v/>
      </c>
      <c r="J79" s="117"/>
      <c r="K79" s="85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7"/>
      <c r="AP79" s="88">
        <f t="shared" si="1"/>
        <v>0</v>
      </c>
    </row>
    <row r="80" spans="2:42" s="3" customFormat="1" ht="24" customHeight="1" x14ac:dyDescent="0.2">
      <c r="B80" s="80"/>
      <c r="C80" s="81"/>
      <c r="D80" s="82"/>
      <c r="E80" s="83"/>
      <c r="F80" s="84" t="str">
        <f>IFERROR(VLOOKUP($E80,設定!$C:$G,2,0),"")</f>
        <v/>
      </c>
      <c r="G80" s="84" t="str">
        <f>IFERROR(VLOOKUP($E80,設定!$C:$G,3,0),"")</f>
        <v/>
      </c>
      <c r="H80" s="84" t="str">
        <f>IFERROR(VLOOKUP($E80,設定!$C:$G,4,0),"")</f>
        <v/>
      </c>
      <c r="I80" s="84" t="str">
        <f>IFERROR(VLOOKUP($E80,設定!$C:$G,5,0),"")</f>
        <v/>
      </c>
      <c r="J80" s="117"/>
      <c r="K80" s="85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7"/>
      <c r="AP80" s="88">
        <f t="shared" si="1"/>
        <v>0</v>
      </c>
    </row>
    <row r="81" spans="2:42" s="3" customFormat="1" ht="24" customHeight="1" x14ac:dyDescent="0.2">
      <c r="B81" s="80"/>
      <c r="C81" s="81"/>
      <c r="D81" s="82"/>
      <c r="E81" s="83"/>
      <c r="F81" s="84" t="str">
        <f>IFERROR(VLOOKUP($E81,設定!$C:$G,2,0),"")</f>
        <v/>
      </c>
      <c r="G81" s="84" t="str">
        <f>IFERROR(VLOOKUP($E81,設定!$C:$G,3,0),"")</f>
        <v/>
      </c>
      <c r="H81" s="84" t="str">
        <f>IFERROR(VLOOKUP($E81,設定!$C:$G,4,0),"")</f>
        <v/>
      </c>
      <c r="I81" s="84" t="str">
        <f>IFERROR(VLOOKUP($E81,設定!$C:$G,5,0),"")</f>
        <v/>
      </c>
      <c r="J81" s="117"/>
      <c r="K81" s="85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7"/>
      <c r="AP81" s="88">
        <f t="shared" si="1"/>
        <v>0</v>
      </c>
    </row>
    <row r="82" spans="2:42" s="3" customFormat="1" ht="24" customHeight="1" x14ac:dyDescent="0.2">
      <c r="B82" s="80"/>
      <c r="C82" s="81"/>
      <c r="D82" s="82"/>
      <c r="E82" s="83"/>
      <c r="F82" s="84" t="str">
        <f>IFERROR(VLOOKUP($E82,設定!$C:$G,2,0),"")</f>
        <v/>
      </c>
      <c r="G82" s="84" t="str">
        <f>IFERROR(VLOOKUP($E82,設定!$C:$G,3,0),"")</f>
        <v/>
      </c>
      <c r="H82" s="84" t="str">
        <f>IFERROR(VLOOKUP($E82,設定!$C:$G,4,0),"")</f>
        <v/>
      </c>
      <c r="I82" s="84" t="str">
        <f>IFERROR(VLOOKUP($E82,設定!$C:$G,5,0),"")</f>
        <v/>
      </c>
      <c r="J82" s="117"/>
      <c r="K82" s="85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7"/>
      <c r="AP82" s="88">
        <f t="shared" si="1"/>
        <v>0</v>
      </c>
    </row>
    <row r="83" spans="2:42" s="3" customFormat="1" ht="24" customHeight="1" x14ac:dyDescent="0.2">
      <c r="B83" s="80"/>
      <c r="C83" s="81"/>
      <c r="D83" s="82"/>
      <c r="E83" s="83"/>
      <c r="F83" s="84" t="str">
        <f>IFERROR(VLOOKUP($E83,設定!$C:$G,2,0),"")</f>
        <v/>
      </c>
      <c r="G83" s="84" t="str">
        <f>IFERROR(VLOOKUP($E83,設定!$C:$G,3,0),"")</f>
        <v/>
      </c>
      <c r="H83" s="84" t="str">
        <f>IFERROR(VLOOKUP($E83,設定!$C:$G,4,0),"")</f>
        <v/>
      </c>
      <c r="I83" s="84" t="str">
        <f>IFERROR(VLOOKUP($E83,設定!$C:$G,5,0),"")</f>
        <v/>
      </c>
      <c r="J83" s="117"/>
      <c r="K83" s="85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7"/>
      <c r="AP83" s="88">
        <f t="shared" si="1"/>
        <v>0</v>
      </c>
    </row>
    <row r="84" spans="2:42" s="3" customFormat="1" ht="24" customHeight="1" x14ac:dyDescent="0.2">
      <c r="B84" s="80"/>
      <c r="C84" s="81"/>
      <c r="D84" s="82"/>
      <c r="E84" s="83"/>
      <c r="F84" s="84" t="str">
        <f>IFERROR(VLOOKUP($E84,設定!$C:$G,2,0),"")</f>
        <v/>
      </c>
      <c r="G84" s="84" t="str">
        <f>IFERROR(VLOOKUP($E84,設定!$C:$G,3,0),"")</f>
        <v/>
      </c>
      <c r="H84" s="84" t="str">
        <f>IFERROR(VLOOKUP($E84,設定!$C:$G,4,0),"")</f>
        <v/>
      </c>
      <c r="I84" s="84" t="str">
        <f>IFERROR(VLOOKUP($E84,設定!$C:$G,5,0),"")</f>
        <v/>
      </c>
      <c r="J84" s="117"/>
      <c r="K84" s="85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7"/>
      <c r="AP84" s="88">
        <f t="shared" si="1"/>
        <v>0</v>
      </c>
    </row>
    <row r="85" spans="2:42" s="3" customFormat="1" ht="24" customHeight="1" x14ac:dyDescent="0.2">
      <c r="B85" s="80"/>
      <c r="C85" s="81"/>
      <c r="D85" s="82"/>
      <c r="E85" s="83"/>
      <c r="F85" s="84" t="str">
        <f>IFERROR(VLOOKUP($E85,設定!$C:$G,2,0),"")</f>
        <v/>
      </c>
      <c r="G85" s="84" t="str">
        <f>IFERROR(VLOOKUP($E85,設定!$C:$G,3,0),"")</f>
        <v/>
      </c>
      <c r="H85" s="84" t="str">
        <f>IFERROR(VLOOKUP($E85,設定!$C:$G,4,0),"")</f>
        <v/>
      </c>
      <c r="I85" s="84" t="str">
        <f>IFERROR(VLOOKUP($E85,設定!$C:$G,5,0),"")</f>
        <v/>
      </c>
      <c r="J85" s="117"/>
      <c r="K85" s="85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7"/>
      <c r="AP85" s="88">
        <f t="shared" si="1"/>
        <v>0</v>
      </c>
    </row>
    <row r="86" spans="2:42" s="3" customFormat="1" ht="24" customHeight="1" x14ac:dyDescent="0.2">
      <c r="B86" s="80"/>
      <c r="C86" s="81"/>
      <c r="D86" s="82"/>
      <c r="E86" s="83"/>
      <c r="F86" s="84" t="str">
        <f>IFERROR(VLOOKUP($E86,設定!$C:$G,2,0),"")</f>
        <v/>
      </c>
      <c r="G86" s="84" t="str">
        <f>IFERROR(VLOOKUP($E86,設定!$C:$G,3,0),"")</f>
        <v/>
      </c>
      <c r="H86" s="84" t="str">
        <f>IFERROR(VLOOKUP($E86,設定!$C:$G,4,0),"")</f>
        <v/>
      </c>
      <c r="I86" s="84" t="str">
        <f>IFERROR(VLOOKUP($E86,設定!$C:$G,5,0),"")</f>
        <v/>
      </c>
      <c r="J86" s="117"/>
      <c r="K86" s="85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7"/>
      <c r="AP86" s="88">
        <f t="shared" si="1"/>
        <v>0</v>
      </c>
    </row>
    <row r="87" spans="2:42" s="3" customFormat="1" ht="24" customHeight="1" x14ac:dyDescent="0.2">
      <c r="B87" s="80"/>
      <c r="C87" s="81"/>
      <c r="D87" s="82"/>
      <c r="E87" s="83"/>
      <c r="F87" s="84" t="str">
        <f>IFERROR(VLOOKUP($E87,設定!$C:$G,2,0),"")</f>
        <v/>
      </c>
      <c r="G87" s="84" t="str">
        <f>IFERROR(VLOOKUP($E87,設定!$C:$G,3,0),"")</f>
        <v/>
      </c>
      <c r="H87" s="84" t="str">
        <f>IFERROR(VLOOKUP($E87,設定!$C:$G,4,0),"")</f>
        <v/>
      </c>
      <c r="I87" s="84" t="str">
        <f>IFERROR(VLOOKUP($E87,設定!$C:$G,5,0),"")</f>
        <v/>
      </c>
      <c r="J87" s="117"/>
      <c r="K87" s="85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7"/>
      <c r="AP87" s="88">
        <f t="shared" si="1"/>
        <v>0</v>
      </c>
    </row>
    <row r="88" spans="2:42" s="3" customFormat="1" ht="24" customHeight="1" x14ac:dyDescent="0.2">
      <c r="B88" s="80"/>
      <c r="C88" s="81"/>
      <c r="D88" s="82"/>
      <c r="E88" s="83"/>
      <c r="F88" s="84" t="str">
        <f>IFERROR(VLOOKUP($E88,設定!$C:$G,2,0),"")</f>
        <v/>
      </c>
      <c r="G88" s="84" t="str">
        <f>IFERROR(VLOOKUP($E88,設定!$C:$G,3,0),"")</f>
        <v/>
      </c>
      <c r="H88" s="84" t="str">
        <f>IFERROR(VLOOKUP($E88,設定!$C:$G,4,0),"")</f>
        <v/>
      </c>
      <c r="I88" s="84" t="str">
        <f>IFERROR(VLOOKUP($E88,設定!$C:$G,5,0),"")</f>
        <v/>
      </c>
      <c r="J88" s="117"/>
      <c r="K88" s="85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7"/>
      <c r="AP88" s="88">
        <f t="shared" si="1"/>
        <v>0</v>
      </c>
    </row>
    <row r="89" spans="2:42" s="3" customFormat="1" ht="24" customHeight="1" x14ac:dyDescent="0.2">
      <c r="B89" s="80"/>
      <c r="C89" s="81"/>
      <c r="D89" s="82"/>
      <c r="E89" s="83"/>
      <c r="F89" s="84" t="str">
        <f>IFERROR(VLOOKUP($E89,設定!$C:$G,2,0),"")</f>
        <v/>
      </c>
      <c r="G89" s="84" t="str">
        <f>IFERROR(VLOOKUP($E89,設定!$C:$G,3,0),"")</f>
        <v/>
      </c>
      <c r="H89" s="84" t="str">
        <f>IFERROR(VLOOKUP($E89,設定!$C:$G,4,0),"")</f>
        <v/>
      </c>
      <c r="I89" s="84" t="str">
        <f>IFERROR(VLOOKUP($E89,設定!$C:$G,5,0),"")</f>
        <v/>
      </c>
      <c r="J89" s="117"/>
      <c r="K89" s="85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7"/>
      <c r="AP89" s="88">
        <f t="shared" si="1"/>
        <v>0</v>
      </c>
    </row>
    <row r="90" spans="2:42" s="3" customFormat="1" ht="24" customHeight="1" x14ac:dyDescent="0.2">
      <c r="B90" s="80"/>
      <c r="C90" s="81"/>
      <c r="D90" s="82"/>
      <c r="E90" s="83"/>
      <c r="F90" s="84" t="str">
        <f>IFERROR(VLOOKUP($E90,設定!$C:$G,2,0),"")</f>
        <v/>
      </c>
      <c r="G90" s="84" t="str">
        <f>IFERROR(VLOOKUP($E90,設定!$C:$G,3,0),"")</f>
        <v/>
      </c>
      <c r="H90" s="84" t="str">
        <f>IFERROR(VLOOKUP($E90,設定!$C:$G,4,0),"")</f>
        <v/>
      </c>
      <c r="I90" s="84" t="str">
        <f>IFERROR(VLOOKUP($E90,設定!$C:$G,5,0),"")</f>
        <v/>
      </c>
      <c r="J90" s="117"/>
      <c r="K90" s="85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86"/>
      <c r="AE90" s="86"/>
      <c r="AF90" s="86"/>
      <c r="AG90" s="86"/>
      <c r="AH90" s="86"/>
      <c r="AI90" s="86"/>
      <c r="AJ90" s="86"/>
      <c r="AK90" s="86"/>
      <c r="AL90" s="86"/>
      <c r="AM90" s="86"/>
      <c r="AN90" s="86"/>
      <c r="AO90" s="87"/>
      <c r="AP90" s="88">
        <f t="shared" si="1"/>
        <v>0</v>
      </c>
    </row>
    <row r="91" spans="2:42" s="3" customFormat="1" ht="24" customHeight="1" x14ac:dyDescent="0.2">
      <c r="B91" s="80"/>
      <c r="C91" s="81"/>
      <c r="D91" s="82"/>
      <c r="E91" s="83"/>
      <c r="F91" s="84" t="str">
        <f>IFERROR(VLOOKUP($E91,設定!$C:$G,2,0),"")</f>
        <v/>
      </c>
      <c r="G91" s="84" t="str">
        <f>IFERROR(VLOOKUP($E91,設定!$C:$G,3,0),"")</f>
        <v/>
      </c>
      <c r="H91" s="84" t="str">
        <f>IFERROR(VLOOKUP($E91,設定!$C:$G,4,0),"")</f>
        <v/>
      </c>
      <c r="I91" s="84" t="str">
        <f>IFERROR(VLOOKUP($E91,設定!$C:$G,5,0),"")</f>
        <v/>
      </c>
      <c r="J91" s="117"/>
      <c r="K91" s="85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86"/>
      <c r="AE91" s="86"/>
      <c r="AF91" s="86"/>
      <c r="AG91" s="86"/>
      <c r="AH91" s="86"/>
      <c r="AI91" s="86"/>
      <c r="AJ91" s="86"/>
      <c r="AK91" s="86"/>
      <c r="AL91" s="86"/>
      <c r="AM91" s="86"/>
      <c r="AN91" s="86"/>
      <c r="AO91" s="87"/>
      <c r="AP91" s="88">
        <f t="shared" si="1"/>
        <v>0</v>
      </c>
    </row>
    <row r="92" spans="2:42" s="3" customFormat="1" ht="24" customHeight="1" x14ac:dyDescent="0.2">
      <c r="B92" s="80"/>
      <c r="C92" s="81"/>
      <c r="D92" s="82"/>
      <c r="E92" s="83"/>
      <c r="F92" s="84" t="str">
        <f>IFERROR(VLOOKUP($E92,設定!$C:$G,2,0),"")</f>
        <v/>
      </c>
      <c r="G92" s="84" t="str">
        <f>IFERROR(VLOOKUP($E92,設定!$C:$G,3,0),"")</f>
        <v/>
      </c>
      <c r="H92" s="84" t="str">
        <f>IFERROR(VLOOKUP($E92,設定!$C:$G,4,0),"")</f>
        <v/>
      </c>
      <c r="I92" s="84" t="str">
        <f>IFERROR(VLOOKUP($E92,設定!$C:$G,5,0),"")</f>
        <v/>
      </c>
      <c r="J92" s="117"/>
      <c r="K92" s="85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86"/>
      <c r="AE92" s="86"/>
      <c r="AF92" s="86"/>
      <c r="AG92" s="86"/>
      <c r="AH92" s="86"/>
      <c r="AI92" s="86"/>
      <c r="AJ92" s="86"/>
      <c r="AK92" s="86"/>
      <c r="AL92" s="86"/>
      <c r="AM92" s="86"/>
      <c r="AN92" s="86"/>
      <c r="AO92" s="87"/>
      <c r="AP92" s="88">
        <f t="shared" si="1"/>
        <v>0</v>
      </c>
    </row>
    <row r="93" spans="2:42" s="3" customFormat="1" ht="24" customHeight="1" x14ac:dyDescent="0.2">
      <c r="B93" s="80"/>
      <c r="C93" s="81"/>
      <c r="D93" s="82"/>
      <c r="E93" s="83"/>
      <c r="F93" s="84" t="str">
        <f>IFERROR(VLOOKUP($E93,設定!$C:$G,2,0),"")</f>
        <v/>
      </c>
      <c r="G93" s="84" t="str">
        <f>IFERROR(VLOOKUP($E93,設定!$C:$G,3,0),"")</f>
        <v/>
      </c>
      <c r="H93" s="84" t="str">
        <f>IFERROR(VLOOKUP($E93,設定!$C:$G,4,0),"")</f>
        <v/>
      </c>
      <c r="I93" s="84" t="str">
        <f>IFERROR(VLOOKUP($E93,設定!$C:$G,5,0),"")</f>
        <v/>
      </c>
      <c r="J93" s="117"/>
      <c r="K93" s="85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86"/>
      <c r="AE93" s="86"/>
      <c r="AF93" s="86"/>
      <c r="AG93" s="86"/>
      <c r="AH93" s="86"/>
      <c r="AI93" s="86"/>
      <c r="AJ93" s="86"/>
      <c r="AK93" s="86"/>
      <c r="AL93" s="86"/>
      <c r="AM93" s="86"/>
      <c r="AN93" s="86"/>
      <c r="AO93" s="87"/>
      <c r="AP93" s="88">
        <f t="shared" si="1"/>
        <v>0</v>
      </c>
    </row>
    <row r="94" spans="2:42" s="3" customFormat="1" ht="24" customHeight="1" x14ac:dyDescent="0.2">
      <c r="B94" s="80"/>
      <c r="C94" s="81"/>
      <c r="D94" s="82"/>
      <c r="E94" s="83"/>
      <c r="F94" s="84" t="str">
        <f>IFERROR(VLOOKUP($E94,設定!$C:$G,2,0),"")</f>
        <v/>
      </c>
      <c r="G94" s="84" t="str">
        <f>IFERROR(VLOOKUP($E94,設定!$C:$G,3,0),"")</f>
        <v/>
      </c>
      <c r="H94" s="84" t="str">
        <f>IFERROR(VLOOKUP($E94,設定!$C:$G,4,0),"")</f>
        <v/>
      </c>
      <c r="I94" s="84" t="str">
        <f>IFERROR(VLOOKUP($E94,設定!$C:$G,5,0),"")</f>
        <v/>
      </c>
      <c r="J94" s="117"/>
      <c r="K94" s="85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86"/>
      <c r="AE94" s="86"/>
      <c r="AF94" s="86"/>
      <c r="AG94" s="86"/>
      <c r="AH94" s="86"/>
      <c r="AI94" s="86"/>
      <c r="AJ94" s="86"/>
      <c r="AK94" s="86"/>
      <c r="AL94" s="86"/>
      <c r="AM94" s="86"/>
      <c r="AN94" s="86"/>
      <c r="AO94" s="87"/>
      <c r="AP94" s="88">
        <f t="shared" si="1"/>
        <v>0</v>
      </c>
    </row>
    <row r="95" spans="2:42" s="3" customFormat="1" ht="24" customHeight="1" x14ac:dyDescent="0.2">
      <c r="B95" s="80"/>
      <c r="C95" s="81"/>
      <c r="D95" s="82"/>
      <c r="E95" s="83"/>
      <c r="F95" s="84" t="str">
        <f>IFERROR(VLOOKUP($E95,設定!$C:$G,2,0),"")</f>
        <v/>
      </c>
      <c r="G95" s="84" t="str">
        <f>IFERROR(VLOOKUP($E95,設定!$C:$G,3,0),"")</f>
        <v/>
      </c>
      <c r="H95" s="84" t="str">
        <f>IFERROR(VLOOKUP($E95,設定!$C:$G,4,0),"")</f>
        <v/>
      </c>
      <c r="I95" s="84" t="str">
        <f>IFERROR(VLOOKUP($E95,設定!$C:$G,5,0),"")</f>
        <v/>
      </c>
      <c r="J95" s="117"/>
      <c r="K95" s="85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86"/>
      <c r="AE95" s="86"/>
      <c r="AF95" s="86"/>
      <c r="AG95" s="86"/>
      <c r="AH95" s="86"/>
      <c r="AI95" s="86"/>
      <c r="AJ95" s="86"/>
      <c r="AK95" s="86"/>
      <c r="AL95" s="86"/>
      <c r="AM95" s="86"/>
      <c r="AN95" s="86"/>
      <c r="AO95" s="87"/>
      <c r="AP95" s="88">
        <f t="shared" si="1"/>
        <v>0</v>
      </c>
    </row>
    <row r="96" spans="2:42" s="3" customFormat="1" ht="24" customHeight="1" x14ac:dyDescent="0.2">
      <c r="B96" s="80"/>
      <c r="C96" s="81"/>
      <c r="D96" s="82"/>
      <c r="E96" s="83"/>
      <c r="F96" s="84" t="str">
        <f>IFERROR(VLOOKUP($E96,設定!$C:$G,2,0),"")</f>
        <v/>
      </c>
      <c r="G96" s="84" t="str">
        <f>IFERROR(VLOOKUP($E96,設定!$C:$G,3,0),"")</f>
        <v/>
      </c>
      <c r="H96" s="84" t="str">
        <f>IFERROR(VLOOKUP($E96,設定!$C:$G,4,0),"")</f>
        <v/>
      </c>
      <c r="I96" s="84" t="str">
        <f>IFERROR(VLOOKUP($E96,設定!$C:$G,5,0),"")</f>
        <v/>
      </c>
      <c r="J96" s="117"/>
      <c r="K96" s="85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86"/>
      <c r="AE96" s="86"/>
      <c r="AF96" s="86"/>
      <c r="AG96" s="86"/>
      <c r="AH96" s="86"/>
      <c r="AI96" s="86"/>
      <c r="AJ96" s="86"/>
      <c r="AK96" s="86"/>
      <c r="AL96" s="86"/>
      <c r="AM96" s="86"/>
      <c r="AN96" s="86"/>
      <c r="AO96" s="87"/>
      <c r="AP96" s="88">
        <f t="shared" si="1"/>
        <v>0</v>
      </c>
    </row>
    <row r="97" spans="2:42" s="3" customFormat="1" ht="24" customHeight="1" x14ac:dyDescent="0.2">
      <c r="B97" s="80"/>
      <c r="C97" s="81"/>
      <c r="D97" s="82"/>
      <c r="E97" s="83"/>
      <c r="F97" s="84" t="str">
        <f>IFERROR(VLOOKUP($E97,設定!$C:$G,2,0),"")</f>
        <v/>
      </c>
      <c r="G97" s="84" t="str">
        <f>IFERROR(VLOOKUP($E97,設定!$C:$G,3,0),"")</f>
        <v/>
      </c>
      <c r="H97" s="84" t="str">
        <f>IFERROR(VLOOKUP($E97,設定!$C:$G,4,0),"")</f>
        <v/>
      </c>
      <c r="I97" s="84" t="str">
        <f>IFERROR(VLOOKUP($E97,設定!$C:$G,5,0),"")</f>
        <v/>
      </c>
      <c r="J97" s="117"/>
      <c r="K97" s="85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86"/>
      <c r="AE97" s="86"/>
      <c r="AF97" s="86"/>
      <c r="AG97" s="86"/>
      <c r="AH97" s="86"/>
      <c r="AI97" s="86"/>
      <c r="AJ97" s="86"/>
      <c r="AK97" s="86"/>
      <c r="AL97" s="86"/>
      <c r="AM97" s="86"/>
      <c r="AN97" s="86"/>
      <c r="AO97" s="87"/>
      <c r="AP97" s="88">
        <f t="shared" si="1"/>
        <v>0</v>
      </c>
    </row>
    <row r="98" spans="2:42" s="3" customFormat="1" ht="24" customHeight="1" x14ac:dyDescent="0.2">
      <c r="B98" s="80"/>
      <c r="C98" s="81"/>
      <c r="D98" s="82"/>
      <c r="E98" s="83"/>
      <c r="F98" s="84" t="str">
        <f>IFERROR(VLOOKUP($E98,設定!$C:$G,2,0),"")</f>
        <v/>
      </c>
      <c r="G98" s="84" t="str">
        <f>IFERROR(VLOOKUP($E98,設定!$C:$G,3,0),"")</f>
        <v/>
      </c>
      <c r="H98" s="84" t="str">
        <f>IFERROR(VLOOKUP($E98,設定!$C:$G,4,0),"")</f>
        <v/>
      </c>
      <c r="I98" s="84" t="str">
        <f>IFERROR(VLOOKUP($E98,設定!$C:$G,5,0),"")</f>
        <v/>
      </c>
      <c r="J98" s="117"/>
      <c r="K98" s="85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86"/>
      <c r="AE98" s="86"/>
      <c r="AF98" s="86"/>
      <c r="AG98" s="86"/>
      <c r="AH98" s="86"/>
      <c r="AI98" s="86"/>
      <c r="AJ98" s="86"/>
      <c r="AK98" s="86"/>
      <c r="AL98" s="86"/>
      <c r="AM98" s="86"/>
      <c r="AN98" s="86"/>
      <c r="AO98" s="87"/>
      <c r="AP98" s="88">
        <f t="shared" si="1"/>
        <v>0</v>
      </c>
    </row>
    <row r="99" spans="2:42" s="3" customFormat="1" ht="24" customHeight="1" x14ac:dyDescent="0.2">
      <c r="B99" s="80"/>
      <c r="C99" s="81"/>
      <c r="D99" s="82"/>
      <c r="E99" s="83"/>
      <c r="F99" s="84" t="str">
        <f>IFERROR(VLOOKUP($E99,設定!$C:$G,2,0),"")</f>
        <v/>
      </c>
      <c r="G99" s="84" t="str">
        <f>IFERROR(VLOOKUP($E99,設定!$C:$G,3,0),"")</f>
        <v/>
      </c>
      <c r="H99" s="84" t="str">
        <f>IFERROR(VLOOKUP($E99,設定!$C:$G,4,0),"")</f>
        <v/>
      </c>
      <c r="I99" s="84" t="str">
        <f>IFERROR(VLOOKUP($E99,設定!$C:$G,5,0),"")</f>
        <v/>
      </c>
      <c r="J99" s="117"/>
      <c r="K99" s="85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86"/>
      <c r="AE99" s="86"/>
      <c r="AF99" s="86"/>
      <c r="AG99" s="86"/>
      <c r="AH99" s="86"/>
      <c r="AI99" s="86"/>
      <c r="AJ99" s="86"/>
      <c r="AK99" s="86"/>
      <c r="AL99" s="86"/>
      <c r="AM99" s="86"/>
      <c r="AN99" s="86"/>
      <c r="AO99" s="87"/>
      <c r="AP99" s="88">
        <f t="shared" si="1"/>
        <v>0</v>
      </c>
    </row>
    <row r="100" spans="2:42" s="3" customFormat="1" ht="24" customHeight="1" x14ac:dyDescent="0.2">
      <c r="B100" s="80"/>
      <c r="C100" s="81"/>
      <c r="D100" s="82"/>
      <c r="E100" s="83"/>
      <c r="F100" s="84" t="str">
        <f>IFERROR(VLOOKUP($E100,設定!$C:$G,2,0),"")</f>
        <v/>
      </c>
      <c r="G100" s="84" t="str">
        <f>IFERROR(VLOOKUP($E100,設定!$C:$G,3,0),"")</f>
        <v/>
      </c>
      <c r="H100" s="84" t="str">
        <f>IFERROR(VLOOKUP($E100,設定!$C:$G,4,0),"")</f>
        <v/>
      </c>
      <c r="I100" s="84" t="str">
        <f>IFERROR(VLOOKUP($E100,設定!$C:$G,5,0),"")</f>
        <v/>
      </c>
      <c r="J100" s="117"/>
      <c r="K100" s="85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86"/>
      <c r="AE100" s="86"/>
      <c r="AF100" s="86"/>
      <c r="AG100" s="86"/>
      <c r="AH100" s="86"/>
      <c r="AI100" s="86"/>
      <c r="AJ100" s="86"/>
      <c r="AK100" s="86"/>
      <c r="AL100" s="86"/>
      <c r="AM100" s="86"/>
      <c r="AN100" s="86"/>
      <c r="AO100" s="87"/>
      <c r="AP100" s="88">
        <f t="shared" si="1"/>
        <v>0</v>
      </c>
    </row>
    <row r="101" spans="2:42" s="3" customFormat="1" ht="24" customHeight="1" x14ac:dyDescent="0.2">
      <c r="B101" s="80"/>
      <c r="C101" s="81"/>
      <c r="D101" s="82"/>
      <c r="E101" s="83"/>
      <c r="F101" s="84" t="str">
        <f>IFERROR(VLOOKUP($E101,設定!$C:$G,2,0),"")</f>
        <v/>
      </c>
      <c r="G101" s="84" t="str">
        <f>IFERROR(VLOOKUP($E101,設定!$C:$G,3,0),"")</f>
        <v/>
      </c>
      <c r="H101" s="84" t="str">
        <f>IFERROR(VLOOKUP($E101,設定!$C:$G,4,0),"")</f>
        <v/>
      </c>
      <c r="I101" s="84" t="str">
        <f>IFERROR(VLOOKUP($E101,設定!$C:$G,5,0),"")</f>
        <v/>
      </c>
      <c r="J101" s="117"/>
      <c r="K101" s="85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86"/>
      <c r="AE101" s="86"/>
      <c r="AF101" s="86"/>
      <c r="AG101" s="86"/>
      <c r="AH101" s="86"/>
      <c r="AI101" s="86"/>
      <c r="AJ101" s="86"/>
      <c r="AK101" s="86"/>
      <c r="AL101" s="86"/>
      <c r="AM101" s="86"/>
      <c r="AN101" s="86"/>
      <c r="AO101" s="87"/>
      <c r="AP101" s="88">
        <f t="shared" si="1"/>
        <v>0</v>
      </c>
    </row>
    <row r="102" spans="2:42" s="3" customFormat="1" ht="24" customHeight="1" x14ac:dyDescent="0.2">
      <c r="B102" s="80"/>
      <c r="C102" s="81"/>
      <c r="D102" s="82"/>
      <c r="E102" s="83"/>
      <c r="F102" s="84" t="str">
        <f>IFERROR(VLOOKUP($E102,設定!$C:$G,2,0),"")</f>
        <v/>
      </c>
      <c r="G102" s="84" t="str">
        <f>IFERROR(VLOOKUP($E102,設定!$C:$G,3,0),"")</f>
        <v/>
      </c>
      <c r="H102" s="84" t="str">
        <f>IFERROR(VLOOKUP($E102,設定!$C:$G,4,0),"")</f>
        <v/>
      </c>
      <c r="I102" s="84" t="str">
        <f>IFERROR(VLOOKUP($E102,設定!$C:$G,5,0),"")</f>
        <v/>
      </c>
      <c r="J102" s="117"/>
      <c r="K102" s="85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86"/>
      <c r="AE102" s="86"/>
      <c r="AF102" s="86"/>
      <c r="AG102" s="86"/>
      <c r="AH102" s="86"/>
      <c r="AI102" s="86"/>
      <c r="AJ102" s="86"/>
      <c r="AK102" s="86"/>
      <c r="AL102" s="86"/>
      <c r="AM102" s="86"/>
      <c r="AN102" s="86"/>
      <c r="AO102" s="87"/>
      <c r="AP102" s="88">
        <f t="shared" si="1"/>
        <v>0</v>
      </c>
    </row>
    <row r="103" spans="2:42" s="3" customFormat="1" ht="24" customHeight="1" x14ac:dyDescent="0.2">
      <c r="B103" s="80"/>
      <c r="C103" s="81"/>
      <c r="D103" s="82"/>
      <c r="E103" s="83"/>
      <c r="F103" s="84" t="str">
        <f>IFERROR(VLOOKUP($E103,設定!$C:$G,2,0),"")</f>
        <v/>
      </c>
      <c r="G103" s="84" t="str">
        <f>IFERROR(VLOOKUP($E103,設定!$C:$G,3,0),"")</f>
        <v/>
      </c>
      <c r="H103" s="84" t="str">
        <f>IFERROR(VLOOKUP($E103,設定!$C:$G,4,0),"")</f>
        <v/>
      </c>
      <c r="I103" s="84" t="str">
        <f>IFERROR(VLOOKUP($E103,設定!$C:$G,5,0),"")</f>
        <v/>
      </c>
      <c r="J103" s="117"/>
      <c r="K103" s="85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86"/>
      <c r="AE103" s="86"/>
      <c r="AF103" s="86"/>
      <c r="AG103" s="86"/>
      <c r="AH103" s="86"/>
      <c r="AI103" s="86"/>
      <c r="AJ103" s="86"/>
      <c r="AK103" s="86"/>
      <c r="AL103" s="86"/>
      <c r="AM103" s="86"/>
      <c r="AN103" s="86"/>
      <c r="AO103" s="87"/>
      <c r="AP103" s="88">
        <f t="shared" si="1"/>
        <v>0</v>
      </c>
    </row>
    <row r="104" spans="2:42" s="3" customFormat="1" ht="24" customHeight="1" x14ac:dyDescent="0.2">
      <c r="B104" s="80"/>
      <c r="C104" s="81"/>
      <c r="D104" s="82"/>
      <c r="E104" s="83"/>
      <c r="F104" s="84" t="str">
        <f>IFERROR(VLOOKUP($E104,設定!$C:$G,2,0),"")</f>
        <v/>
      </c>
      <c r="G104" s="84" t="str">
        <f>IFERROR(VLOOKUP($E104,設定!$C:$G,3,0),"")</f>
        <v/>
      </c>
      <c r="H104" s="84" t="str">
        <f>IFERROR(VLOOKUP($E104,設定!$C:$G,4,0),"")</f>
        <v/>
      </c>
      <c r="I104" s="84" t="str">
        <f>IFERROR(VLOOKUP($E104,設定!$C:$G,5,0),"")</f>
        <v/>
      </c>
      <c r="J104" s="117"/>
      <c r="K104" s="85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86"/>
      <c r="AE104" s="86"/>
      <c r="AF104" s="86"/>
      <c r="AG104" s="86"/>
      <c r="AH104" s="86"/>
      <c r="AI104" s="86"/>
      <c r="AJ104" s="86"/>
      <c r="AK104" s="86"/>
      <c r="AL104" s="86"/>
      <c r="AM104" s="86"/>
      <c r="AN104" s="86"/>
      <c r="AO104" s="87"/>
      <c r="AP104" s="88">
        <f t="shared" si="1"/>
        <v>0</v>
      </c>
    </row>
    <row r="105" spans="2:42" s="3" customFormat="1" ht="24" customHeight="1" x14ac:dyDescent="0.2">
      <c r="B105" s="80"/>
      <c r="C105" s="81"/>
      <c r="D105" s="82"/>
      <c r="E105" s="83"/>
      <c r="F105" s="84" t="str">
        <f>IFERROR(VLOOKUP($E105,設定!$C:$G,2,0),"")</f>
        <v/>
      </c>
      <c r="G105" s="84" t="str">
        <f>IFERROR(VLOOKUP($E105,設定!$C:$G,3,0),"")</f>
        <v/>
      </c>
      <c r="H105" s="84" t="str">
        <f>IFERROR(VLOOKUP($E105,設定!$C:$G,4,0),"")</f>
        <v/>
      </c>
      <c r="I105" s="84" t="str">
        <f>IFERROR(VLOOKUP($E105,設定!$C:$G,5,0),"")</f>
        <v/>
      </c>
      <c r="J105" s="117"/>
      <c r="K105" s="85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86"/>
      <c r="AE105" s="86"/>
      <c r="AF105" s="86"/>
      <c r="AG105" s="86"/>
      <c r="AH105" s="86"/>
      <c r="AI105" s="86"/>
      <c r="AJ105" s="86"/>
      <c r="AK105" s="86"/>
      <c r="AL105" s="86"/>
      <c r="AM105" s="86"/>
      <c r="AN105" s="86"/>
      <c r="AO105" s="87"/>
      <c r="AP105" s="88">
        <f t="shared" si="1"/>
        <v>0</v>
      </c>
    </row>
    <row r="106" spans="2:42" s="3" customFormat="1" ht="24" customHeight="1" x14ac:dyDescent="0.2">
      <c r="B106" s="80"/>
      <c r="C106" s="81"/>
      <c r="D106" s="82"/>
      <c r="E106" s="83"/>
      <c r="F106" s="84" t="str">
        <f>IFERROR(VLOOKUP($E106,設定!$C:$G,2,0),"")</f>
        <v/>
      </c>
      <c r="G106" s="84" t="str">
        <f>IFERROR(VLOOKUP($E106,設定!$C:$G,3,0),"")</f>
        <v/>
      </c>
      <c r="H106" s="84" t="str">
        <f>IFERROR(VLOOKUP($E106,設定!$C:$G,4,0),"")</f>
        <v/>
      </c>
      <c r="I106" s="84" t="str">
        <f>IFERROR(VLOOKUP($E106,設定!$C:$G,5,0),"")</f>
        <v/>
      </c>
      <c r="J106" s="117"/>
      <c r="K106" s="85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86"/>
      <c r="AE106" s="86"/>
      <c r="AF106" s="86"/>
      <c r="AG106" s="86"/>
      <c r="AH106" s="86"/>
      <c r="AI106" s="86"/>
      <c r="AJ106" s="86"/>
      <c r="AK106" s="86"/>
      <c r="AL106" s="86"/>
      <c r="AM106" s="86"/>
      <c r="AN106" s="86"/>
      <c r="AO106" s="87"/>
      <c r="AP106" s="88">
        <f t="shared" si="1"/>
        <v>0</v>
      </c>
    </row>
    <row r="107" spans="2:42" s="3" customFormat="1" ht="24" customHeight="1" x14ac:dyDescent="0.2">
      <c r="B107" s="80"/>
      <c r="C107" s="81"/>
      <c r="D107" s="82"/>
      <c r="E107" s="83"/>
      <c r="F107" s="84" t="str">
        <f>IFERROR(VLOOKUP($E107,設定!$C:$G,2,0),"")</f>
        <v/>
      </c>
      <c r="G107" s="84" t="str">
        <f>IFERROR(VLOOKUP($E107,設定!$C:$G,3,0),"")</f>
        <v/>
      </c>
      <c r="H107" s="84" t="str">
        <f>IFERROR(VLOOKUP($E107,設定!$C:$G,4,0),"")</f>
        <v/>
      </c>
      <c r="I107" s="84" t="str">
        <f>IFERROR(VLOOKUP($E107,設定!$C:$G,5,0),"")</f>
        <v/>
      </c>
      <c r="J107" s="117"/>
      <c r="K107" s="85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86"/>
      <c r="AE107" s="86"/>
      <c r="AF107" s="86"/>
      <c r="AG107" s="86"/>
      <c r="AH107" s="86"/>
      <c r="AI107" s="86"/>
      <c r="AJ107" s="86"/>
      <c r="AK107" s="86"/>
      <c r="AL107" s="86"/>
      <c r="AM107" s="86"/>
      <c r="AN107" s="86"/>
      <c r="AO107" s="87"/>
      <c r="AP107" s="88">
        <f t="shared" si="1"/>
        <v>0</v>
      </c>
    </row>
    <row r="108" spans="2:42" s="3" customFormat="1" ht="24" customHeight="1" x14ac:dyDescent="0.2">
      <c r="B108" s="80"/>
      <c r="C108" s="81"/>
      <c r="D108" s="82"/>
      <c r="E108" s="83"/>
      <c r="F108" s="84" t="str">
        <f>IFERROR(VLOOKUP($E108,設定!$C:$G,2,0),"")</f>
        <v/>
      </c>
      <c r="G108" s="84" t="str">
        <f>IFERROR(VLOOKUP($E108,設定!$C:$G,3,0),"")</f>
        <v/>
      </c>
      <c r="H108" s="84" t="str">
        <f>IFERROR(VLOOKUP($E108,設定!$C:$G,4,0),"")</f>
        <v/>
      </c>
      <c r="I108" s="84" t="str">
        <f>IFERROR(VLOOKUP($E108,設定!$C:$G,5,0),"")</f>
        <v/>
      </c>
      <c r="J108" s="117"/>
      <c r="K108" s="85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86"/>
      <c r="AE108" s="86"/>
      <c r="AF108" s="86"/>
      <c r="AG108" s="86"/>
      <c r="AH108" s="86"/>
      <c r="AI108" s="86"/>
      <c r="AJ108" s="86"/>
      <c r="AK108" s="86"/>
      <c r="AL108" s="86"/>
      <c r="AM108" s="86"/>
      <c r="AN108" s="86"/>
      <c r="AO108" s="87"/>
      <c r="AP108" s="88">
        <f t="shared" si="1"/>
        <v>0</v>
      </c>
    </row>
    <row r="109" spans="2:42" s="3" customFormat="1" ht="24" customHeight="1" x14ac:dyDescent="0.2">
      <c r="B109" s="80"/>
      <c r="C109" s="81"/>
      <c r="D109" s="82"/>
      <c r="E109" s="83"/>
      <c r="F109" s="84" t="str">
        <f>IFERROR(VLOOKUP($E109,設定!$C:$G,2,0),"")</f>
        <v/>
      </c>
      <c r="G109" s="84" t="str">
        <f>IFERROR(VLOOKUP($E109,設定!$C:$G,3,0),"")</f>
        <v/>
      </c>
      <c r="H109" s="84" t="str">
        <f>IFERROR(VLOOKUP($E109,設定!$C:$G,4,0),"")</f>
        <v/>
      </c>
      <c r="I109" s="84" t="str">
        <f>IFERROR(VLOOKUP($E109,設定!$C:$G,5,0),"")</f>
        <v/>
      </c>
      <c r="J109" s="117"/>
      <c r="K109" s="85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86"/>
      <c r="AE109" s="86"/>
      <c r="AF109" s="86"/>
      <c r="AG109" s="86"/>
      <c r="AH109" s="86"/>
      <c r="AI109" s="86"/>
      <c r="AJ109" s="86"/>
      <c r="AK109" s="86"/>
      <c r="AL109" s="86"/>
      <c r="AM109" s="86"/>
      <c r="AN109" s="86"/>
      <c r="AO109" s="87"/>
      <c r="AP109" s="88">
        <f t="shared" si="1"/>
        <v>0</v>
      </c>
    </row>
    <row r="110" spans="2:42" s="3" customFormat="1" ht="24" customHeight="1" x14ac:dyDescent="0.2">
      <c r="B110" s="80"/>
      <c r="C110" s="81"/>
      <c r="D110" s="82"/>
      <c r="E110" s="83"/>
      <c r="F110" s="84" t="str">
        <f>IFERROR(VLOOKUP($E110,設定!$C:$G,2,0),"")</f>
        <v/>
      </c>
      <c r="G110" s="84" t="str">
        <f>IFERROR(VLOOKUP($E110,設定!$C:$G,3,0),"")</f>
        <v/>
      </c>
      <c r="H110" s="84" t="str">
        <f>IFERROR(VLOOKUP($E110,設定!$C:$G,4,0),"")</f>
        <v/>
      </c>
      <c r="I110" s="84" t="str">
        <f>IFERROR(VLOOKUP($E110,設定!$C:$G,5,0),"")</f>
        <v/>
      </c>
      <c r="J110" s="117"/>
      <c r="K110" s="85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86"/>
      <c r="AE110" s="86"/>
      <c r="AF110" s="86"/>
      <c r="AG110" s="86"/>
      <c r="AH110" s="86"/>
      <c r="AI110" s="86"/>
      <c r="AJ110" s="86"/>
      <c r="AK110" s="86"/>
      <c r="AL110" s="86"/>
      <c r="AM110" s="86"/>
      <c r="AN110" s="86"/>
      <c r="AO110" s="87"/>
      <c r="AP110" s="88">
        <f t="shared" si="1"/>
        <v>0</v>
      </c>
    </row>
    <row r="111" spans="2:42" s="3" customFormat="1" ht="24" customHeight="1" x14ac:dyDescent="0.2">
      <c r="B111" s="80"/>
      <c r="C111" s="81"/>
      <c r="D111" s="82"/>
      <c r="E111" s="83"/>
      <c r="F111" s="84" t="str">
        <f>IFERROR(VLOOKUP($E111,設定!$C:$G,2,0),"")</f>
        <v/>
      </c>
      <c r="G111" s="84" t="str">
        <f>IFERROR(VLOOKUP($E111,設定!$C:$G,3,0),"")</f>
        <v/>
      </c>
      <c r="H111" s="84" t="str">
        <f>IFERROR(VLOOKUP($E111,設定!$C:$G,4,0),"")</f>
        <v/>
      </c>
      <c r="I111" s="84" t="str">
        <f>IFERROR(VLOOKUP($E111,設定!$C:$G,5,0),"")</f>
        <v/>
      </c>
      <c r="J111" s="117"/>
      <c r="K111" s="85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86"/>
      <c r="AE111" s="86"/>
      <c r="AF111" s="86"/>
      <c r="AG111" s="86"/>
      <c r="AH111" s="86"/>
      <c r="AI111" s="86"/>
      <c r="AJ111" s="86"/>
      <c r="AK111" s="86"/>
      <c r="AL111" s="86"/>
      <c r="AM111" s="86"/>
      <c r="AN111" s="86"/>
      <c r="AO111" s="87"/>
      <c r="AP111" s="88">
        <f t="shared" si="1"/>
        <v>0</v>
      </c>
    </row>
    <row r="112" spans="2:42" s="3" customFormat="1" ht="24" customHeight="1" x14ac:dyDescent="0.2">
      <c r="B112" s="80"/>
      <c r="C112" s="81"/>
      <c r="D112" s="82"/>
      <c r="E112" s="83"/>
      <c r="F112" s="84" t="str">
        <f>IFERROR(VLOOKUP($E112,設定!$C:$G,2,0),"")</f>
        <v/>
      </c>
      <c r="G112" s="84" t="str">
        <f>IFERROR(VLOOKUP($E112,設定!$C:$G,3,0),"")</f>
        <v/>
      </c>
      <c r="H112" s="84" t="str">
        <f>IFERROR(VLOOKUP($E112,設定!$C:$G,4,0),"")</f>
        <v/>
      </c>
      <c r="I112" s="84" t="str">
        <f>IFERROR(VLOOKUP($E112,設定!$C:$G,5,0),"")</f>
        <v/>
      </c>
      <c r="J112" s="117"/>
      <c r="K112" s="85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86"/>
      <c r="AE112" s="86"/>
      <c r="AF112" s="86"/>
      <c r="AG112" s="86"/>
      <c r="AH112" s="86"/>
      <c r="AI112" s="86"/>
      <c r="AJ112" s="86"/>
      <c r="AK112" s="86"/>
      <c r="AL112" s="86"/>
      <c r="AM112" s="86"/>
      <c r="AN112" s="86"/>
      <c r="AO112" s="87"/>
      <c r="AP112" s="88">
        <f t="shared" si="1"/>
        <v>0</v>
      </c>
    </row>
    <row r="113" spans="2:42" s="3" customFormat="1" ht="24" customHeight="1" x14ac:dyDescent="0.2">
      <c r="B113" s="80"/>
      <c r="C113" s="81"/>
      <c r="D113" s="82"/>
      <c r="E113" s="83"/>
      <c r="F113" s="84" t="str">
        <f>IFERROR(VLOOKUP($E113,設定!$C:$G,2,0),"")</f>
        <v/>
      </c>
      <c r="G113" s="84" t="str">
        <f>IFERROR(VLOOKUP($E113,設定!$C:$G,3,0),"")</f>
        <v/>
      </c>
      <c r="H113" s="84" t="str">
        <f>IFERROR(VLOOKUP($E113,設定!$C:$G,4,0),"")</f>
        <v/>
      </c>
      <c r="I113" s="84" t="str">
        <f>IFERROR(VLOOKUP($E113,設定!$C:$G,5,0),"")</f>
        <v/>
      </c>
      <c r="J113" s="117"/>
      <c r="K113" s="85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86"/>
      <c r="AE113" s="86"/>
      <c r="AF113" s="86"/>
      <c r="AG113" s="86"/>
      <c r="AH113" s="86"/>
      <c r="AI113" s="86"/>
      <c r="AJ113" s="86"/>
      <c r="AK113" s="86"/>
      <c r="AL113" s="86"/>
      <c r="AM113" s="86"/>
      <c r="AN113" s="86"/>
      <c r="AO113" s="87"/>
      <c r="AP113" s="88">
        <f t="shared" si="1"/>
        <v>0</v>
      </c>
    </row>
    <row r="114" spans="2:42" s="3" customFormat="1" ht="24" customHeight="1" x14ac:dyDescent="0.2">
      <c r="B114" s="80"/>
      <c r="C114" s="81"/>
      <c r="D114" s="82"/>
      <c r="E114" s="83"/>
      <c r="F114" s="84" t="str">
        <f>IFERROR(VLOOKUP($E114,設定!$C:$G,2,0),"")</f>
        <v/>
      </c>
      <c r="G114" s="84" t="str">
        <f>IFERROR(VLOOKUP($E114,設定!$C:$G,3,0),"")</f>
        <v/>
      </c>
      <c r="H114" s="84" t="str">
        <f>IFERROR(VLOOKUP($E114,設定!$C:$G,4,0),"")</f>
        <v/>
      </c>
      <c r="I114" s="84" t="str">
        <f>IFERROR(VLOOKUP($E114,設定!$C:$G,5,0),"")</f>
        <v/>
      </c>
      <c r="J114" s="117"/>
      <c r="K114" s="85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86"/>
      <c r="AE114" s="86"/>
      <c r="AF114" s="86"/>
      <c r="AG114" s="86"/>
      <c r="AH114" s="86"/>
      <c r="AI114" s="86"/>
      <c r="AJ114" s="86"/>
      <c r="AK114" s="86"/>
      <c r="AL114" s="86"/>
      <c r="AM114" s="86"/>
      <c r="AN114" s="86"/>
      <c r="AO114" s="87"/>
      <c r="AP114" s="88">
        <f t="shared" si="1"/>
        <v>0</v>
      </c>
    </row>
    <row r="115" spans="2:42" s="3" customFormat="1" ht="24" customHeight="1" x14ac:dyDescent="0.2">
      <c r="B115" s="80"/>
      <c r="C115" s="81"/>
      <c r="D115" s="82"/>
      <c r="E115" s="83"/>
      <c r="F115" s="84" t="str">
        <f>IFERROR(VLOOKUP($E115,設定!$C:$G,2,0),"")</f>
        <v/>
      </c>
      <c r="G115" s="84" t="str">
        <f>IFERROR(VLOOKUP($E115,設定!$C:$G,3,0),"")</f>
        <v/>
      </c>
      <c r="H115" s="84" t="str">
        <f>IFERROR(VLOOKUP($E115,設定!$C:$G,4,0),"")</f>
        <v/>
      </c>
      <c r="I115" s="84" t="str">
        <f>IFERROR(VLOOKUP($E115,設定!$C:$G,5,0),"")</f>
        <v/>
      </c>
      <c r="J115" s="117"/>
      <c r="K115" s="85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86"/>
      <c r="AE115" s="86"/>
      <c r="AF115" s="86"/>
      <c r="AG115" s="86"/>
      <c r="AH115" s="86"/>
      <c r="AI115" s="86"/>
      <c r="AJ115" s="86"/>
      <c r="AK115" s="86"/>
      <c r="AL115" s="86"/>
      <c r="AM115" s="86"/>
      <c r="AN115" s="86"/>
      <c r="AO115" s="87"/>
      <c r="AP115" s="88">
        <f t="shared" si="1"/>
        <v>0</v>
      </c>
    </row>
    <row r="116" spans="2:42" s="3" customFormat="1" ht="24" customHeight="1" x14ac:dyDescent="0.2">
      <c r="B116" s="80"/>
      <c r="C116" s="81"/>
      <c r="D116" s="82"/>
      <c r="E116" s="83"/>
      <c r="F116" s="84" t="str">
        <f>IFERROR(VLOOKUP($E116,設定!$C:$G,2,0),"")</f>
        <v/>
      </c>
      <c r="G116" s="84" t="str">
        <f>IFERROR(VLOOKUP($E116,設定!$C:$G,3,0),"")</f>
        <v/>
      </c>
      <c r="H116" s="84" t="str">
        <f>IFERROR(VLOOKUP($E116,設定!$C:$G,4,0),"")</f>
        <v/>
      </c>
      <c r="I116" s="84" t="str">
        <f>IFERROR(VLOOKUP($E116,設定!$C:$G,5,0),"")</f>
        <v/>
      </c>
      <c r="J116" s="117"/>
      <c r="K116" s="85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86"/>
      <c r="AE116" s="86"/>
      <c r="AF116" s="86"/>
      <c r="AG116" s="86"/>
      <c r="AH116" s="86"/>
      <c r="AI116" s="86"/>
      <c r="AJ116" s="86"/>
      <c r="AK116" s="86"/>
      <c r="AL116" s="86"/>
      <c r="AM116" s="86"/>
      <c r="AN116" s="86"/>
      <c r="AO116" s="87"/>
      <c r="AP116" s="88">
        <f t="shared" si="1"/>
        <v>0</v>
      </c>
    </row>
    <row r="117" spans="2:42" s="3" customFormat="1" ht="24" customHeight="1" x14ac:dyDescent="0.2">
      <c r="B117" s="80"/>
      <c r="C117" s="81"/>
      <c r="D117" s="82"/>
      <c r="E117" s="83"/>
      <c r="F117" s="84" t="str">
        <f>IFERROR(VLOOKUP($E117,設定!$C:$G,2,0),"")</f>
        <v/>
      </c>
      <c r="G117" s="84" t="str">
        <f>IFERROR(VLOOKUP($E117,設定!$C:$G,3,0),"")</f>
        <v/>
      </c>
      <c r="H117" s="84" t="str">
        <f>IFERROR(VLOOKUP($E117,設定!$C:$G,4,0),"")</f>
        <v/>
      </c>
      <c r="I117" s="84" t="str">
        <f>IFERROR(VLOOKUP($E117,設定!$C:$G,5,0),"")</f>
        <v/>
      </c>
      <c r="J117" s="117"/>
      <c r="K117" s="85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86"/>
      <c r="AE117" s="86"/>
      <c r="AF117" s="86"/>
      <c r="AG117" s="86"/>
      <c r="AH117" s="86"/>
      <c r="AI117" s="86"/>
      <c r="AJ117" s="86"/>
      <c r="AK117" s="86"/>
      <c r="AL117" s="86"/>
      <c r="AM117" s="86"/>
      <c r="AN117" s="86"/>
      <c r="AO117" s="87"/>
      <c r="AP117" s="88">
        <f t="shared" si="1"/>
        <v>0</v>
      </c>
    </row>
    <row r="118" spans="2:42" s="3" customFormat="1" ht="24" customHeight="1" x14ac:dyDescent="0.2">
      <c r="B118" s="80"/>
      <c r="C118" s="81"/>
      <c r="D118" s="82"/>
      <c r="E118" s="83"/>
      <c r="F118" s="84" t="str">
        <f>IFERROR(VLOOKUP($E118,設定!$C:$G,2,0),"")</f>
        <v/>
      </c>
      <c r="G118" s="84" t="str">
        <f>IFERROR(VLOOKUP($E118,設定!$C:$G,3,0),"")</f>
        <v/>
      </c>
      <c r="H118" s="84" t="str">
        <f>IFERROR(VLOOKUP($E118,設定!$C:$G,4,0),"")</f>
        <v/>
      </c>
      <c r="I118" s="84" t="str">
        <f>IFERROR(VLOOKUP($E118,設定!$C:$G,5,0),"")</f>
        <v/>
      </c>
      <c r="J118" s="117"/>
      <c r="K118" s="85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86"/>
      <c r="AE118" s="86"/>
      <c r="AF118" s="86"/>
      <c r="AG118" s="86"/>
      <c r="AH118" s="86"/>
      <c r="AI118" s="86"/>
      <c r="AJ118" s="86"/>
      <c r="AK118" s="86"/>
      <c r="AL118" s="86"/>
      <c r="AM118" s="86"/>
      <c r="AN118" s="86"/>
      <c r="AO118" s="87"/>
      <c r="AP118" s="88">
        <f t="shared" si="1"/>
        <v>0</v>
      </c>
    </row>
    <row r="119" spans="2:42" s="3" customFormat="1" ht="24" customHeight="1" x14ac:dyDescent="0.2">
      <c r="B119" s="80"/>
      <c r="C119" s="81"/>
      <c r="D119" s="82"/>
      <c r="E119" s="83"/>
      <c r="F119" s="84" t="str">
        <f>IFERROR(VLOOKUP($E119,設定!$C:$G,2,0),"")</f>
        <v/>
      </c>
      <c r="G119" s="84" t="str">
        <f>IFERROR(VLOOKUP($E119,設定!$C:$G,3,0),"")</f>
        <v/>
      </c>
      <c r="H119" s="84" t="str">
        <f>IFERROR(VLOOKUP($E119,設定!$C:$G,4,0),"")</f>
        <v/>
      </c>
      <c r="I119" s="84" t="str">
        <f>IFERROR(VLOOKUP($E119,設定!$C:$G,5,0),"")</f>
        <v/>
      </c>
      <c r="J119" s="117"/>
      <c r="K119" s="85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86"/>
      <c r="AE119" s="86"/>
      <c r="AF119" s="86"/>
      <c r="AG119" s="86"/>
      <c r="AH119" s="86"/>
      <c r="AI119" s="86"/>
      <c r="AJ119" s="86"/>
      <c r="AK119" s="86"/>
      <c r="AL119" s="86"/>
      <c r="AM119" s="86"/>
      <c r="AN119" s="86"/>
      <c r="AO119" s="87"/>
      <c r="AP119" s="88">
        <f t="shared" si="1"/>
        <v>0</v>
      </c>
    </row>
    <row r="120" spans="2:42" s="3" customFormat="1" ht="24" customHeight="1" x14ac:dyDescent="0.2">
      <c r="B120" s="80"/>
      <c r="C120" s="81"/>
      <c r="D120" s="82"/>
      <c r="E120" s="83"/>
      <c r="F120" s="84" t="str">
        <f>IFERROR(VLOOKUP($E120,設定!$C:$G,2,0),"")</f>
        <v/>
      </c>
      <c r="G120" s="84" t="str">
        <f>IFERROR(VLOOKUP($E120,設定!$C:$G,3,0),"")</f>
        <v/>
      </c>
      <c r="H120" s="84" t="str">
        <f>IFERROR(VLOOKUP($E120,設定!$C:$G,4,0),"")</f>
        <v/>
      </c>
      <c r="I120" s="84" t="str">
        <f>IFERROR(VLOOKUP($E120,設定!$C:$G,5,0),"")</f>
        <v/>
      </c>
      <c r="J120" s="117"/>
      <c r="K120" s="85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86"/>
      <c r="AE120" s="86"/>
      <c r="AF120" s="86"/>
      <c r="AG120" s="86"/>
      <c r="AH120" s="86"/>
      <c r="AI120" s="86"/>
      <c r="AJ120" s="86"/>
      <c r="AK120" s="86"/>
      <c r="AL120" s="86"/>
      <c r="AM120" s="86"/>
      <c r="AN120" s="86"/>
      <c r="AO120" s="87"/>
      <c r="AP120" s="88">
        <f t="shared" si="1"/>
        <v>0</v>
      </c>
    </row>
    <row r="121" spans="2:42" s="3" customFormat="1" ht="24" customHeight="1" x14ac:dyDescent="0.2">
      <c r="B121" s="80"/>
      <c r="C121" s="81"/>
      <c r="D121" s="82"/>
      <c r="E121" s="83"/>
      <c r="F121" s="84" t="str">
        <f>IFERROR(VLOOKUP($E121,設定!$C:$G,2,0),"")</f>
        <v/>
      </c>
      <c r="G121" s="84" t="str">
        <f>IFERROR(VLOOKUP($E121,設定!$C:$G,3,0),"")</f>
        <v/>
      </c>
      <c r="H121" s="84" t="str">
        <f>IFERROR(VLOOKUP($E121,設定!$C:$G,4,0),"")</f>
        <v/>
      </c>
      <c r="I121" s="84" t="str">
        <f>IFERROR(VLOOKUP($E121,設定!$C:$G,5,0),"")</f>
        <v/>
      </c>
      <c r="J121" s="117"/>
      <c r="K121" s="85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86"/>
      <c r="AE121" s="86"/>
      <c r="AF121" s="86"/>
      <c r="AG121" s="86"/>
      <c r="AH121" s="86"/>
      <c r="AI121" s="86"/>
      <c r="AJ121" s="86"/>
      <c r="AK121" s="86"/>
      <c r="AL121" s="86"/>
      <c r="AM121" s="86"/>
      <c r="AN121" s="86"/>
      <c r="AO121" s="87"/>
      <c r="AP121" s="88">
        <f t="shared" si="1"/>
        <v>0</v>
      </c>
    </row>
    <row r="122" spans="2:42" s="3" customFormat="1" ht="24" customHeight="1" x14ac:dyDescent="0.2">
      <c r="B122" s="80"/>
      <c r="C122" s="81"/>
      <c r="D122" s="82"/>
      <c r="E122" s="83"/>
      <c r="F122" s="84" t="str">
        <f>IFERROR(VLOOKUP($E122,設定!$C:$G,2,0),"")</f>
        <v/>
      </c>
      <c r="G122" s="84" t="str">
        <f>IFERROR(VLOOKUP($E122,設定!$C:$G,3,0),"")</f>
        <v/>
      </c>
      <c r="H122" s="84" t="str">
        <f>IFERROR(VLOOKUP($E122,設定!$C:$G,4,0),"")</f>
        <v/>
      </c>
      <c r="I122" s="84" t="str">
        <f>IFERROR(VLOOKUP($E122,設定!$C:$G,5,0),"")</f>
        <v/>
      </c>
      <c r="J122" s="117"/>
      <c r="K122" s="85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86"/>
      <c r="AE122" s="86"/>
      <c r="AF122" s="86"/>
      <c r="AG122" s="86"/>
      <c r="AH122" s="86"/>
      <c r="AI122" s="86"/>
      <c r="AJ122" s="86"/>
      <c r="AK122" s="86"/>
      <c r="AL122" s="86"/>
      <c r="AM122" s="86"/>
      <c r="AN122" s="86"/>
      <c r="AO122" s="87"/>
      <c r="AP122" s="88">
        <f t="shared" si="1"/>
        <v>0</v>
      </c>
    </row>
    <row r="123" spans="2:42" s="3" customFormat="1" ht="24" customHeight="1" x14ac:dyDescent="0.2">
      <c r="B123" s="80"/>
      <c r="C123" s="81"/>
      <c r="D123" s="82"/>
      <c r="E123" s="83"/>
      <c r="F123" s="84" t="str">
        <f>IFERROR(VLOOKUP($E123,設定!$C:$G,2,0),"")</f>
        <v/>
      </c>
      <c r="G123" s="84" t="str">
        <f>IFERROR(VLOOKUP($E123,設定!$C:$G,3,0),"")</f>
        <v/>
      </c>
      <c r="H123" s="84" t="str">
        <f>IFERROR(VLOOKUP($E123,設定!$C:$G,4,0),"")</f>
        <v/>
      </c>
      <c r="I123" s="84" t="str">
        <f>IFERROR(VLOOKUP($E123,設定!$C:$G,5,0),"")</f>
        <v/>
      </c>
      <c r="J123" s="117"/>
      <c r="K123" s="85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86"/>
      <c r="AE123" s="86"/>
      <c r="AF123" s="86"/>
      <c r="AG123" s="86"/>
      <c r="AH123" s="86"/>
      <c r="AI123" s="86"/>
      <c r="AJ123" s="86"/>
      <c r="AK123" s="86"/>
      <c r="AL123" s="86"/>
      <c r="AM123" s="86"/>
      <c r="AN123" s="86"/>
      <c r="AO123" s="87"/>
      <c r="AP123" s="88">
        <f t="shared" si="1"/>
        <v>0</v>
      </c>
    </row>
    <row r="124" spans="2:42" s="3" customFormat="1" ht="24" customHeight="1" x14ac:dyDescent="0.2">
      <c r="B124" s="80"/>
      <c r="C124" s="81"/>
      <c r="D124" s="82"/>
      <c r="E124" s="83"/>
      <c r="F124" s="84" t="str">
        <f>IFERROR(VLOOKUP($E124,設定!$C:$G,2,0),"")</f>
        <v/>
      </c>
      <c r="G124" s="84" t="str">
        <f>IFERROR(VLOOKUP($E124,設定!$C:$G,3,0),"")</f>
        <v/>
      </c>
      <c r="H124" s="84" t="str">
        <f>IFERROR(VLOOKUP($E124,設定!$C:$G,4,0),"")</f>
        <v/>
      </c>
      <c r="I124" s="84" t="str">
        <f>IFERROR(VLOOKUP($E124,設定!$C:$G,5,0),"")</f>
        <v/>
      </c>
      <c r="J124" s="117"/>
      <c r="K124" s="85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86"/>
      <c r="AE124" s="86"/>
      <c r="AF124" s="86"/>
      <c r="AG124" s="86"/>
      <c r="AH124" s="86"/>
      <c r="AI124" s="86"/>
      <c r="AJ124" s="86"/>
      <c r="AK124" s="86"/>
      <c r="AL124" s="86"/>
      <c r="AM124" s="86"/>
      <c r="AN124" s="86"/>
      <c r="AO124" s="87"/>
      <c r="AP124" s="88">
        <f t="shared" si="1"/>
        <v>0</v>
      </c>
    </row>
    <row r="125" spans="2:42" s="3" customFormat="1" ht="24" customHeight="1" x14ac:dyDescent="0.2">
      <c r="B125" s="80"/>
      <c r="C125" s="81"/>
      <c r="D125" s="82"/>
      <c r="E125" s="83"/>
      <c r="F125" s="84" t="str">
        <f>IFERROR(VLOOKUP($E125,設定!$C:$G,2,0),"")</f>
        <v/>
      </c>
      <c r="G125" s="84" t="str">
        <f>IFERROR(VLOOKUP($E125,設定!$C:$G,3,0),"")</f>
        <v/>
      </c>
      <c r="H125" s="84" t="str">
        <f>IFERROR(VLOOKUP($E125,設定!$C:$G,4,0),"")</f>
        <v/>
      </c>
      <c r="I125" s="84" t="str">
        <f>IFERROR(VLOOKUP($E125,設定!$C:$G,5,0),"")</f>
        <v/>
      </c>
      <c r="J125" s="117"/>
      <c r="K125" s="85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86"/>
      <c r="AE125" s="86"/>
      <c r="AF125" s="86"/>
      <c r="AG125" s="86"/>
      <c r="AH125" s="86"/>
      <c r="AI125" s="86"/>
      <c r="AJ125" s="86"/>
      <c r="AK125" s="86"/>
      <c r="AL125" s="86"/>
      <c r="AM125" s="86"/>
      <c r="AN125" s="86"/>
      <c r="AO125" s="87"/>
      <c r="AP125" s="88">
        <f t="shared" si="1"/>
        <v>0</v>
      </c>
    </row>
    <row r="126" spans="2:42" s="3" customFormat="1" ht="24" customHeight="1" x14ac:dyDescent="0.2">
      <c r="B126" s="80"/>
      <c r="C126" s="81"/>
      <c r="D126" s="82"/>
      <c r="E126" s="83"/>
      <c r="F126" s="84" t="str">
        <f>IFERROR(VLOOKUP($E126,設定!$C:$G,2,0),"")</f>
        <v/>
      </c>
      <c r="G126" s="84" t="str">
        <f>IFERROR(VLOOKUP($E126,設定!$C:$G,3,0),"")</f>
        <v/>
      </c>
      <c r="H126" s="84" t="str">
        <f>IFERROR(VLOOKUP($E126,設定!$C:$G,4,0),"")</f>
        <v/>
      </c>
      <c r="I126" s="84" t="str">
        <f>IFERROR(VLOOKUP($E126,設定!$C:$G,5,0),"")</f>
        <v/>
      </c>
      <c r="J126" s="117"/>
      <c r="K126" s="85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86"/>
      <c r="AE126" s="86"/>
      <c r="AF126" s="86"/>
      <c r="AG126" s="86"/>
      <c r="AH126" s="86"/>
      <c r="AI126" s="86"/>
      <c r="AJ126" s="86"/>
      <c r="AK126" s="86"/>
      <c r="AL126" s="86"/>
      <c r="AM126" s="86"/>
      <c r="AN126" s="86"/>
      <c r="AO126" s="87"/>
      <c r="AP126" s="88">
        <f t="shared" si="1"/>
        <v>0</v>
      </c>
    </row>
    <row r="127" spans="2:42" s="3" customFormat="1" ht="24" customHeight="1" x14ac:dyDescent="0.2">
      <c r="B127" s="80"/>
      <c r="C127" s="81"/>
      <c r="D127" s="82"/>
      <c r="E127" s="83"/>
      <c r="F127" s="84" t="str">
        <f>IFERROR(VLOOKUP($E127,設定!$C:$G,2,0),"")</f>
        <v/>
      </c>
      <c r="G127" s="84" t="str">
        <f>IFERROR(VLOOKUP($E127,設定!$C:$G,3,0),"")</f>
        <v/>
      </c>
      <c r="H127" s="84" t="str">
        <f>IFERROR(VLOOKUP($E127,設定!$C:$G,4,0),"")</f>
        <v/>
      </c>
      <c r="I127" s="84" t="str">
        <f>IFERROR(VLOOKUP($E127,設定!$C:$G,5,0),"")</f>
        <v/>
      </c>
      <c r="J127" s="117"/>
      <c r="K127" s="85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86"/>
      <c r="AE127" s="86"/>
      <c r="AF127" s="86"/>
      <c r="AG127" s="86"/>
      <c r="AH127" s="86"/>
      <c r="AI127" s="86"/>
      <c r="AJ127" s="86"/>
      <c r="AK127" s="86"/>
      <c r="AL127" s="86"/>
      <c r="AM127" s="86"/>
      <c r="AN127" s="86"/>
      <c r="AO127" s="87"/>
      <c r="AP127" s="88">
        <f t="shared" si="1"/>
        <v>0</v>
      </c>
    </row>
    <row r="128" spans="2:42" s="3" customFormat="1" ht="24" customHeight="1" x14ac:dyDescent="0.2">
      <c r="B128" s="80"/>
      <c r="C128" s="81"/>
      <c r="D128" s="82"/>
      <c r="E128" s="83"/>
      <c r="F128" s="84" t="str">
        <f>IFERROR(VLOOKUP($E128,設定!$C:$G,2,0),"")</f>
        <v/>
      </c>
      <c r="G128" s="84" t="str">
        <f>IFERROR(VLOOKUP($E128,設定!$C:$G,3,0),"")</f>
        <v/>
      </c>
      <c r="H128" s="84" t="str">
        <f>IFERROR(VLOOKUP($E128,設定!$C:$G,4,0),"")</f>
        <v/>
      </c>
      <c r="I128" s="84" t="str">
        <f>IFERROR(VLOOKUP($E128,設定!$C:$G,5,0),"")</f>
        <v/>
      </c>
      <c r="J128" s="117"/>
      <c r="K128" s="85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86"/>
      <c r="AE128" s="86"/>
      <c r="AF128" s="86"/>
      <c r="AG128" s="86"/>
      <c r="AH128" s="86"/>
      <c r="AI128" s="86"/>
      <c r="AJ128" s="86"/>
      <c r="AK128" s="86"/>
      <c r="AL128" s="86"/>
      <c r="AM128" s="86"/>
      <c r="AN128" s="86"/>
      <c r="AO128" s="87"/>
      <c r="AP128" s="88">
        <f t="shared" si="1"/>
        <v>0</v>
      </c>
    </row>
    <row r="129" spans="2:42" s="3" customFormat="1" ht="24" customHeight="1" x14ac:dyDescent="0.2">
      <c r="B129" s="80"/>
      <c r="C129" s="81"/>
      <c r="D129" s="82"/>
      <c r="E129" s="83"/>
      <c r="F129" s="84" t="str">
        <f>IFERROR(VLOOKUP($E129,設定!$C:$G,2,0),"")</f>
        <v/>
      </c>
      <c r="G129" s="84" t="str">
        <f>IFERROR(VLOOKUP($E129,設定!$C:$G,3,0),"")</f>
        <v/>
      </c>
      <c r="H129" s="84" t="str">
        <f>IFERROR(VLOOKUP($E129,設定!$C:$G,4,0),"")</f>
        <v/>
      </c>
      <c r="I129" s="84" t="str">
        <f>IFERROR(VLOOKUP($E129,設定!$C:$G,5,0),"")</f>
        <v/>
      </c>
      <c r="J129" s="117"/>
      <c r="K129" s="85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86"/>
      <c r="AE129" s="86"/>
      <c r="AF129" s="86"/>
      <c r="AG129" s="86"/>
      <c r="AH129" s="86"/>
      <c r="AI129" s="86"/>
      <c r="AJ129" s="86"/>
      <c r="AK129" s="86"/>
      <c r="AL129" s="86"/>
      <c r="AM129" s="86"/>
      <c r="AN129" s="86"/>
      <c r="AO129" s="87"/>
      <c r="AP129" s="88">
        <f t="shared" si="1"/>
        <v>0</v>
      </c>
    </row>
    <row r="130" spans="2:42" s="3" customFormat="1" ht="24" customHeight="1" x14ac:dyDescent="0.2">
      <c r="B130" s="80"/>
      <c r="C130" s="81"/>
      <c r="D130" s="82"/>
      <c r="E130" s="83"/>
      <c r="F130" s="84" t="str">
        <f>IFERROR(VLOOKUP($E130,設定!$C:$G,2,0),"")</f>
        <v/>
      </c>
      <c r="G130" s="84" t="str">
        <f>IFERROR(VLOOKUP($E130,設定!$C:$G,3,0),"")</f>
        <v/>
      </c>
      <c r="H130" s="84" t="str">
        <f>IFERROR(VLOOKUP($E130,設定!$C:$G,4,0),"")</f>
        <v/>
      </c>
      <c r="I130" s="84" t="str">
        <f>IFERROR(VLOOKUP($E130,設定!$C:$G,5,0),"")</f>
        <v/>
      </c>
      <c r="J130" s="117"/>
      <c r="K130" s="85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86"/>
      <c r="AE130" s="86"/>
      <c r="AF130" s="86"/>
      <c r="AG130" s="86"/>
      <c r="AH130" s="86"/>
      <c r="AI130" s="86"/>
      <c r="AJ130" s="86"/>
      <c r="AK130" s="86"/>
      <c r="AL130" s="86"/>
      <c r="AM130" s="86"/>
      <c r="AN130" s="86"/>
      <c r="AO130" s="87"/>
      <c r="AP130" s="88">
        <f t="shared" si="1"/>
        <v>0</v>
      </c>
    </row>
    <row r="131" spans="2:42" s="3" customFormat="1" ht="24" customHeight="1" x14ac:dyDescent="0.2">
      <c r="B131" s="80"/>
      <c r="C131" s="81"/>
      <c r="D131" s="82"/>
      <c r="E131" s="83"/>
      <c r="F131" s="84" t="str">
        <f>IFERROR(VLOOKUP($E131,設定!$C:$G,2,0),"")</f>
        <v/>
      </c>
      <c r="G131" s="84" t="str">
        <f>IFERROR(VLOOKUP($E131,設定!$C:$G,3,0),"")</f>
        <v/>
      </c>
      <c r="H131" s="84" t="str">
        <f>IFERROR(VLOOKUP($E131,設定!$C:$G,4,0),"")</f>
        <v/>
      </c>
      <c r="I131" s="84" t="str">
        <f>IFERROR(VLOOKUP($E131,設定!$C:$G,5,0),"")</f>
        <v/>
      </c>
      <c r="J131" s="117"/>
      <c r="K131" s="85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86"/>
      <c r="AE131" s="86"/>
      <c r="AF131" s="86"/>
      <c r="AG131" s="86"/>
      <c r="AH131" s="86"/>
      <c r="AI131" s="86"/>
      <c r="AJ131" s="86"/>
      <c r="AK131" s="86"/>
      <c r="AL131" s="86"/>
      <c r="AM131" s="86"/>
      <c r="AN131" s="86"/>
      <c r="AO131" s="87"/>
      <c r="AP131" s="88">
        <f t="shared" si="1"/>
        <v>0</v>
      </c>
    </row>
    <row r="132" spans="2:42" s="3" customFormat="1" ht="24" customHeight="1" x14ac:dyDescent="0.2">
      <c r="B132" s="80"/>
      <c r="C132" s="81"/>
      <c r="D132" s="82"/>
      <c r="E132" s="83"/>
      <c r="F132" s="84" t="str">
        <f>IFERROR(VLOOKUP($E132,設定!$C:$G,2,0),"")</f>
        <v/>
      </c>
      <c r="G132" s="84" t="str">
        <f>IFERROR(VLOOKUP($E132,設定!$C:$G,3,0),"")</f>
        <v/>
      </c>
      <c r="H132" s="84" t="str">
        <f>IFERROR(VLOOKUP($E132,設定!$C:$G,4,0),"")</f>
        <v/>
      </c>
      <c r="I132" s="84" t="str">
        <f>IFERROR(VLOOKUP($E132,設定!$C:$G,5,0),"")</f>
        <v/>
      </c>
      <c r="J132" s="117"/>
      <c r="K132" s="85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86"/>
      <c r="AE132" s="86"/>
      <c r="AF132" s="86"/>
      <c r="AG132" s="86"/>
      <c r="AH132" s="86"/>
      <c r="AI132" s="86"/>
      <c r="AJ132" s="86"/>
      <c r="AK132" s="86"/>
      <c r="AL132" s="86"/>
      <c r="AM132" s="86"/>
      <c r="AN132" s="86"/>
      <c r="AO132" s="87"/>
      <c r="AP132" s="88">
        <f t="shared" si="1"/>
        <v>0</v>
      </c>
    </row>
    <row r="133" spans="2:42" s="3" customFormat="1" ht="24" customHeight="1" x14ac:dyDescent="0.2">
      <c r="B133" s="80"/>
      <c r="C133" s="81"/>
      <c r="D133" s="82"/>
      <c r="E133" s="83"/>
      <c r="F133" s="84" t="str">
        <f>IFERROR(VLOOKUP($E133,設定!$C:$G,2,0),"")</f>
        <v/>
      </c>
      <c r="G133" s="84" t="str">
        <f>IFERROR(VLOOKUP($E133,設定!$C:$G,3,0),"")</f>
        <v/>
      </c>
      <c r="H133" s="84" t="str">
        <f>IFERROR(VLOOKUP($E133,設定!$C:$G,4,0),"")</f>
        <v/>
      </c>
      <c r="I133" s="84" t="str">
        <f>IFERROR(VLOOKUP($E133,設定!$C:$G,5,0),"")</f>
        <v/>
      </c>
      <c r="J133" s="117"/>
      <c r="K133" s="85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86"/>
      <c r="AE133" s="86"/>
      <c r="AF133" s="86"/>
      <c r="AG133" s="86"/>
      <c r="AH133" s="86"/>
      <c r="AI133" s="86"/>
      <c r="AJ133" s="86"/>
      <c r="AK133" s="86"/>
      <c r="AL133" s="86"/>
      <c r="AM133" s="86"/>
      <c r="AN133" s="86"/>
      <c r="AO133" s="87"/>
      <c r="AP133" s="88">
        <f t="shared" si="1"/>
        <v>0</v>
      </c>
    </row>
    <row r="134" spans="2:42" s="3" customFormat="1" ht="24" customHeight="1" x14ac:dyDescent="0.2">
      <c r="B134" s="80"/>
      <c r="C134" s="81"/>
      <c r="D134" s="82"/>
      <c r="E134" s="83"/>
      <c r="F134" s="84" t="str">
        <f>IFERROR(VLOOKUP($E134,設定!$C:$G,2,0),"")</f>
        <v/>
      </c>
      <c r="G134" s="84" t="str">
        <f>IFERROR(VLOOKUP($E134,設定!$C:$G,3,0),"")</f>
        <v/>
      </c>
      <c r="H134" s="84" t="str">
        <f>IFERROR(VLOOKUP($E134,設定!$C:$G,4,0),"")</f>
        <v/>
      </c>
      <c r="I134" s="84" t="str">
        <f>IFERROR(VLOOKUP($E134,設定!$C:$G,5,0),"")</f>
        <v/>
      </c>
      <c r="J134" s="117"/>
      <c r="K134" s="85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86"/>
      <c r="AE134" s="86"/>
      <c r="AF134" s="86"/>
      <c r="AG134" s="86"/>
      <c r="AH134" s="86"/>
      <c r="AI134" s="86"/>
      <c r="AJ134" s="86"/>
      <c r="AK134" s="86"/>
      <c r="AL134" s="86"/>
      <c r="AM134" s="86"/>
      <c r="AN134" s="86"/>
      <c r="AO134" s="87"/>
      <c r="AP134" s="88">
        <f t="shared" si="1"/>
        <v>0</v>
      </c>
    </row>
    <row r="135" spans="2:42" s="3" customFormat="1" ht="24" customHeight="1" x14ac:dyDescent="0.2">
      <c r="B135" s="80"/>
      <c r="C135" s="81"/>
      <c r="D135" s="82"/>
      <c r="E135" s="83"/>
      <c r="F135" s="84" t="str">
        <f>IFERROR(VLOOKUP($E135,設定!$C:$G,2,0),"")</f>
        <v/>
      </c>
      <c r="G135" s="84" t="str">
        <f>IFERROR(VLOOKUP($E135,設定!$C:$G,3,0),"")</f>
        <v/>
      </c>
      <c r="H135" s="84" t="str">
        <f>IFERROR(VLOOKUP($E135,設定!$C:$G,4,0),"")</f>
        <v/>
      </c>
      <c r="I135" s="84" t="str">
        <f>IFERROR(VLOOKUP($E135,設定!$C:$G,5,0),"")</f>
        <v/>
      </c>
      <c r="J135" s="117"/>
      <c r="K135" s="85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86"/>
      <c r="AE135" s="86"/>
      <c r="AF135" s="86"/>
      <c r="AG135" s="86"/>
      <c r="AH135" s="86"/>
      <c r="AI135" s="86"/>
      <c r="AJ135" s="86"/>
      <c r="AK135" s="86"/>
      <c r="AL135" s="86"/>
      <c r="AM135" s="86"/>
      <c r="AN135" s="86"/>
      <c r="AO135" s="87"/>
      <c r="AP135" s="88">
        <f t="shared" si="1"/>
        <v>0</v>
      </c>
    </row>
    <row r="136" spans="2:42" s="3" customFormat="1" ht="24" customHeight="1" x14ac:dyDescent="0.2">
      <c r="B136" s="80"/>
      <c r="C136" s="81"/>
      <c r="D136" s="82"/>
      <c r="E136" s="83"/>
      <c r="F136" s="84" t="str">
        <f>IFERROR(VLOOKUP($E136,設定!$C:$G,2,0),"")</f>
        <v/>
      </c>
      <c r="G136" s="84" t="str">
        <f>IFERROR(VLOOKUP($E136,設定!$C:$G,3,0),"")</f>
        <v/>
      </c>
      <c r="H136" s="84" t="str">
        <f>IFERROR(VLOOKUP($E136,設定!$C:$G,4,0),"")</f>
        <v/>
      </c>
      <c r="I136" s="84" t="str">
        <f>IFERROR(VLOOKUP($E136,設定!$C:$G,5,0),"")</f>
        <v/>
      </c>
      <c r="J136" s="117"/>
      <c r="K136" s="85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86"/>
      <c r="AE136" s="86"/>
      <c r="AF136" s="86"/>
      <c r="AG136" s="86"/>
      <c r="AH136" s="86"/>
      <c r="AI136" s="86"/>
      <c r="AJ136" s="86"/>
      <c r="AK136" s="86"/>
      <c r="AL136" s="86"/>
      <c r="AM136" s="86"/>
      <c r="AN136" s="86"/>
      <c r="AO136" s="87"/>
      <c r="AP136" s="88">
        <f t="shared" ref="AP136:AP199" si="2">J136*SUM(K136:AO136)</f>
        <v>0</v>
      </c>
    </row>
    <row r="137" spans="2:42" s="3" customFormat="1" ht="24" customHeight="1" x14ac:dyDescent="0.2">
      <c r="B137" s="80"/>
      <c r="C137" s="81"/>
      <c r="D137" s="82"/>
      <c r="E137" s="83"/>
      <c r="F137" s="84" t="str">
        <f>IFERROR(VLOOKUP($E137,設定!$C:$G,2,0),"")</f>
        <v/>
      </c>
      <c r="G137" s="84" t="str">
        <f>IFERROR(VLOOKUP($E137,設定!$C:$G,3,0),"")</f>
        <v/>
      </c>
      <c r="H137" s="84" t="str">
        <f>IFERROR(VLOOKUP($E137,設定!$C:$G,4,0),"")</f>
        <v/>
      </c>
      <c r="I137" s="84" t="str">
        <f>IFERROR(VLOOKUP($E137,設定!$C:$G,5,0),"")</f>
        <v/>
      </c>
      <c r="J137" s="117"/>
      <c r="K137" s="85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86"/>
      <c r="AE137" s="86"/>
      <c r="AF137" s="86"/>
      <c r="AG137" s="86"/>
      <c r="AH137" s="86"/>
      <c r="AI137" s="86"/>
      <c r="AJ137" s="86"/>
      <c r="AK137" s="86"/>
      <c r="AL137" s="86"/>
      <c r="AM137" s="86"/>
      <c r="AN137" s="86"/>
      <c r="AO137" s="87"/>
      <c r="AP137" s="88">
        <f t="shared" si="2"/>
        <v>0</v>
      </c>
    </row>
    <row r="138" spans="2:42" s="3" customFormat="1" ht="24" customHeight="1" x14ac:dyDescent="0.2">
      <c r="B138" s="80"/>
      <c r="C138" s="81"/>
      <c r="D138" s="82"/>
      <c r="E138" s="83"/>
      <c r="F138" s="84" t="str">
        <f>IFERROR(VLOOKUP($E138,設定!$C:$G,2,0),"")</f>
        <v/>
      </c>
      <c r="G138" s="84" t="str">
        <f>IFERROR(VLOOKUP($E138,設定!$C:$G,3,0),"")</f>
        <v/>
      </c>
      <c r="H138" s="84" t="str">
        <f>IFERROR(VLOOKUP($E138,設定!$C:$G,4,0),"")</f>
        <v/>
      </c>
      <c r="I138" s="84" t="str">
        <f>IFERROR(VLOOKUP($E138,設定!$C:$G,5,0),"")</f>
        <v/>
      </c>
      <c r="J138" s="117"/>
      <c r="K138" s="85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86"/>
      <c r="AE138" s="86"/>
      <c r="AF138" s="86"/>
      <c r="AG138" s="86"/>
      <c r="AH138" s="86"/>
      <c r="AI138" s="86"/>
      <c r="AJ138" s="86"/>
      <c r="AK138" s="86"/>
      <c r="AL138" s="86"/>
      <c r="AM138" s="86"/>
      <c r="AN138" s="86"/>
      <c r="AO138" s="87"/>
      <c r="AP138" s="88">
        <f t="shared" si="2"/>
        <v>0</v>
      </c>
    </row>
    <row r="139" spans="2:42" s="3" customFormat="1" ht="24" customHeight="1" x14ac:dyDescent="0.2">
      <c r="B139" s="80"/>
      <c r="C139" s="81"/>
      <c r="D139" s="82"/>
      <c r="E139" s="83"/>
      <c r="F139" s="84" t="str">
        <f>IFERROR(VLOOKUP($E139,設定!$C:$G,2,0),"")</f>
        <v/>
      </c>
      <c r="G139" s="84" t="str">
        <f>IFERROR(VLOOKUP($E139,設定!$C:$G,3,0),"")</f>
        <v/>
      </c>
      <c r="H139" s="84" t="str">
        <f>IFERROR(VLOOKUP($E139,設定!$C:$G,4,0),"")</f>
        <v/>
      </c>
      <c r="I139" s="84" t="str">
        <f>IFERROR(VLOOKUP($E139,設定!$C:$G,5,0),"")</f>
        <v/>
      </c>
      <c r="J139" s="117"/>
      <c r="K139" s="85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86"/>
      <c r="AE139" s="86"/>
      <c r="AF139" s="86"/>
      <c r="AG139" s="86"/>
      <c r="AH139" s="86"/>
      <c r="AI139" s="86"/>
      <c r="AJ139" s="86"/>
      <c r="AK139" s="86"/>
      <c r="AL139" s="86"/>
      <c r="AM139" s="86"/>
      <c r="AN139" s="86"/>
      <c r="AO139" s="87"/>
      <c r="AP139" s="88">
        <f t="shared" si="2"/>
        <v>0</v>
      </c>
    </row>
    <row r="140" spans="2:42" s="3" customFormat="1" ht="24" customHeight="1" x14ac:dyDescent="0.2">
      <c r="B140" s="80"/>
      <c r="C140" s="81"/>
      <c r="D140" s="82"/>
      <c r="E140" s="83"/>
      <c r="F140" s="84" t="str">
        <f>IFERROR(VLOOKUP($E140,設定!$C:$G,2,0),"")</f>
        <v/>
      </c>
      <c r="G140" s="84" t="str">
        <f>IFERROR(VLOOKUP($E140,設定!$C:$G,3,0),"")</f>
        <v/>
      </c>
      <c r="H140" s="84" t="str">
        <f>IFERROR(VLOOKUP($E140,設定!$C:$G,4,0),"")</f>
        <v/>
      </c>
      <c r="I140" s="84" t="str">
        <f>IFERROR(VLOOKUP($E140,設定!$C:$G,5,0),"")</f>
        <v/>
      </c>
      <c r="J140" s="117"/>
      <c r="K140" s="85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86"/>
      <c r="AE140" s="86"/>
      <c r="AF140" s="86"/>
      <c r="AG140" s="86"/>
      <c r="AH140" s="86"/>
      <c r="AI140" s="86"/>
      <c r="AJ140" s="86"/>
      <c r="AK140" s="86"/>
      <c r="AL140" s="86"/>
      <c r="AM140" s="86"/>
      <c r="AN140" s="86"/>
      <c r="AO140" s="87"/>
      <c r="AP140" s="88">
        <f t="shared" si="2"/>
        <v>0</v>
      </c>
    </row>
    <row r="141" spans="2:42" s="3" customFormat="1" ht="24" customHeight="1" x14ac:dyDescent="0.2">
      <c r="B141" s="80"/>
      <c r="C141" s="81"/>
      <c r="D141" s="82"/>
      <c r="E141" s="83"/>
      <c r="F141" s="84" t="str">
        <f>IFERROR(VLOOKUP($E141,設定!$C:$G,2,0),"")</f>
        <v/>
      </c>
      <c r="G141" s="84" t="str">
        <f>IFERROR(VLOOKUP($E141,設定!$C:$G,3,0),"")</f>
        <v/>
      </c>
      <c r="H141" s="84" t="str">
        <f>IFERROR(VLOOKUP($E141,設定!$C:$G,4,0),"")</f>
        <v/>
      </c>
      <c r="I141" s="84" t="str">
        <f>IFERROR(VLOOKUP($E141,設定!$C:$G,5,0),"")</f>
        <v/>
      </c>
      <c r="J141" s="117"/>
      <c r="K141" s="85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86"/>
      <c r="AE141" s="86"/>
      <c r="AF141" s="86"/>
      <c r="AG141" s="86"/>
      <c r="AH141" s="86"/>
      <c r="AI141" s="86"/>
      <c r="AJ141" s="86"/>
      <c r="AK141" s="86"/>
      <c r="AL141" s="86"/>
      <c r="AM141" s="86"/>
      <c r="AN141" s="86"/>
      <c r="AO141" s="87"/>
      <c r="AP141" s="88">
        <f t="shared" si="2"/>
        <v>0</v>
      </c>
    </row>
    <row r="142" spans="2:42" s="3" customFormat="1" ht="24" customHeight="1" x14ac:dyDescent="0.2">
      <c r="B142" s="80"/>
      <c r="C142" s="81"/>
      <c r="D142" s="82"/>
      <c r="E142" s="83"/>
      <c r="F142" s="84" t="str">
        <f>IFERROR(VLOOKUP($E142,設定!$C:$G,2,0),"")</f>
        <v/>
      </c>
      <c r="G142" s="84" t="str">
        <f>IFERROR(VLOOKUP($E142,設定!$C:$G,3,0),"")</f>
        <v/>
      </c>
      <c r="H142" s="84" t="str">
        <f>IFERROR(VLOOKUP($E142,設定!$C:$G,4,0),"")</f>
        <v/>
      </c>
      <c r="I142" s="84" t="str">
        <f>IFERROR(VLOOKUP($E142,設定!$C:$G,5,0),"")</f>
        <v/>
      </c>
      <c r="J142" s="117"/>
      <c r="K142" s="85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86"/>
      <c r="AE142" s="86"/>
      <c r="AF142" s="86"/>
      <c r="AG142" s="86"/>
      <c r="AH142" s="86"/>
      <c r="AI142" s="86"/>
      <c r="AJ142" s="86"/>
      <c r="AK142" s="86"/>
      <c r="AL142" s="86"/>
      <c r="AM142" s="86"/>
      <c r="AN142" s="86"/>
      <c r="AO142" s="87"/>
      <c r="AP142" s="88">
        <f t="shared" si="2"/>
        <v>0</v>
      </c>
    </row>
    <row r="143" spans="2:42" s="3" customFormat="1" ht="24" customHeight="1" x14ac:dyDescent="0.2">
      <c r="B143" s="80"/>
      <c r="C143" s="81"/>
      <c r="D143" s="82"/>
      <c r="E143" s="83"/>
      <c r="F143" s="84" t="str">
        <f>IFERROR(VLOOKUP($E143,設定!$C:$G,2,0),"")</f>
        <v/>
      </c>
      <c r="G143" s="84" t="str">
        <f>IFERROR(VLOOKUP($E143,設定!$C:$G,3,0),"")</f>
        <v/>
      </c>
      <c r="H143" s="84" t="str">
        <f>IFERROR(VLOOKUP($E143,設定!$C:$G,4,0),"")</f>
        <v/>
      </c>
      <c r="I143" s="84" t="str">
        <f>IFERROR(VLOOKUP($E143,設定!$C:$G,5,0),"")</f>
        <v/>
      </c>
      <c r="J143" s="117"/>
      <c r="K143" s="85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86"/>
      <c r="AE143" s="86"/>
      <c r="AF143" s="86"/>
      <c r="AG143" s="86"/>
      <c r="AH143" s="86"/>
      <c r="AI143" s="86"/>
      <c r="AJ143" s="86"/>
      <c r="AK143" s="86"/>
      <c r="AL143" s="86"/>
      <c r="AM143" s="86"/>
      <c r="AN143" s="86"/>
      <c r="AO143" s="87"/>
      <c r="AP143" s="88">
        <f t="shared" si="2"/>
        <v>0</v>
      </c>
    </row>
    <row r="144" spans="2:42" s="3" customFormat="1" ht="24" customHeight="1" x14ac:dyDescent="0.2">
      <c r="B144" s="80"/>
      <c r="C144" s="81"/>
      <c r="D144" s="82"/>
      <c r="E144" s="83"/>
      <c r="F144" s="84" t="str">
        <f>IFERROR(VLOOKUP($E144,設定!$C:$G,2,0),"")</f>
        <v/>
      </c>
      <c r="G144" s="84" t="str">
        <f>IFERROR(VLOOKUP($E144,設定!$C:$G,3,0),"")</f>
        <v/>
      </c>
      <c r="H144" s="84" t="str">
        <f>IFERROR(VLOOKUP($E144,設定!$C:$G,4,0),"")</f>
        <v/>
      </c>
      <c r="I144" s="84" t="str">
        <f>IFERROR(VLOOKUP($E144,設定!$C:$G,5,0),"")</f>
        <v/>
      </c>
      <c r="J144" s="117"/>
      <c r="K144" s="85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86"/>
      <c r="AE144" s="86"/>
      <c r="AF144" s="86"/>
      <c r="AG144" s="86"/>
      <c r="AH144" s="86"/>
      <c r="AI144" s="86"/>
      <c r="AJ144" s="86"/>
      <c r="AK144" s="86"/>
      <c r="AL144" s="86"/>
      <c r="AM144" s="86"/>
      <c r="AN144" s="86"/>
      <c r="AO144" s="87"/>
      <c r="AP144" s="88">
        <f t="shared" si="2"/>
        <v>0</v>
      </c>
    </row>
    <row r="145" spans="2:42" s="3" customFormat="1" ht="24" customHeight="1" x14ac:dyDescent="0.2">
      <c r="B145" s="80"/>
      <c r="C145" s="81"/>
      <c r="D145" s="82"/>
      <c r="E145" s="83"/>
      <c r="F145" s="84" t="str">
        <f>IFERROR(VLOOKUP($E145,設定!$C:$G,2,0),"")</f>
        <v/>
      </c>
      <c r="G145" s="84" t="str">
        <f>IFERROR(VLOOKUP($E145,設定!$C:$G,3,0),"")</f>
        <v/>
      </c>
      <c r="H145" s="84" t="str">
        <f>IFERROR(VLOOKUP($E145,設定!$C:$G,4,0),"")</f>
        <v/>
      </c>
      <c r="I145" s="84" t="str">
        <f>IFERROR(VLOOKUP($E145,設定!$C:$G,5,0),"")</f>
        <v/>
      </c>
      <c r="J145" s="117"/>
      <c r="K145" s="85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86"/>
      <c r="AE145" s="86"/>
      <c r="AF145" s="86"/>
      <c r="AG145" s="86"/>
      <c r="AH145" s="86"/>
      <c r="AI145" s="86"/>
      <c r="AJ145" s="86"/>
      <c r="AK145" s="86"/>
      <c r="AL145" s="86"/>
      <c r="AM145" s="86"/>
      <c r="AN145" s="86"/>
      <c r="AO145" s="87"/>
      <c r="AP145" s="88">
        <f t="shared" si="2"/>
        <v>0</v>
      </c>
    </row>
    <row r="146" spans="2:42" s="3" customFormat="1" ht="24" customHeight="1" x14ac:dyDescent="0.2">
      <c r="B146" s="80"/>
      <c r="C146" s="81"/>
      <c r="D146" s="82"/>
      <c r="E146" s="83"/>
      <c r="F146" s="84" t="str">
        <f>IFERROR(VLOOKUP($E146,設定!$C:$G,2,0),"")</f>
        <v/>
      </c>
      <c r="G146" s="84" t="str">
        <f>IFERROR(VLOOKUP($E146,設定!$C:$G,3,0),"")</f>
        <v/>
      </c>
      <c r="H146" s="84" t="str">
        <f>IFERROR(VLOOKUP($E146,設定!$C:$G,4,0),"")</f>
        <v/>
      </c>
      <c r="I146" s="84" t="str">
        <f>IFERROR(VLOOKUP($E146,設定!$C:$G,5,0),"")</f>
        <v/>
      </c>
      <c r="J146" s="117"/>
      <c r="K146" s="85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86"/>
      <c r="AE146" s="86"/>
      <c r="AF146" s="86"/>
      <c r="AG146" s="86"/>
      <c r="AH146" s="86"/>
      <c r="AI146" s="86"/>
      <c r="AJ146" s="86"/>
      <c r="AK146" s="86"/>
      <c r="AL146" s="86"/>
      <c r="AM146" s="86"/>
      <c r="AN146" s="86"/>
      <c r="AO146" s="87"/>
      <c r="AP146" s="88">
        <f t="shared" si="2"/>
        <v>0</v>
      </c>
    </row>
    <row r="147" spans="2:42" s="3" customFormat="1" ht="24" customHeight="1" x14ac:dyDescent="0.2">
      <c r="B147" s="80"/>
      <c r="C147" s="81"/>
      <c r="D147" s="82"/>
      <c r="E147" s="83"/>
      <c r="F147" s="84" t="str">
        <f>IFERROR(VLOOKUP($E147,設定!$C:$G,2,0),"")</f>
        <v/>
      </c>
      <c r="G147" s="84" t="str">
        <f>IFERROR(VLOOKUP($E147,設定!$C:$G,3,0),"")</f>
        <v/>
      </c>
      <c r="H147" s="84" t="str">
        <f>IFERROR(VLOOKUP($E147,設定!$C:$G,4,0),"")</f>
        <v/>
      </c>
      <c r="I147" s="84" t="str">
        <f>IFERROR(VLOOKUP($E147,設定!$C:$G,5,0),"")</f>
        <v/>
      </c>
      <c r="J147" s="117"/>
      <c r="K147" s="85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86"/>
      <c r="AE147" s="86"/>
      <c r="AF147" s="86"/>
      <c r="AG147" s="86"/>
      <c r="AH147" s="86"/>
      <c r="AI147" s="86"/>
      <c r="AJ147" s="86"/>
      <c r="AK147" s="86"/>
      <c r="AL147" s="86"/>
      <c r="AM147" s="86"/>
      <c r="AN147" s="86"/>
      <c r="AO147" s="87"/>
      <c r="AP147" s="88">
        <f t="shared" si="2"/>
        <v>0</v>
      </c>
    </row>
    <row r="148" spans="2:42" s="3" customFormat="1" ht="24" customHeight="1" x14ac:dyDescent="0.2">
      <c r="B148" s="80"/>
      <c r="C148" s="81"/>
      <c r="D148" s="82"/>
      <c r="E148" s="83"/>
      <c r="F148" s="84" t="str">
        <f>IFERROR(VLOOKUP($E148,設定!$C:$G,2,0),"")</f>
        <v/>
      </c>
      <c r="G148" s="84" t="str">
        <f>IFERROR(VLOOKUP($E148,設定!$C:$G,3,0),"")</f>
        <v/>
      </c>
      <c r="H148" s="84" t="str">
        <f>IFERROR(VLOOKUP($E148,設定!$C:$G,4,0),"")</f>
        <v/>
      </c>
      <c r="I148" s="84" t="str">
        <f>IFERROR(VLOOKUP($E148,設定!$C:$G,5,0),"")</f>
        <v/>
      </c>
      <c r="J148" s="117"/>
      <c r="K148" s="85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86"/>
      <c r="AE148" s="86"/>
      <c r="AF148" s="86"/>
      <c r="AG148" s="86"/>
      <c r="AH148" s="86"/>
      <c r="AI148" s="86"/>
      <c r="AJ148" s="86"/>
      <c r="AK148" s="86"/>
      <c r="AL148" s="86"/>
      <c r="AM148" s="86"/>
      <c r="AN148" s="86"/>
      <c r="AO148" s="87"/>
      <c r="AP148" s="88">
        <f t="shared" si="2"/>
        <v>0</v>
      </c>
    </row>
    <row r="149" spans="2:42" s="3" customFormat="1" ht="24" customHeight="1" x14ac:dyDescent="0.2">
      <c r="B149" s="80"/>
      <c r="C149" s="81"/>
      <c r="D149" s="82"/>
      <c r="E149" s="83"/>
      <c r="F149" s="84" t="str">
        <f>IFERROR(VLOOKUP($E149,設定!$C:$G,2,0),"")</f>
        <v/>
      </c>
      <c r="G149" s="84" t="str">
        <f>IFERROR(VLOOKUP($E149,設定!$C:$G,3,0),"")</f>
        <v/>
      </c>
      <c r="H149" s="84" t="str">
        <f>IFERROR(VLOOKUP($E149,設定!$C:$G,4,0),"")</f>
        <v/>
      </c>
      <c r="I149" s="84" t="str">
        <f>IFERROR(VLOOKUP($E149,設定!$C:$G,5,0),"")</f>
        <v/>
      </c>
      <c r="J149" s="117"/>
      <c r="K149" s="85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86"/>
      <c r="AE149" s="86"/>
      <c r="AF149" s="86"/>
      <c r="AG149" s="86"/>
      <c r="AH149" s="86"/>
      <c r="AI149" s="86"/>
      <c r="AJ149" s="86"/>
      <c r="AK149" s="86"/>
      <c r="AL149" s="86"/>
      <c r="AM149" s="86"/>
      <c r="AN149" s="86"/>
      <c r="AO149" s="87"/>
      <c r="AP149" s="88">
        <f t="shared" si="2"/>
        <v>0</v>
      </c>
    </row>
    <row r="150" spans="2:42" s="3" customFormat="1" ht="24" customHeight="1" x14ac:dyDescent="0.2">
      <c r="B150" s="80"/>
      <c r="C150" s="81"/>
      <c r="D150" s="82"/>
      <c r="E150" s="83"/>
      <c r="F150" s="84" t="str">
        <f>IFERROR(VLOOKUP($E150,設定!$C:$G,2,0),"")</f>
        <v/>
      </c>
      <c r="G150" s="84" t="str">
        <f>IFERROR(VLOOKUP($E150,設定!$C:$G,3,0),"")</f>
        <v/>
      </c>
      <c r="H150" s="84" t="str">
        <f>IFERROR(VLOOKUP($E150,設定!$C:$G,4,0),"")</f>
        <v/>
      </c>
      <c r="I150" s="84" t="str">
        <f>IFERROR(VLOOKUP($E150,設定!$C:$G,5,0),"")</f>
        <v/>
      </c>
      <c r="J150" s="117"/>
      <c r="K150" s="85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86"/>
      <c r="AE150" s="86"/>
      <c r="AF150" s="86"/>
      <c r="AG150" s="86"/>
      <c r="AH150" s="86"/>
      <c r="AI150" s="86"/>
      <c r="AJ150" s="86"/>
      <c r="AK150" s="86"/>
      <c r="AL150" s="86"/>
      <c r="AM150" s="86"/>
      <c r="AN150" s="86"/>
      <c r="AO150" s="87"/>
      <c r="AP150" s="88">
        <f t="shared" si="2"/>
        <v>0</v>
      </c>
    </row>
    <row r="151" spans="2:42" s="3" customFormat="1" ht="24" customHeight="1" x14ac:dyDescent="0.2">
      <c r="B151" s="80"/>
      <c r="C151" s="81"/>
      <c r="D151" s="82"/>
      <c r="E151" s="83"/>
      <c r="F151" s="84" t="str">
        <f>IFERROR(VLOOKUP($E151,設定!$C:$G,2,0),"")</f>
        <v/>
      </c>
      <c r="G151" s="84" t="str">
        <f>IFERROR(VLOOKUP($E151,設定!$C:$G,3,0),"")</f>
        <v/>
      </c>
      <c r="H151" s="84" t="str">
        <f>IFERROR(VLOOKUP($E151,設定!$C:$G,4,0),"")</f>
        <v/>
      </c>
      <c r="I151" s="84" t="str">
        <f>IFERROR(VLOOKUP($E151,設定!$C:$G,5,0),"")</f>
        <v/>
      </c>
      <c r="J151" s="117"/>
      <c r="K151" s="85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86"/>
      <c r="AE151" s="86"/>
      <c r="AF151" s="86"/>
      <c r="AG151" s="86"/>
      <c r="AH151" s="86"/>
      <c r="AI151" s="86"/>
      <c r="AJ151" s="86"/>
      <c r="AK151" s="86"/>
      <c r="AL151" s="86"/>
      <c r="AM151" s="86"/>
      <c r="AN151" s="86"/>
      <c r="AO151" s="87"/>
      <c r="AP151" s="88">
        <f t="shared" si="2"/>
        <v>0</v>
      </c>
    </row>
    <row r="152" spans="2:42" s="3" customFormat="1" ht="24" customHeight="1" x14ac:dyDescent="0.2">
      <c r="B152" s="80"/>
      <c r="C152" s="81"/>
      <c r="D152" s="82"/>
      <c r="E152" s="83"/>
      <c r="F152" s="84" t="str">
        <f>IFERROR(VLOOKUP($E152,設定!$C:$G,2,0),"")</f>
        <v/>
      </c>
      <c r="G152" s="84" t="str">
        <f>IFERROR(VLOOKUP($E152,設定!$C:$G,3,0),"")</f>
        <v/>
      </c>
      <c r="H152" s="84" t="str">
        <f>IFERROR(VLOOKUP($E152,設定!$C:$G,4,0),"")</f>
        <v/>
      </c>
      <c r="I152" s="84" t="str">
        <f>IFERROR(VLOOKUP($E152,設定!$C:$G,5,0),"")</f>
        <v/>
      </c>
      <c r="J152" s="117"/>
      <c r="K152" s="85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86"/>
      <c r="AE152" s="86"/>
      <c r="AF152" s="86"/>
      <c r="AG152" s="86"/>
      <c r="AH152" s="86"/>
      <c r="AI152" s="86"/>
      <c r="AJ152" s="86"/>
      <c r="AK152" s="86"/>
      <c r="AL152" s="86"/>
      <c r="AM152" s="86"/>
      <c r="AN152" s="86"/>
      <c r="AO152" s="87"/>
      <c r="AP152" s="88">
        <f t="shared" si="2"/>
        <v>0</v>
      </c>
    </row>
    <row r="153" spans="2:42" s="3" customFormat="1" ht="24" customHeight="1" x14ac:dyDescent="0.2">
      <c r="B153" s="80"/>
      <c r="C153" s="81"/>
      <c r="D153" s="82"/>
      <c r="E153" s="83"/>
      <c r="F153" s="84" t="str">
        <f>IFERROR(VLOOKUP($E153,設定!$C:$G,2,0),"")</f>
        <v/>
      </c>
      <c r="G153" s="84" t="str">
        <f>IFERROR(VLOOKUP($E153,設定!$C:$G,3,0),"")</f>
        <v/>
      </c>
      <c r="H153" s="84" t="str">
        <f>IFERROR(VLOOKUP($E153,設定!$C:$G,4,0),"")</f>
        <v/>
      </c>
      <c r="I153" s="84" t="str">
        <f>IFERROR(VLOOKUP($E153,設定!$C:$G,5,0),"")</f>
        <v/>
      </c>
      <c r="J153" s="117"/>
      <c r="K153" s="85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86"/>
      <c r="AE153" s="86"/>
      <c r="AF153" s="86"/>
      <c r="AG153" s="86"/>
      <c r="AH153" s="86"/>
      <c r="AI153" s="86"/>
      <c r="AJ153" s="86"/>
      <c r="AK153" s="86"/>
      <c r="AL153" s="86"/>
      <c r="AM153" s="86"/>
      <c r="AN153" s="86"/>
      <c r="AO153" s="87"/>
      <c r="AP153" s="88">
        <f t="shared" si="2"/>
        <v>0</v>
      </c>
    </row>
    <row r="154" spans="2:42" s="3" customFormat="1" ht="24" customHeight="1" x14ac:dyDescent="0.2">
      <c r="B154" s="80"/>
      <c r="C154" s="81"/>
      <c r="D154" s="82"/>
      <c r="E154" s="83"/>
      <c r="F154" s="84" t="str">
        <f>IFERROR(VLOOKUP($E154,設定!$C:$G,2,0),"")</f>
        <v/>
      </c>
      <c r="G154" s="84" t="str">
        <f>IFERROR(VLOOKUP($E154,設定!$C:$G,3,0),"")</f>
        <v/>
      </c>
      <c r="H154" s="84" t="str">
        <f>IFERROR(VLOOKUP($E154,設定!$C:$G,4,0),"")</f>
        <v/>
      </c>
      <c r="I154" s="84" t="str">
        <f>IFERROR(VLOOKUP($E154,設定!$C:$G,5,0),"")</f>
        <v/>
      </c>
      <c r="J154" s="117"/>
      <c r="K154" s="85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86"/>
      <c r="AE154" s="86"/>
      <c r="AF154" s="86"/>
      <c r="AG154" s="86"/>
      <c r="AH154" s="86"/>
      <c r="AI154" s="86"/>
      <c r="AJ154" s="86"/>
      <c r="AK154" s="86"/>
      <c r="AL154" s="86"/>
      <c r="AM154" s="86"/>
      <c r="AN154" s="86"/>
      <c r="AO154" s="87"/>
      <c r="AP154" s="88">
        <f t="shared" si="2"/>
        <v>0</v>
      </c>
    </row>
    <row r="155" spans="2:42" s="3" customFormat="1" ht="24" customHeight="1" x14ac:dyDescent="0.2">
      <c r="B155" s="80"/>
      <c r="C155" s="81"/>
      <c r="D155" s="82"/>
      <c r="E155" s="83"/>
      <c r="F155" s="84" t="str">
        <f>IFERROR(VLOOKUP($E155,設定!$C:$G,2,0),"")</f>
        <v/>
      </c>
      <c r="G155" s="84" t="str">
        <f>IFERROR(VLOOKUP($E155,設定!$C:$G,3,0),"")</f>
        <v/>
      </c>
      <c r="H155" s="84" t="str">
        <f>IFERROR(VLOOKUP($E155,設定!$C:$G,4,0),"")</f>
        <v/>
      </c>
      <c r="I155" s="84" t="str">
        <f>IFERROR(VLOOKUP($E155,設定!$C:$G,5,0),"")</f>
        <v/>
      </c>
      <c r="J155" s="117"/>
      <c r="K155" s="85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86"/>
      <c r="AE155" s="86"/>
      <c r="AF155" s="86"/>
      <c r="AG155" s="86"/>
      <c r="AH155" s="86"/>
      <c r="AI155" s="86"/>
      <c r="AJ155" s="86"/>
      <c r="AK155" s="86"/>
      <c r="AL155" s="86"/>
      <c r="AM155" s="86"/>
      <c r="AN155" s="86"/>
      <c r="AO155" s="87"/>
      <c r="AP155" s="88">
        <f t="shared" si="2"/>
        <v>0</v>
      </c>
    </row>
    <row r="156" spans="2:42" s="3" customFormat="1" ht="24" customHeight="1" x14ac:dyDescent="0.2">
      <c r="B156" s="80"/>
      <c r="C156" s="81"/>
      <c r="D156" s="82"/>
      <c r="E156" s="83"/>
      <c r="F156" s="84" t="str">
        <f>IFERROR(VLOOKUP($E156,設定!$C:$G,2,0),"")</f>
        <v/>
      </c>
      <c r="G156" s="84" t="str">
        <f>IFERROR(VLOOKUP($E156,設定!$C:$G,3,0),"")</f>
        <v/>
      </c>
      <c r="H156" s="84" t="str">
        <f>IFERROR(VLOOKUP($E156,設定!$C:$G,4,0),"")</f>
        <v/>
      </c>
      <c r="I156" s="84" t="str">
        <f>IFERROR(VLOOKUP($E156,設定!$C:$G,5,0),"")</f>
        <v/>
      </c>
      <c r="J156" s="117"/>
      <c r="K156" s="85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86"/>
      <c r="AE156" s="86"/>
      <c r="AF156" s="86"/>
      <c r="AG156" s="86"/>
      <c r="AH156" s="86"/>
      <c r="AI156" s="86"/>
      <c r="AJ156" s="86"/>
      <c r="AK156" s="86"/>
      <c r="AL156" s="86"/>
      <c r="AM156" s="86"/>
      <c r="AN156" s="86"/>
      <c r="AO156" s="87"/>
      <c r="AP156" s="88">
        <f t="shared" si="2"/>
        <v>0</v>
      </c>
    </row>
    <row r="157" spans="2:42" s="3" customFormat="1" ht="24" customHeight="1" x14ac:dyDescent="0.2">
      <c r="B157" s="80"/>
      <c r="C157" s="81"/>
      <c r="D157" s="82"/>
      <c r="E157" s="83"/>
      <c r="F157" s="84" t="str">
        <f>IFERROR(VLOOKUP($E157,設定!$C:$G,2,0),"")</f>
        <v/>
      </c>
      <c r="G157" s="84" t="str">
        <f>IFERROR(VLOOKUP($E157,設定!$C:$G,3,0),"")</f>
        <v/>
      </c>
      <c r="H157" s="84" t="str">
        <f>IFERROR(VLOOKUP($E157,設定!$C:$G,4,0),"")</f>
        <v/>
      </c>
      <c r="I157" s="84" t="str">
        <f>IFERROR(VLOOKUP($E157,設定!$C:$G,5,0),"")</f>
        <v/>
      </c>
      <c r="J157" s="117"/>
      <c r="K157" s="85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86"/>
      <c r="AE157" s="86"/>
      <c r="AF157" s="86"/>
      <c r="AG157" s="86"/>
      <c r="AH157" s="86"/>
      <c r="AI157" s="86"/>
      <c r="AJ157" s="86"/>
      <c r="AK157" s="86"/>
      <c r="AL157" s="86"/>
      <c r="AM157" s="86"/>
      <c r="AN157" s="86"/>
      <c r="AO157" s="87"/>
      <c r="AP157" s="88">
        <f t="shared" si="2"/>
        <v>0</v>
      </c>
    </row>
    <row r="158" spans="2:42" s="3" customFormat="1" ht="24" customHeight="1" x14ac:dyDescent="0.2">
      <c r="B158" s="80"/>
      <c r="C158" s="81"/>
      <c r="D158" s="82"/>
      <c r="E158" s="83"/>
      <c r="F158" s="84" t="str">
        <f>IFERROR(VLOOKUP($E158,設定!$C:$G,2,0),"")</f>
        <v/>
      </c>
      <c r="G158" s="84" t="str">
        <f>IFERROR(VLOOKUP($E158,設定!$C:$G,3,0),"")</f>
        <v/>
      </c>
      <c r="H158" s="84" t="str">
        <f>IFERROR(VLOOKUP($E158,設定!$C:$G,4,0),"")</f>
        <v/>
      </c>
      <c r="I158" s="84" t="str">
        <f>IFERROR(VLOOKUP($E158,設定!$C:$G,5,0),"")</f>
        <v/>
      </c>
      <c r="J158" s="117"/>
      <c r="K158" s="85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86"/>
      <c r="AE158" s="86"/>
      <c r="AF158" s="86"/>
      <c r="AG158" s="86"/>
      <c r="AH158" s="86"/>
      <c r="AI158" s="86"/>
      <c r="AJ158" s="86"/>
      <c r="AK158" s="86"/>
      <c r="AL158" s="86"/>
      <c r="AM158" s="86"/>
      <c r="AN158" s="86"/>
      <c r="AO158" s="87"/>
      <c r="AP158" s="88">
        <f t="shared" si="2"/>
        <v>0</v>
      </c>
    </row>
    <row r="159" spans="2:42" s="3" customFormat="1" ht="24" customHeight="1" x14ac:dyDescent="0.2">
      <c r="B159" s="80"/>
      <c r="C159" s="81"/>
      <c r="D159" s="82"/>
      <c r="E159" s="83"/>
      <c r="F159" s="84" t="str">
        <f>IFERROR(VLOOKUP($E159,設定!$C:$G,2,0),"")</f>
        <v/>
      </c>
      <c r="G159" s="84" t="str">
        <f>IFERROR(VLOOKUP($E159,設定!$C:$G,3,0),"")</f>
        <v/>
      </c>
      <c r="H159" s="84" t="str">
        <f>IFERROR(VLOOKUP($E159,設定!$C:$G,4,0),"")</f>
        <v/>
      </c>
      <c r="I159" s="84" t="str">
        <f>IFERROR(VLOOKUP($E159,設定!$C:$G,5,0),"")</f>
        <v/>
      </c>
      <c r="J159" s="117"/>
      <c r="K159" s="85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86"/>
      <c r="AE159" s="86"/>
      <c r="AF159" s="86"/>
      <c r="AG159" s="86"/>
      <c r="AH159" s="86"/>
      <c r="AI159" s="86"/>
      <c r="AJ159" s="86"/>
      <c r="AK159" s="86"/>
      <c r="AL159" s="86"/>
      <c r="AM159" s="86"/>
      <c r="AN159" s="86"/>
      <c r="AO159" s="87"/>
      <c r="AP159" s="88">
        <f t="shared" si="2"/>
        <v>0</v>
      </c>
    </row>
    <row r="160" spans="2:42" s="3" customFormat="1" ht="24" customHeight="1" x14ac:dyDescent="0.2">
      <c r="B160" s="80"/>
      <c r="C160" s="81"/>
      <c r="D160" s="82"/>
      <c r="E160" s="83"/>
      <c r="F160" s="84" t="str">
        <f>IFERROR(VLOOKUP($E160,設定!$C:$G,2,0),"")</f>
        <v/>
      </c>
      <c r="G160" s="84" t="str">
        <f>IFERROR(VLOOKUP($E160,設定!$C:$G,3,0),"")</f>
        <v/>
      </c>
      <c r="H160" s="84" t="str">
        <f>IFERROR(VLOOKUP($E160,設定!$C:$G,4,0),"")</f>
        <v/>
      </c>
      <c r="I160" s="84" t="str">
        <f>IFERROR(VLOOKUP($E160,設定!$C:$G,5,0),"")</f>
        <v/>
      </c>
      <c r="J160" s="117"/>
      <c r="K160" s="85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86"/>
      <c r="AE160" s="86"/>
      <c r="AF160" s="86"/>
      <c r="AG160" s="86"/>
      <c r="AH160" s="86"/>
      <c r="AI160" s="86"/>
      <c r="AJ160" s="86"/>
      <c r="AK160" s="86"/>
      <c r="AL160" s="86"/>
      <c r="AM160" s="86"/>
      <c r="AN160" s="86"/>
      <c r="AO160" s="87"/>
      <c r="AP160" s="88">
        <f t="shared" si="2"/>
        <v>0</v>
      </c>
    </row>
    <row r="161" spans="2:42" s="3" customFormat="1" ht="24" customHeight="1" x14ac:dyDescent="0.2">
      <c r="B161" s="80"/>
      <c r="C161" s="81"/>
      <c r="D161" s="82"/>
      <c r="E161" s="83"/>
      <c r="F161" s="84" t="str">
        <f>IFERROR(VLOOKUP($E161,設定!$C:$G,2,0),"")</f>
        <v/>
      </c>
      <c r="G161" s="84" t="str">
        <f>IFERROR(VLOOKUP($E161,設定!$C:$G,3,0),"")</f>
        <v/>
      </c>
      <c r="H161" s="84" t="str">
        <f>IFERROR(VLOOKUP($E161,設定!$C:$G,4,0),"")</f>
        <v/>
      </c>
      <c r="I161" s="84" t="str">
        <f>IFERROR(VLOOKUP($E161,設定!$C:$G,5,0),"")</f>
        <v/>
      </c>
      <c r="J161" s="117"/>
      <c r="K161" s="85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86"/>
      <c r="AE161" s="86"/>
      <c r="AF161" s="86"/>
      <c r="AG161" s="86"/>
      <c r="AH161" s="86"/>
      <c r="AI161" s="86"/>
      <c r="AJ161" s="86"/>
      <c r="AK161" s="86"/>
      <c r="AL161" s="86"/>
      <c r="AM161" s="86"/>
      <c r="AN161" s="86"/>
      <c r="AO161" s="87"/>
      <c r="AP161" s="88">
        <f t="shared" si="2"/>
        <v>0</v>
      </c>
    </row>
    <row r="162" spans="2:42" s="3" customFormat="1" ht="24" customHeight="1" x14ac:dyDescent="0.2">
      <c r="B162" s="80"/>
      <c r="C162" s="81"/>
      <c r="D162" s="82"/>
      <c r="E162" s="83"/>
      <c r="F162" s="84" t="str">
        <f>IFERROR(VLOOKUP($E162,設定!$C:$G,2,0),"")</f>
        <v/>
      </c>
      <c r="G162" s="84" t="str">
        <f>IFERROR(VLOOKUP($E162,設定!$C:$G,3,0),"")</f>
        <v/>
      </c>
      <c r="H162" s="84" t="str">
        <f>IFERROR(VLOOKUP($E162,設定!$C:$G,4,0),"")</f>
        <v/>
      </c>
      <c r="I162" s="84" t="str">
        <f>IFERROR(VLOOKUP($E162,設定!$C:$G,5,0),"")</f>
        <v/>
      </c>
      <c r="J162" s="117"/>
      <c r="K162" s="85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86"/>
      <c r="AE162" s="86"/>
      <c r="AF162" s="86"/>
      <c r="AG162" s="86"/>
      <c r="AH162" s="86"/>
      <c r="AI162" s="86"/>
      <c r="AJ162" s="86"/>
      <c r="AK162" s="86"/>
      <c r="AL162" s="86"/>
      <c r="AM162" s="86"/>
      <c r="AN162" s="86"/>
      <c r="AO162" s="87"/>
      <c r="AP162" s="88">
        <f t="shared" si="2"/>
        <v>0</v>
      </c>
    </row>
    <row r="163" spans="2:42" s="3" customFormat="1" ht="24" customHeight="1" x14ac:dyDescent="0.2">
      <c r="B163" s="80"/>
      <c r="C163" s="81"/>
      <c r="D163" s="82"/>
      <c r="E163" s="83"/>
      <c r="F163" s="84" t="str">
        <f>IFERROR(VLOOKUP($E163,設定!$C:$G,2,0),"")</f>
        <v/>
      </c>
      <c r="G163" s="84" t="str">
        <f>IFERROR(VLOOKUP($E163,設定!$C:$G,3,0),"")</f>
        <v/>
      </c>
      <c r="H163" s="84" t="str">
        <f>IFERROR(VLOOKUP($E163,設定!$C:$G,4,0),"")</f>
        <v/>
      </c>
      <c r="I163" s="84" t="str">
        <f>IFERROR(VLOOKUP($E163,設定!$C:$G,5,0),"")</f>
        <v/>
      </c>
      <c r="J163" s="117"/>
      <c r="K163" s="85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86"/>
      <c r="AE163" s="86"/>
      <c r="AF163" s="86"/>
      <c r="AG163" s="86"/>
      <c r="AH163" s="86"/>
      <c r="AI163" s="86"/>
      <c r="AJ163" s="86"/>
      <c r="AK163" s="86"/>
      <c r="AL163" s="86"/>
      <c r="AM163" s="86"/>
      <c r="AN163" s="86"/>
      <c r="AO163" s="87"/>
      <c r="AP163" s="88">
        <f t="shared" si="2"/>
        <v>0</v>
      </c>
    </row>
    <row r="164" spans="2:42" s="3" customFormat="1" ht="24" customHeight="1" x14ac:dyDescent="0.2">
      <c r="B164" s="80"/>
      <c r="C164" s="81"/>
      <c r="D164" s="82"/>
      <c r="E164" s="83"/>
      <c r="F164" s="84" t="str">
        <f>IFERROR(VLOOKUP($E164,設定!$C:$G,2,0),"")</f>
        <v/>
      </c>
      <c r="G164" s="84" t="str">
        <f>IFERROR(VLOOKUP($E164,設定!$C:$G,3,0),"")</f>
        <v/>
      </c>
      <c r="H164" s="84" t="str">
        <f>IFERROR(VLOOKUP($E164,設定!$C:$G,4,0),"")</f>
        <v/>
      </c>
      <c r="I164" s="84" t="str">
        <f>IFERROR(VLOOKUP($E164,設定!$C:$G,5,0),"")</f>
        <v/>
      </c>
      <c r="J164" s="117"/>
      <c r="K164" s="85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86"/>
      <c r="AE164" s="86"/>
      <c r="AF164" s="86"/>
      <c r="AG164" s="86"/>
      <c r="AH164" s="86"/>
      <c r="AI164" s="86"/>
      <c r="AJ164" s="86"/>
      <c r="AK164" s="86"/>
      <c r="AL164" s="86"/>
      <c r="AM164" s="86"/>
      <c r="AN164" s="86"/>
      <c r="AO164" s="87"/>
      <c r="AP164" s="88">
        <f t="shared" si="2"/>
        <v>0</v>
      </c>
    </row>
    <row r="165" spans="2:42" s="3" customFormat="1" ht="24" customHeight="1" x14ac:dyDescent="0.2">
      <c r="B165" s="80"/>
      <c r="C165" s="81"/>
      <c r="D165" s="82"/>
      <c r="E165" s="83"/>
      <c r="F165" s="84" t="str">
        <f>IFERROR(VLOOKUP($E165,設定!$C:$G,2,0),"")</f>
        <v/>
      </c>
      <c r="G165" s="84" t="str">
        <f>IFERROR(VLOOKUP($E165,設定!$C:$G,3,0),"")</f>
        <v/>
      </c>
      <c r="H165" s="84" t="str">
        <f>IFERROR(VLOOKUP($E165,設定!$C:$G,4,0),"")</f>
        <v/>
      </c>
      <c r="I165" s="84" t="str">
        <f>IFERROR(VLOOKUP($E165,設定!$C:$G,5,0),"")</f>
        <v/>
      </c>
      <c r="J165" s="117"/>
      <c r="K165" s="85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86"/>
      <c r="AE165" s="86"/>
      <c r="AF165" s="86"/>
      <c r="AG165" s="86"/>
      <c r="AH165" s="86"/>
      <c r="AI165" s="86"/>
      <c r="AJ165" s="86"/>
      <c r="AK165" s="86"/>
      <c r="AL165" s="86"/>
      <c r="AM165" s="86"/>
      <c r="AN165" s="86"/>
      <c r="AO165" s="87"/>
      <c r="AP165" s="88">
        <f t="shared" si="2"/>
        <v>0</v>
      </c>
    </row>
    <row r="166" spans="2:42" s="3" customFormat="1" ht="24" customHeight="1" x14ac:dyDescent="0.2">
      <c r="B166" s="80"/>
      <c r="C166" s="81"/>
      <c r="D166" s="82"/>
      <c r="E166" s="83"/>
      <c r="F166" s="84" t="str">
        <f>IFERROR(VLOOKUP($E166,設定!$C:$G,2,0),"")</f>
        <v/>
      </c>
      <c r="G166" s="84" t="str">
        <f>IFERROR(VLOOKUP($E166,設定!$C:$G,3,0),"")</f>
        <v/>
      </c>
      <c r="H166" s="84" t="str">
        <f>IFERROR(VLOOKUP($E166,設定!$C:$G,4,0),"")</f>
        <v/>
      </c>
      <c r="I166" s="84" t="str">
        <f>IFERROR(VLOOKUP($E166,設定!$C:$G,5,0),"")</f>
        <v/>
      </c>
      <c r="J166" s="117"/>
      <c r="K166" s="85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86"/>
      <c r="AE166" s="86"/>
      <c r="AF166" s="86"/>
      <c r="AG166" s="86"/>
      <c r="AH166" s="86"/>
      <c r="AI166" s="86"/>
      <c r="AJ166" s="86"/>
      <c r="AK166" s="86"/>
      <c r="AL166" s="86"/>
      <c r="AM166" s="86"/>
      <c r="AN166" s="86"/>
      <c r="AO166" s="87"/>
      <c r="AP166" s="88">
        <f t="shared" si="2"/>
        <v>0</v>
      </c>
    </row>
    <row r="167" spans="2:42" s="3" customFormat="1" ht="24" customHeight="1" x14ac:dyDescent="0.2">
      <c r="B167" s="80"/>
      <c r="C167" s="81"/>
      <c r="D167" s="82"/>
      <c r="E167" s="83"/>
      <c r="F167" s="84" t="str">
        <f>IFERROR(VLOOKUP($E167,設定!$C:$G,2,0),"")</f>
        <v/>
      </c>
      <c r="G167" s="84" t="str">
        <f>IFERROR(VLOOKUP($E167,設定!$C:$G,3,0),"")</f>
        <v/>
      </c>
      <c r="H167" s="84" t="str">
        <f>IFERROR(VLOOKUP($E167,設定!$C:$G,4,0),"")</f>
        <v/>
      </c>
      <c r="I167" s="84" t="str">
        <f>IFERROR(VLOOKUP($E167,設定!$C:$G,5,0),"")</f>
        <v/>
      </c>
      <c r="J167" s="117"/>
      <c r="K167" s="85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86"/>
      <c r="AE167" s="86"/>
      <c r="AF167" s="86"/>
      <c r="AG167" s="86"/>
      <c r="AH167" s="86"/>
      <c r="AI167" s="86"/>
      <c r="AJ167" s="86"/>
      <c r="AK167" s="86"/>
      <c r="AL167" s="86"/>
      <c r="AM167" s="86"/>
      <c r="AN167" s="86"/>
      <c r="AO167" s="87"/>
      <c r="AP167" s="88">
        <f t="shared" si="2"/>
        <v>0</v>
      </c>
    </row>
    <row r="168" spans="2:42" s="3" customFormat="1" ht="24" customHeight="1" x14ac:dyDescent="0.2">
      <c r="B168" s="80"/>
      <c r="C168" s="81"/>
      <c r="D168" s="82"/>
      <c r="E168" s="83"/>
      <c r="F168" s="84" t="str">
        <f>IFERROR(VLOOKUP($E168,設定!$C:$G,2,0),"")</f>
        <v/>
      </c>
      <c r="G168" s="84" t="str">
        <f>IFERROR(VLOOKUP($E168,設定!$C:$G,3,0),"")</f>
        <v/>
      </c>
      <c r="H168" s="84" t="str">
        <f>IFERROR(VLOOKUP($E168,設定!$C:$G,4,0),"")</f>
        <v/>
      </c>
      <c r="I168" s="84" t="str">
        <f>IFERROR(VLOOKUP($E168,設定!$C:$G,5,0),"")</f>
        <v/>
      </c>
      <c r="J168" s="117"/>
      <c r="K168" s="85"/>
      <c r="L168" s="86"/>
      <c r="M168" s="86"/>
      <c r="N168" s="86"/>
      <c r="O168" s="86"/>
      <c r="P168" s="86"/>
      <c r="Q168" s="86"/>
      <c r="R168" s="86"/>
      <c r="S168" s="86"/>
      <c r="T168" s="86"/>
      <c r="U168" s="86"/>
      <c r="V168" s="86"/>
      <c r="W168" s="86"/>
      <c r="X168" s="86"/>
      <c r="Y168" s="86"/>
      <c r="Z168" s="86"/>
      <c r="AA168" s="86"/>
      <c r="AB168" s="86"/>
      <c r="AC168" s="86"/>
      <c r="AD168" s="86"/>
      <c r="AE168" s="86"/>
      <c r="AF168" s="86"/>
      <c r="AG168" s="86"/>
      <c r="AH168" s="86"/>
      <c r="AI168" s="86"/>
      <c r="AJ168" s="86"/>
      <c r="AK168" s="86"/>
      <c r="AL168" s="86"/>
      <c r="AM168" s="86"/>
      <c r="AN168" s="86"/>
      <c r="AO168" s="87"/>
      <c r="AP168" s="88">
        <f t="shared" si="2"/>
        <v>0</v>
      </c>
    </row>
    <row r="169" spans="2:42" s="3" customFormat="1" ht="24" customHeight="1" x14ac:dyDescent="0.2">
      <c r="B169" s="80"/>
      <c r="C169" s="81"/>
      <c r="D169" s="82"/>
      <c r="E169" s="83"/>
      <c r="F169" s="84" t="str">
        <f>IFERROR(VLOOKUP($E169,設定!$C:$G,2,0),"")</f>
        <v/>
      </c>
      <c r="G169" s="84" t="str">
        <f>IFERROR(VLOOKUP($E169,設定!$C:$G,3,0),"")</f>
        <v/>
      </c>
      <c r="H169" s="84" t="str">
        <f>IFERROR(VLOOKUP($E169,設定!$C:$G,4,0),"")</f>
        <v/>
      </c>
      <c r="I169" s="84" t="str">
        <f>IFERROR(VLOOKUP($E169,設定!$C:$G,5,0),"")</f>
        <v/>
      </c>
      <c r="J169" s="117"/>
      <c r="K169" s="85"/>
      <c r="L169" s="86"/>
      <c r="M169" s="86"/>
      <c r="N169" s="86"/>
      <c r="O169" s="86"/>
      <c r="P169" s="86"/>
      <c r="Q169" s="86"/>
      <c r="R169" s="86"/>
      <c r="S169" s="86"/>
      <c r="T169" s="86"/>
      <c r="U169" s="86"/>
      <c r="V169" s="86"/>
      <c r="W169" s="86"/>
      <c r="X169" s="86"/>
      <c r="Y169" s="86"/>
      <c r="Z169" s="86"/>
      <c r="AA169" s="86"/>
      <c r="AB169" s="86"/>
      <c r="AC169" s="86"/>
      <c r="AD169" s="86"/>
      <c r="AE169" s="86"/>
      <c r="AF169" s="86"/>
      <c r="AG169" s="86"/>
      <c r="AH169" s="86"/>
      <c r="AI169" s="86"/>
      <c r="AJ169" s="86"/>
      <c r="AK169" s="86"/>
      <c r="AL169" s="86"/>
      <c r="AM169" s="86"/>
      <c r="AN169" s="86"/>
      <c r="AO169" s="87"/>
      <c r="AP169" s="88">
        <f t="shared" si="2"/>
        <v>0</v>
      </c>
    </row>
    <row r="170" spans="2:42" s="3" customFormat="1" ht="24" customHeight="1" x14ac:dyDescent="0.2">
      <c r="B170" s="80"/>
      <c r="C170" s="81"/>
      <c r="D170" s="82"/>
      <c r="E170" s="83"/>
      <c r="F170" s="84" t="str">
        <f>IFERROR(VLOOKUP($E170,設定!$C:$G,2,0),"")</f>
        <v/>
      </c>
      <c r="G170" s="84" t="str">
        <f>IFERROR(VLOOKUP($E170,設定!$C:$G,3,0),"")</f>
        <v/>
      </c>
      <c r="H170" s="84" t="str">
        <f>IFERROR(VLOOKUP($E170,設定!$C:$G,4,0),"")</f>
        <v/>
      </c>
      <c r="I170" s="84" t="str">
        <f>IFERROR(VLOOKUP($E170,設定!$C:$G,5,0),"")</f>
        <v/>
      </c>
      <c r="J170" s="117"/>
      <c r="K170" s="85"/>
      <c r="L170" s="86"/>
      <c r="M170" s="86"/>
      <c r="N170" s="86"/>
      <c r="O170" s="86"/>
      <c r="P170" s="86"/>
      <c r="Q170" s="86"/>
      <c r="R170" s="86"/>
      <c r="S170" s="86"/>
      <c r="T170" s="86"/>
      <c r="U170" s="86"/>
      <c r="V170" s="86"/>
      <c r="W170" s="86"/>
      <c r="X170" s="86"/>
      <c r="Y170" s="86"/>
      <c r="Z170" s="86"/>
      <c r="AA170" s="86"/>
      <c r="AB170" s="86"/>
      <c r="AC170" s="86"/>
      <c r="AD170" s="86"/>
      <c r="AE170" s="86"/>
      <c r="AF170" s="86"/>
      <c r="AG170" s="86"/>
      <c r="AH170" s="86"/>
      <c r="AI170" s="86"/>
      <c r="AJ170" s="86"/>
      <c r="AK170" s="86"/>
      <c r="AL170" s="86"/>
      <c r="AM170" s="86"/>
      <c r="AN170" s="86"/>
      <c r="AO170" s="87"/>
      <c r="AP170" s="88">
        <f t="shared" si="2"/>
        <v>0</v>
      </c>
    </row>
    <row r="171" spans="2:42" s="3" customFormat="1" ht="24" customHeight="1" x14ac:dyDescent="0.2">
      <c r="B171" s="80"/>
      <c r="C171" s="81"/>
      <c r="D171" s="82"/>
      <c r="E171" s="83"/>
      <c r="F171" s="84" t="str">
        <f>IFERROR(VLOOKUP($E171,設定!$C:$G,2,0),"")</f>
        <v/>
      </c>
      <c r="G171" s="84" t="str">
        <f>IFERROR(VLOOKUP($E171,設定!$C:$G,3,0),"")</f>
        <v/>
      </c>
      <c r="H171" s="84" t="str">
        <f>IFERROR(VLOOKUP($E171,設定!$C:$G,4,0),"")</f>
        <v/>
      </c>
      <c r="I171" s="84" t="str">
        <f>IFERROR(VLOOKUP($E171,設定!$C:$G,5,0),"")</f>
        <v/>
      </c>
      <c r="J171" s="117"/>
      <c r="K171" s="85"/>
      <c r="L171" s="86"/>
      <c r="M171" s="86"/>
      <c r="N171" s="86"/>
      <c r="O171" s="86"/>
      <c r="P171" s="86"/>
      <c r="Q171" s="86"/>
      <c r="R171" s="86"/>
      <c r="S171" s="86"/>
      <c r="T171" s="86"/>
      <c r="U171" s="86"/>
      <c r="V171" s="86"/>
      <c r="W171" s="86"/>
      <c r="X171" s="86"/>
      <c r="Y171" s="86"/>
      <c r="Z171" s="86"/>
      <c r="AA171" s="86"/>
      <c r="AB171" s="86"/>
      <c r="AC171" s="86"/>
      <c r="AD171" s="86"/>
      <c r="AE171" s="86"/>
      <c r="AF171" s="86"/>
      <c r="AG171" s="86"/>
      <c r="AH171" s="86"/>
      <c r="AI171" s="86"/>
      <c r="AJ171" s="86"/>
      <c r="AK171" s="86"/>
      <c r="AL171" s="86"/>
      <c r="AM171" s="86"/>
      <c r="AN171" s="86"/>
      <c r="AO171" s="87"/>
      <c r="AP171" s="88">
        <f t="shared" si="2"/>
        <v>0</v>
      </c>
    </row>
    <row r="172" spans="2:42" s="3" customFormat="1" ht="24" customHeight="1" x14ac:dyDescent="0.2">
      <c r="B172" s="80"/>
      <c r="C172" s="81"/>
      <c r="D172" s="82"/>
      <c r="E172" s="83"/>
      <c r="F172" s="84" t="str">
        <f>IFERROR(VLOOKUP($E172,設定!$C:$G,2,0),"")</f>
        <v/>
      </c>
      <c r="G172" s="84" t="str">
        <f>IFERROR(VLOOKUP($E172,設定!$C:$G,3,0),"")</f>
        <v/>
      </c>
      <c r="H172" s="84" t="str">
        <f>IFERROR(VLOOKUP($E172,設定!$C:$G,4,0),"")</f>
        <v/>
      </c>
      <c r="I172" s="84" t="str">
        <f>IFERROR(VLOOKUP($E172,設定!$C:$G,5,0),"")</f>
        <v/>
      </c>
      <c r="J172" s="117"/>
      <c r="K172" s="85"/>
      <c r="L172" s="86"/>
      <c r="M172" s="86"/>
      <c r="N172" s="86"/>
      <c r="O172" s="86"/>
      <c r="P172" s="86"/>
      <c r="Q172" s="86"/>
      <c r="R172" s="86"/>
      <c r="S172" s="86"/>
      <c r="T172" s="86"/>
      <c r="U172" s="86"/>
      <c r="V172" s="86"/>
      <c r="W172" s="86"/>
      <c r="X172" s="86"/>
      <c r="Y172" s="86"/>
      <c r="Z172" s="86"/>
      <c r="AA172" s="86"/>
      <c r="AB172" s="86"/>
      <c r="AC172" s="86"/>
      <c r="AD172" s="86"/>
      <c r="AE172" s="86"/>
      <c r="AF172" s="86"/>
      <c r="AG172" s="86"/>
      <c r="AH172" s="86"/>
      <c r="AI172" s="86"/>
      <c r="AJ172" s="86"/>
      <c r="AK172" s="86"/>
      <c r="AL172" s="86"/>
      <c r="AM172" s="86"/>
      <c r="AN172" s="86"/>
      <c r="AO172" s="87"/>
      <c r="AP172" s="88">
        <f t="shared" si="2"/>
        <v>0</v>
      </c>
    </row>
    <row r="173" spans="2:42" s="3" customFormat="1" ht="24" customHeight="1" x14ac:dyDescent="0.2">
      <c r="B173" s="80"/>
      <c r="C173" s="81"/>
      <c r="D173" s="82"/>
      <c r="E173" s="83"/>
      <c r="F173" s="84" t="str">
        <f>IFERROR(VLOOKUP($E173,設定!$C:$G,2,0),"")</f>
        <v/>
      </c>
      <c r="G173" s="84" t="str">
        <f>IFERROR(VLOOKUP($E173,設定!$C:$G,3,0),"")</f>
        <v/>
      </c>
      <c r="H173" s="84" t="str">
        <f>IFERROR(VLOOKUP($E173,設定!$C:$G,4,0),"")</f>
        <v/>
      </c>
      <c r="I173" s="84" t="str">
        <f>IFERROR(VLOOKUP($E173,設定!$C:$G,5,0),"")</f>
        <v/>
      </c>
      <c r="J173" s="117"/>
      <c r="K173" s="85"/>
      <c r="L173" s="86"/>
      <c r="M173" s="86"/>
      <c r="N173" s="86"/>
      <c r="O173" s="86"/>
      <c r="P173" s="86"/>
      <c r="Q173" s="86"/>
      <c r="R173" s="86"/>
      <c r="S173" s="86"/>
      <c r="T173" s="86"/>
      <c r="U173" s="86"/>
      <c r="V173" s="86"/>
      <c r="W173" s="86"/>
      <c r="X173" s="86"/>
      <c r="Y173" s="86"/>
      <c r="Z173" s="86"/>
      <c r="AA173" s="86"/>
      <c r="AB173" s="86"/>
      <c r="AC173" s="86"/>
      <c r="AD173" s="86"/>
      <c r="AE173" s="86"/>
      <c r="AF173" s="86"/>
      <c r="AG173" s="86"/>
      <c r="AH173" s="86"/>
      <c r="AI173" s="86"/>
      <c r="AJ173" s="86"/>
      <c r="AK173" s="86"/>
      <c r="AL173" s="86"/>
      <c r="AM173" s="86"/>
      <c r="AN173" s="86"/>
      <c r="AO173" s="87"/>
      <c r="AP173" s="88">
        <f t="shared" si="2"/>
        <v>0</v>
      </c>
    </row>
    <row r="174" spans="2:42" s="3" customFormat="1" ht="24" customHeight="1" x14ac:dyDescent="0.2">
      <c r="B174" s="80"/>
      <c r="C174" s="81"/>
      <c r="D174" s="82"/>
      <c r="E174" s="83"/>
      <c r="F174" s="84" t="str">
        <f>IFERROR(VLOOKUP($E174,設定!$C:$G,2,0),"")</f>
        <v/>
      </c>
      <c r="G174" s="84" t="str">
        <f>IFERROR(VLOOKUP($E174,設定!$C:$G,3,0),"")</f>
        <v/>
      </c>
      <c r="H174" s="84" t="str">
        <f>IFERROR(VLOOKUP($E174,設定!$C:$G,4,0),"")</f>
        <v/>
      </c>
      <c r="I174" s="84" t="str">
        <f>IFERROR(VLOOKUP($E174,設定!$C:$G,5,0),"")</f>
        <v/>
      </c>
      <c r="J174" s="117"/>
      <c r="K174" s="85"/>
      <c r="L174" s="86"/>
      <c r="M174" s="86"/>
      <c r="N174" s="86"/>
      <c r="O174" s="86"/>
      <c r="P174" s="86"/>
      <c r="Q174" s="86"/>
      <c r="R174" s="86"/>
      <c r="S174" s="86"/>
      <c r="T174" s="86"/>
      <c r="U174" s="86"/>
      <c r="V174" s="86"/>
      <c r="W174" s="86"/>
      <c r="X174" s="86"/>
      <c r="Y174" s="86"/>
      <c r="Z174" s="86"/>
      <c r="AA174" s="86"/>
      <c r="AB174" s="86"/>
      <c r="AC174" s="86"/>
      <c r="AD174" s="86"/>
      <c r="AE174" s="86"/>
      <c r="AF174" s="86"/>
      <c r="AG174" s="86"/>
      <c r="AH174" s="86"/>
      <c r="AI174" s="86"/>
      <c r="AJ174" s="86"/>
      <c r="AK174" s="86"/>
      <c r="AL174" s="86"/>
      <c r="AM174" s="86"/>
      <c r="AN174" s="86"/>
      <c r="AO174" s="87"/>
      <c r="AP174" s="88">
        <f t="shared" si="2"/>
        <v>0</v>
      </c>
    </row>
    <row r="175" spans="2:42" s="3" customFormat="1" ht="24" customHeight="1" x14ac:dyDescent="0.2">
      <c r="B175" s="80"/>
      <c r="C175" s="81"/>
      <c r="D175" s="82"/>
      <c r="E175" s="83"/>
      <c r="F175" s="84" t="str">
        <f>IFERROR(VLOOKUP($E175,設定!$C:$G,2,0),"")</f>
        <v/>
      </c>
      <c r="G175" s="84" t="str">
        <f>IFERROR(VLOOKUP($E175,設定!$C:$G,3,0),"")</f>
        <v/>
      </c>
      <c r="H175" s="84" t="str">
        <f>IFERROR(VLOOKUP($E175,設定!$C:$G,4,0),"")</f>
        <v/>
      </c>
      <c r="I175" s="84" t="str">
        <f>IFERROR(VLOOKUP($E175,設定!$C:$G,5,0),"")</f>
        <v/>
      </c>
      <c r="J175" s="117"/>
      <c r="K175" s="85"/>
      <c r="L175" s="86"/>
      <c r="M175" s="86"/>
      <c r="N175" s="86"/>
      <c r="O175" s="86"/>
      <c r="P175" s="86"/>
      <c r="Q175" s="86"/>
      <c r="R175" s="86"/>
      <c r="S175" s="86"/>
      <c r="T175" s="86"/>
      <c r="U175" s="86"/>
      <c r="V175" s="86"/>
      <c r="W175" s="86"/>
      <c r="X175" s="86"/>
      <c r="Y175" s="86"/>
      <c r="Z175" s="86"/>
      <c r="AA175" s="86"/>
      <c r="AB175" s="86"/>
      <c r="AC175" s="86"/>
      <c r="AD175" s="86"/>
      <c r="AE175" s="86"/>
      <c r="AF175" s="86"/>
      <c r="AG175" s="86"/>
      <c r="AH175" s="86"/>
      <c r="AI175" s="86"/>
      <c r="AJ175" s="86"/>
      <c r="AK175" s="86"/>
      <c r="AL175" s="86"/>
      <c r="AM175" s="86"/>
      <c r="AN175" s="86"/>
      <c r="AO175" s="87"/>
      <c r="AP175" s="88">
        <f t="shared" si="2"/>
        <v>0</v>
      </c>
    </row>
    <row r="176" spans="2:42" s="3" customFormat="1" ht="24" customHeight="1" x14ac:dyDescent="0.2">
      <c r="B176" s="80"/>
      <c r="C176" s="81"/>
      <c r="D176" s="82"/>
      <c r="E176" s="83"/>
      <c r="F176" s="84" t="str">
        <f>IFERROR(VLOOKUP($E176,設定!$C:$G,2,0),"")</f>
        <v/>
      </c>
      <c r="G176" s="84" t="str">
        <f>IFERROR(VLOOKUP($E176,設定!$C:$G,3,0),"")</f>
        <v/>
      </c>
      <c r="H176" s="84" t="str">
        <f>IFERROR(VLOOKUP($E176,設定!$C:$G,4,0),"")</f>
        <v/>
      </c>
      <c r="I176" s="84" t="str">
        <f>IFERROR(VLOOKUP($E176,設定!$C:$G,5,0),"")</f>
        <v/>
      </c>
      <c r="J176" s="117"/>
      <c r="K176" s="85"/>
      <c r="L176" s="86"/>
      <c r="M176" s="86"/>
      <c r="N176" s="86"/>
      <c r="O176" s="86"/>
      <c r="P176" s="86"/>
      <c r="Q176" s="86"/>
      <c r="R176" s="86"/>
      <c r="S176" s="86"/>
      <c r="T176" s="86"/>
      <c r="U176" s="86"/>
      <c r="V176" s="86"/>
      <c r="W176" s="86"/>
      <c r="X176" s="86"/>
      <c r="Y176" s="86"/>
      <c r="Z176" s="86"/>
      <c r="AA176" s="86"/>
      <c r="AB176" s="86"/>
      <c r="AC176" s="86"/>
      <c r="AD176" s="86"/>
      <c r="AE176" s="86"/>
      <c r="AF176" s="86"/>
      <c r="AG176" s="86"/>
      <c r="AH176" s="86"/>
      <c r="AI176" s="86"/>
      <c r="AJ176" s="86"/>
      <c r="AK176" s="86"/>
      <c r="AL176" s="86"/>
      <c r="AM176" s="86"/>
      <c r="AN176" s="86"/>
      <c r="AO176" s="87"/>
      <c r="AP176" s="88">
        <f t="shared" si="2"/>
        <v>0</v>
      </c>
    </row>
    <row r="177" spans="2:42" s="3" customFormat="1" ht="24" customHeight="1" x14ac:dyDescent="0.2">
      <c r="B177" s="80"/>
      <c r="C177" s="81"/>
      <c r="D177" s="82"/>
      <c r="E177" s="83"/>
      <c r="F177" s="84" t="str">
        <f>IFERROR(VLOOKUP($E177,設定!$C:$G,2,0),"")</f>
        <v/>
      </c>
      <c r="G177" s="84" t="str">
        <f>IFERROR(VLOOKUP($E177,設定!$C:$G,3,0),"")</f>
        <v/>
      </c>
      <c r="H177" s="84" t="str">
        <f>IFERROR(VLOOKUP($E177,設定!$C:$G,4,0),"")</f>
        <v/>
      </c>
      <c r="I177" s="84" t="str">
        <f>IFERROR(VLOOKUP($E177,設定!$C:$G,5,0),"")</f>
        <v/>
      </c>
      <c r="J177" s="117"/>
      <c r="K177" s="85"/>
      <c r="L177" s="86"/>
      <c r="M177" s="86"/>
      <c r="N177" s="86"/>
      <c r="O177" s="86"/>
      <c r="P177" s="86"/>
      <c r="Q177" s="86"/>
      <c r="R177" s="86"/>
      <c r="S177" s="86"/>
      <c r="T177" s="86"/>
      <c r="U177" s="86"/>
      <c r="V177" s="86"/>
      <c r="W177" s="86"/>
      <c r="X177" s="86"/>
      <c r="Y177" s="86"/>
      <c r="Z177" s="86"/>
      <c r="AA177" s="86"/>
      <c r="AB177" s="86"/>
      <c r="AC177" s="86"/>
      <c r="AD177" s="86"/>
      <c r="AE177" s="86"/>
      <c r="AF177" s="86"/>
      <c r="AG177" s="86"/>
      <c r="AH177" s="86"/>
      <c r="AI177" s="86"/>
      <c r="AJ177" s="86"/>
      <c r="AK177" s="86"/>
      <c r="AL177" s="86"/>
      <c r="AM177" s="86"/>
      <c r="AN177" s="86"/>
      <c r="AO177" s="87"/>
      <c r="AP177" s="88">
        <f t="shared" si="2"/>
        <v>0</v>
      </c>
    </row>
    <row r="178" spans="2:42" s="3" customFormat="1" ht="24" customHeight="1" x14ac:dyDescent="0.2">
      <c r="B178" s="80"/>
      <c r="C178" s="81"/>
      <c r="D178" s="82"/>
      <c r="E178" s="83"/>
      <c r="F178" s="84" t="str">
        <f>IFERROR(VLOOKUP($E178,設定!$C:$G,2,0),"")</f>
        <v/>
      </c>
      <c r="G178" s="84" t="str">
        <f>IFERROR(VLOOKUP($E178,設定!$C:$G,3,0),"")</f>
        <v/>
      </c>
      <c r="H178" s="84" t="str">
        <f>IFERROR(VLOOKUP($E178,設定!$C:$G,4,0),"")</f>
        <v/>
      </c>
      <c r="I178" s="84" t="str">
        <f>IFERROR(VLOOKUP($E178,設定!$C:$G,5,0),"")</f>
        <v/>
      </c>
      <c r="J178" s="117"/>
      <c r="K178" s="85"/>
      <c r="L178" s="86"/>
      <c r="M178" s="86"/>
      <c r="N178" s="86"/>
      <c r="O178" s="86"/>
      <c r="P178" s="86"/>
      <c r="Q178" s="86"/>
      <c r="R178" s="86"/>
      <c r="S178" s="86"/>
      <c r="T178" s="86"/>
      <c r="U178" s="86"/>
      <c r="V178" s="86"/>
      <c r="W178" s="86"/>
      <c r="X178" s="86"/>
      <c r="Y178" s="86"/>
      <c r="Z178" s="86"/>
      <c r="AA178" s="86"/>
      <c r="AB178" s="86"/>
      <c r="AC178" s="86"/>
      <c r="AD178" s="86"/>
      <c r="AE178" s="86"/>
      <c r="AF178" s="86"/>
      <c r="AG178" s="86"/>
      <c r="AH178" s="86"/>
      <c r="AI178" s="86"/>
      <c r="AJ178" s="86"/>
      <c r="AK178" s="86"/>
      <c r="AL178" s="86"/>
      <c r="AM178" s="86"/>
      <c r="AN178" s="86"/>
      <c r="AO178" s="87"/>
      <c r="AP178" s="88">
        <f t="shared" si="2"/>
        <v>0</v>
      </c>
    </row>
    <row r="179" spans="2:42" s="3" customFormat="1" ht="24" customHeight="1" x14ac:dyDescent="0.2">
      <c r="B179" s="80"/>
      <c r="C179" s="81"/>
      <c r="D179" s="82"/>
      <c r="E179" s="83"/>
      <c r="F179" s="84" t="str">
        <f>IFERROR(VLOOKUP($E179,設定!$C:$G,2,0),"")</f>
        <v/>
      </c>
      <c r="G179" s="84" t="str">
        <f>IFERROR(VLOOKUP($E179,設定!$C:$G,3,0),"")</f>
        <v/>
      </c>
      <c r="H179" s="84" t="str">
        <f>IFERROR(VLOOKUP($E179,設定!$C:$G,4,0),"")</f>
        <v/>
      </c>
      <c r="I179" s="84" t="str">
        <f>IFERROR(VLOOKUP($E179,設定!$C:$G,5,0),"")</f>
        <v/>
      </c>
      <c r="J179" s="117"/>
      <c r="K179" s="85"/>
      <c r="L179" s="86"/>
      <c r="M179" s="86"/>
      <c r="N179" s="86"/>
      <c r="O179" s="86"/>
      <c r="P179" s="86"/>
      <c r="Q179" s="86"/>
      <c r="R179" s="86"/>
      <c r="S179" s="86"/>
      <c r="T179" s="86"/>
      <c r="U179" s="86"/>
      <c r="V179" s="86"/>
      <c r="W179" s="86"/>
      <c r="X179" s="86"/>
      <c r="Y179" s="86"/>
      <c r="Z179" s="86"/>
      <c r="AA179" s="86"/>
      <c r="AB179" s="86"/>
      <c r="AC179" s="86"/>
      <c r="AD179" s="86"/>
      <c r="AE179" s="86"/>
      <c r="AF179" s="86"/>
      <c r="AG179" s="86"/>
      <c r="AH179" s="86"/>
      <c r="AI179" s="86"/>
      <c r="AJ179" s="86"/>
      <c r="AK179" s="86"/>
      <c r="AL179" s="86"/>
      <c r="AM179" s="86"/>
      <c r="AN179" s="86"/>
      <c r="AO179" s="87"/>
      <c r="AP179" s="88">
        <f t="shared" si="2"/>
        <v>0</v>
      </c>
    </row>
    <row r="180" spans="2:42" s="3" customFormat="1" ht="24" customHeight="1" x14ac:dyDescent="0.2">
      <c r="B180" s="80"/>
      <c r="C180" s="81"/>
      <c r="D180" s="82"/>
      <c r="E180" s="83"/>
      <c r="F180" s="84" t="str">
        <f>IFERROR(VLOOKUP($E180,設定!$C:$G,2,0),"")</f>
        <v/>
      </c>
      <c r="G180" s="84" t="str">
        <f>IFERROR(VLOOKUP($E180,設定!$C:$G,3,0),"")</f>
        <v/>
      </c>
      <c r="H180" s="84" t="str">
        <f>IFERROR(VLOOKUP($E180,設定!$C:$G,4,0),"")</f>
        <v/>
      </c>
      <c r="I180" s="84" t="str">
        <f>IFERROR(VLOOKUP($E180,設定!$C:$G,5,0),"")</f>
        <v/>
      </c>
      <c r="J180" s="117"/>
      <c r="K180" s="85"/>
      <c r="L180" s="86"/>
      <c r="M180" s="86"/>
      <c r="N180" s="86"/>
      <c r="O180" s="86"/>
      <c r="P180" s="86"/>
      <c r="Q180" s="86"/>
      <c r="R180" s="86"/>
      <c r="S180" s="86"/>
      <c r="T180" s="86"/>
      <c r="U180" s="86"/>
      <c r="V180" s="86"/>
      <c r="W180" s="86"/>
      <c r="X180" s="86"/>
      <c r="Y180" s="86"/>
      <c r="Z180" s="86"/>
      <c r="AA180" s="86"/>
      <c r="AB180" s="86"/>
      <c r="AC180" s="86"/>
      <c r="AD180" s="86"/>
      <c r="AE180" s="86"/>
      <c r="AF180" s="86"/>
      <c r="AG180" s="86"/>
      <c r="AH180" s="86"/>
      <c r="AI180" s="86"/>
      <c r="AJ180" s="86"/>
      <c r="AK180" s="86"/>
      <c r="AL180" s="86"/>
      <c r="AM180" s="86"/>
      <c r="AN180" s="86"/>
      <c r="AO180" s="87"/>
      <c r="AP180" s="88">
        <f t="shared" si="2"/>
        <v>0</v>
      </c>
    </row>
    <row r="181" spans="2:42" s="3" customFormat="1" ht="24" customHeight="1" x14ac:dyDescent="0.2">
      <c r="B181" s="80"/>
      <c r="C181" s="81"/>
      <c r="D181" s="82"/>
      <c r="E181" s="83"/>
      <c r="F181" s="84" t="str">
        <f>IFERROR(VLOOKUP($E181,設定!$C:$G,2,0),"")</f>
        <v/>
      </c>
      <c r="G181" s="84" t="str">
        <f>IFERROR(VLOOKUP($E181,設定!$C:$G,3,0),"")</f>
        <v/>
      </c>
      <c r="H181" s="84" t="str">
        <f>IFERROR(VLOOKUP($E181,設定!$C:$G,4,0),"")</f>
        <v/>
      </c>
      <c r="I181" s="84" t="str">
        <f>IFERROR(VLOOKUP($E181,設定!$C:$G,5,0),"")</f>
        <v/>
      </c>
      <c r="J181" s="117"/>
      <c r="K181" s="85"/>
      <c r="L181" s="86"/>
      <c r="M181" s="86"/>
      <c r="N181" s="86"/>
      <c r="O181" s="86"/>
      <c r="P181" s="86"/>
      <c r="Q181" s="86"/>
      <c r="R181" s="86"/>
      <c r="S181" s="86"/>
      <c r="T181" s="86"/>
      <c r="U181" s="86"/>
      <c r="V181" s="86"/>
      <c r="W181" s="86"/>
      <c r="X181" s="86"/>
      <c r="Y181" s="86"/>
      <c r="Z181" s="86"/>
      <c r="AA181" s="86"/>
      <c r="AB181" s="86"/>
      <c r="AC181" s="86"/>
      <c r="AD181" s="86"/>
      <c r="AE181" s="86"/>
      <c r="AF181" s="86"/>
      <c r="AG181" s="86"/>
      <c r="AH181" s="86"/>
      <c r="AI181" s="86"/>
      <c r="AJ181" s="86"/>
      <c r="AK181" s="86"/>
      <c r="AL181" s="86"/>
      <c r="AM181" s="86"/>
      <c r="AN181" s="86"/>
      <c r="AO181" s="87"/>
      <c r="AP181" s="88">
        <f t="shared" si="2"/>
        <v>0</v>
      </c>
    </row>
    <row r="182" spans="2:42" s="3" customFormat="1" ht="24" customHeight="1" x14ac:dyDescent="0.2">
      <c r="B182" s="80"/>
      <c r="C182" s="81"/>
      <c r="D182" s="82"/>
      <c r="E182" s="83"/>
      <c r="F182" s="84" t="str">
        <f>IFERROR(VLOOKUP($E182,設定!$C:$G,2,0),"")</f>
        <v/>
      </c>
      <c r="G182" s="84" t="str">
        <f>IFERROR(VLOOKUP($E182,設定!$C:$G,3,0),"")</f>
        <v/>
      </c>
      <c r="H182" s="84" t="str">
        <f>IFERROR(VLOOKUP($E182,設定!$C:$G,4,0),"")</f>
        <v/>
      </c>
      <c r="I182" s="84" t="str">
        <f>IFERROR(VLOOKUP($E182,設定!$C:$G,5,0),"")</f>
        <v/>
      </c>
      <c r="J182" s="117"/>
      <c r="K182" s="85"/>
      <c r="L182" s="86"/>
      <c r="M182" s="86"/>
      <c r="N182" s="86"/>
      <c r="O182" s="86"/>
      <c r="P182" s="86"/>
      <c r="Q182" s="86"/>
      <c r="R182" s="86"/>
      <c r="S182" s="86"/>
      <c r="T182" s="86"/>
      <c r="U182" s="86"/>
      <c r="V182" s="86"/>
      <c r="W182" s="86"/>
      <c r="X182" s="86"/>
      <c r="Y182" s="86"/>
      <c r="Z182" s="86"/>
      <c r="AA182" s="86"/>
      <c r="AB182" s="86"/>
      <c r="AC182" s="86"/>
      <c r="AD182" s="86"/>
      <c r="AE182" s="86"/>
      <c r="AF182" s="86"/>
      <c r="AG182" s="86"/>
      <c r="AH182" s="86"/>
      <c r="AI182" s="86"/>
      <c r="AJ182" s="86"/>
      <c r="AK182" s="86"/>
      <c r="AL182" s="86"/>
      <c r="AM182" s="86"/>
      <c r="AN182" s="86"/>
      <c r="AO182" s="87"/>
      <c r="AP182" s="88">
        <f t="shared" si="2"/>
        <v>0</v>
      </c>
    </row>
    <row r="183" spans="2:42" s="3" customFormat="1" ht="24" customHeight="1" x14ac:dyDescent="0.2">
      <c r="B183" s="80"/>
      <c r="C183" s="81"/>
      <c r="D183" s="82"/>
      <c r="E183" s="83"/>
      <c r="F183" s="84" t="str">
        <f>IFERROR(VLOOKUP($E183,設定!$C:$G,2,0),"")</f>
        <v/>
      </c>
      <c r="G183" s="84" t="str">
        <f>IFERROR(VLOOKUP($E183,設定!$C:$G,3,0),"")</f>
        <v/>
      </c>
      <c r="H183" s="84" t="str">
        <f>IFERROR(VLOOKUP($E183,設定!$C:$G,4,0),"")</f>
        <v/>
      </c>
      <c r="I183" s="84" t="str">
        <f>IFERROR(VLOOKUP($E183,設定!$C:$G,5,0),"")</f>
        <v/>
      </c>
      <c r="J183" s="117"/>
      <c r="K183" s="85"/>
      <c r="L183" s="86"/>
      <c r="M183" s="86"/>
      <c r="N183" s="86"/>
      <c r="O183" s="86"/>
      <c r="P183" s="86"/>
      <c r="Q183" s="86"/>
      <c r="R183" s="86"/>
      <c r="S183" s="86"/>
      <c r="T183" s="86"/>
      <c r="U183" s="86"/>
      <c r="V183" s="86"/>
      <c r="W183" s="86"/>
      <c r="X183" s="86"/>
      <c r="Y183" s="86"/>
      <c r="Z183" s="86"/>
      <c r="AA183" s="86"/>
      <c r="AB183" s="86"/>
      <c r="AC183" s="86"/>
      <c r="AD183" s="86"/>
      <c r="AE183" s="86"/>
      <c r="AF183" s="86"/>
      <c r="AG183" s="86"/>
      <c r="AH183" s="86"/>
      <c r="AI183" s="86"/>
      <c r="AJ183" s="86"/>
      <c r="AK183" s="86"/>
      <c r="AL183" s="86"/>
      <c r="AM183" s="86"/>
      <c r="AN183" s="86"/>
      <c r="AO183" s="87"/>
      <c r="AP183" s="88">
        <f t="shared" si="2"/>
        <v>0</v>
      </c>
    </row>
    <row r="184" spans="2:42" s="3" customFormat="1" ht="24" customHeight="1" x14ac:dyDescent="0.2">
      <c r="B184" s="80"/>
      <c r="C184" s="81"/>
      <c r="D184" s="82"/>
      <c r="E184" s="83"/>
      <c r="F184" s="84" t="str">
        <f>IFERROR(VLOOKUP($E184,設定!$C:$G,2,0),"")</f>
        <v/>
      </c>
      <c r="G184" s="84" t="str">
        <f>IFERROR(VLOOKUP($E184,設定!$C:$G,3,0),"")</f>
        <v/>
      </c>
      <c r="H184" s="84" t="str">
        <f>IFERROR(VLOOKUP($E184,設定!$C:$G,4,0),"")</f>
        <v/>
      </c>
      <c r="I184" s="84" t="str">
        <f>IFERROR(VLOOKUP($E184,設定!$C:$G,5,0),"")</f>
        <v/>
      </c>
      <c r="J184" s="117"/>
      <c r="K184" s="85"/>
      <c r="L184" s="86"/>
      <c r="M184" s="86"/>
      <c r="N184" s="86"/>
      <c r="O184" s="86"/>
      <c r="P184" s="86"/>
      <c r="Q184" s="86"/>
      <c r="R184" s="86"/>
      <c r="S184" s="86"/>
      <c r="T184" s="86"/>
      <c r="U184" s="86"/>
      <c r="V184" s="86"/>
      <c r="W184" s="86"/>
      <c r="X184" s="86"/>
      <c r="Y184" s="86"/>
      <c r="Z184" s="86"/>
      <c r="AA184" s="86"/>
      <c r="AB184" s="86"/>
      <c r="AC184" s="86"/>
      <c r="AD184" s="86"/>
      <c r="AE184" s="86"/>
      <c r="AF184" s="86"/>
      <c r="AG184" s="86"/>
      <c r="AH184" s="86"/>
      <c r="AI184" s="86"/>
      <c r="AJ184" s="86"/>
      <c r="AK184" s="86"/>
      <c r="AL184" s="86"/>
      <c r="AM184" s="86"/>
      <c r="AN184" s="86"/>
      <c r="AO184" s="87"/>
      <c r="AP184" s="88">
        <f t="shared" si="2"/>
        <v>0</v>
      </c>
    </row>
    <row r="185" spans="2:42" s="3" customFormat="1" ht="24" customHeight="1" x14ac:dyDescent="0.2">
      <c r="B185" s="80"/>
      <c r="C185" s="81"/>
      <c r="D185" s="82"/>
      <c r="E185" s="83"/>
      <c r="F185" s="84" t="str">
        <f>IFERROR(VLOOKUP($E185,設定!$C:$G,2,0),"")</f>
        <v/>
      </c>
      <c r="G185" s="84" t="str">
        <f>IFERROR(VLOOKUP($E185,設定!$C:$G,3,0),"")</f>
        <v/>
      </c>
      <c r="H185" s="84" t="str">
        <f>IFERROR(VLOOKUP($E185,設定!$C:$G,4,0),"")</f>
        <v/>
      </c>
      <c r="I185" s="84" t="str">
        <f>IFERROR(VLOOKUP($E185,設定!$C:$G,5,0),"")</f>
        <v/>
      </c>
      <c r="J185" s="117"/>
      <c r="K185" s="85"/>
      <c r="L185" s="86"/>
      <c r="M185" s="86"/>
      <c r="N185" s="86"/>
      <c r="O185" s="86"/>
      <c r="P185" s="86"/>
      <c r="Q185" s="86"/>
      <c r="R185" s="86"/>
      <c r="S185" s="86"/>
      <c r="T185" s="86"/>
      <c r="U185" s="86"/>
      <c r="V185" s="86"/>
      <c r="W185" s="86"/>
      <c r="X185" s="86"/>
      <c r="Y185" s="86"/>
      <c r="Z185" s="86"/>
      <c r="AA185" s="86"/>
      <c r="AB185" s="86"/>
      <c r="AC185" s="86"/>
      <c r="AD185" s="86"/>
      <c r="AE185" s="86"/>
      <c r="AF185" s="86"/>
      <c r="AG185" s="86"/>
      <c r="AH185" s="86"/>
      <c r="AI185" s="86"/>
      <c r="AJ185" s="86"/>
      <c r="AK185" s="86"/>
      <c r="AL185" s="86"/>
      <c r="AM185" s="86"/>
      <c r="AN185" s="86"/>
      <c r="AO185" s="87"/>
      <c r="AP185" s="88">
        <f t="shared" si="2"/>
        <v>0</v>
      </c>
    </row>
    <row r="186" spans="2:42" s="3" customFormat="1" ht="24" customHeight="1" x14ac:dyDescent="0.2">
      <c r="B186" s="80"/>
      <c r="C186" s="81"/>
      <c r="D186" s="82"/>
      <c r="E186" s="83"/>
      <c r="F186" s="84" t="str">
        <f>IFERROR(VLOOKUP($E186,設定!$C:$G,2,0),"")</f>
        <v/>
      </c>
      <c r="G186" s="84" t="str">
        <f>IFERROR(VLOOKUP($E186,設定!$C:$G,3,0),"")</f>
        <v/>
      </c>
      <c r="H186" s="84" t="str">
        <f>IFERROR(VLOOKUP($E186,設定!$C:$G,4,0),"")</f>
        <v/>
      </c>
      <c r="I186" s="84" t="str">
        <f>IFERROR(VLOOKUP($E186,設定!$C:$G,5,0),"")</f>
        <v/>
      </c>
      <c r="J186" s="117"/>
      <c r="K186" s="85"/>
      <c r="L186" s="86"/>
      <c r="M186" s="86"/>
      <c r="N186" s="86"/>
      <c r="O186" s="86"/>
      <c r="P186" s="86"/>
      <c r="Q186" s="86"/>
      <c r="R186" s="86"/>
      <c r="S186" s="86"/>
      <c r="T186" s="86"/>
      <c r="U186" s="86"/>
      <c r="V186" s="86"/>
      <c r="W186" s="86"/>
      <c r="X186" s="86"/>
      <c r="Y186" s="86"/>
      <c r="Z186" s="86"/>
      <c r="AA186" s="86"/>
      <c r="AB186" s="86"/>
      <c r="AC186" s="86"/>
      <c r="AD186" s="86"/>
      <c r="AE186" s="86"/>
      <c r="AF186" s="86"/>
      <c r="AG186" s="86"/>
      <c r="AH186" s="86"/>
      <c r="AI186" s="86"/>
      <c r="AJ186" s="86"/>
      <c r="AK186" s="86"/>
      <c r="AL186" s="86"/>
      <c r="AM186" s="86"/>
      <c r="AN186" s="86"/>
      <c r="AO186" s="87"/>
      <c r="AP186" s="88">
        <f t="shared" si="2"/>
        <v>0</v>
      </c>
    </row>
    <row r="187" spans="2:42" s="3" customFormat="1" ht="24" customHeight="1" x14ac:dyDescent="0.2">
      <c r="B187" s="80"/>
      <c r="C187" s="81"/>
      <c r="D187" s="82"/>
      <c r="E187" s="83"/>
      <c r="F187" s="84" t="str">
        <f>IFERROR(VLOOKUP($E187,設定!$C:$G,2,0),"")</f>
        <v/>
      </c>
      <c r="G187" s="84" t="str">
        <f>IFERROR(VLOOKUP($E187,設定!$C:$G,3,0),"")</f>
        <v/>
      </c>
      <c r="H187" s="84" t="str">
        <f>IFERROR(VLOOKUP($E187,設定!$C:$G,4,0),"")</f>
        <v/>
      </c>
      <c r="I187" s="84" t="str">
        <f>IFERROR(VLOOKUP($E187,設定!$C:$G,5,0),"")</f>
        <v/>
      </c>
      <c r="J187" s="117"/>
      <c r="K187" s="85"/>
      <c r="L187" s="86"/>
      <c r="M187" s="86"/>
      <c r="N187" s="86"/>
      <c r="O187" s="86"/>
      <c r="P187" s="86"/>
      <c r="Q187" s="86"/>
      <c r="R187" s="86"/>
      <c r="S187" s="86"/>
      <c r="T187" s="86"/>
      <c r="U187" s="86"/>
      <c r="V187" s="86"/>
      <c r="W187" s="86"/>
      <c r="X187" s="86"/>
      <c r="Y187" s="86"/>
      <c r="Z187" s="86"/>
      <c r="AA187" s="86"/>
      <c r="AB187" s="86"/>
      <c r="AC187" s="86"/>
      <c r="AD187" s="86"/>
      <c r="AE187" s="86"/>
      <c r="AF187" s="86"/>
      <c r="AG187" s="86"/>
      <c r="AH187" s="86"/>
      <c r="AI187" s="86"/>
      <c r="AJ187" s="86"/>
      <c r="AK187" s="86"/>
      <c r="AL187" s="86"/>
      <c r="AM187" s="86"/>
      <c r="AN187" s="86"/>
      <c r="AO187" s="87"/>
      <c r="AP187" s="88">
        <f t="shared" si="2"/>
        <v>0</v>
      </c>
    </row>
    <row r="188" spans="2:42" s="3" customFormat="1" ht="24" customHeight="1" x14ac:dyDescent="0.2">
      <c r="B188" s="80"/>
      <c r="C188" s="81"/>
      <c r="D188" s="82"/>
      <c r="E188" s="83"/>
      <c r="F188" s="84" t="str">
        <f>IFERROR(VLOOKUP($E188,設定!$C:$G,2,0),"")</f>
        <v/>
      </c>
      <c r="G188" s="84" t="str">
        <f>IFERROR(VLOOKUP($E188,設定!$C:$G,3,0),"")</f>
        <v/>
      </c>
      <c r="H188" s="84" t="str">
        <f>IFERROR(VLOOKUP($E188,設定!$C:$G,4,0),"")</f>
        <v/>
      </c>
      <c r="I188" s="84" t="str">
        <f>IFERROR(VLOOKUP($E188,設定!$C:$G,5,0),"")</f>
        <v/>
      </c>
      <c r="J188" s="117"/>
      <c r="K188" s="85"/>
      <c r="L188" s="86"/>
      <c r="M188" s="86"/>
      <c r="N188" s="86"/>
      <c r="O188" s="86"/>
      <c r="P188" s="86"/>
      <c r="Q188" s="86"/>
      <c r="R188" s="86"/>
      <c r="S188" s="86"/>
      <c r="T188" s="86"/>
      <c r="U188" s="86"/>
      <c r="V188" s="86"/>
      <c r="W188" s="86"/>
      <c r="X188" s="86"/>
      <c r="Y188" s="86"/>
      <c r="Z188" s="86"/>
      <c r="AA188" s="86"/>
      <c r="AB188" s="86"/>
      <c r="AC188" s="86"/>
      <c r="AD188" s="86"/>
      <c r="AE188" s="86"/>
      <c r="AF188" s="86"/>
      <c r="AG188" s="86"/>
      <c r="AH188" s="86"/>
      <c r="AI188" s="86"/>
      <c r="AJ188" s="86"/>
      <c r="AK188" s="86"/>
      <c r="AL188" s="86"/>
      <c r="AM188" s="86"/>
      <c r="AN188" s="86"/>
      <c r="AO188" s="87"/>
      <c r="AP188" s="88">
        <f t="shared" si="2"/>
        <v>0</v>
      </c>
    </row>
    <row r="189" spans="2:42" s="3" customFormat="1" ht="24" customHeight="1" x14ac:dyDescent="0.2">
      <c r="B189" s="80"/>
      <c r="C189" s="81"/>
      <c r="D189" s="82"/>
      <c r="E189" s="83"/>
      <c r="F189" s="84" t="str">
        <f>IFERROR(VLOOKUP($E189,設定!$C:$G,2,0),"")</f>
        <v/>
      </c>
      <c r="G189" s="84" t="str">
        <f>IFERROR(VLOOKUP($E189,設定!$C:$G,3,0),"")</f>
        <v/>
      </c>
      <c r="H189" s="84" t="str">
        <f>IFERROR(VLOOKUP($E189,設定!$C:$G,4,0),"")</f>
        <v/>
      </c>
      <c r="I189" s="84" t="str">
        <f>IFERROR(VLOOKUP($E189,設定!$C:$G,5,0),"")</f>
        <v/>
      </c>
      <c r="J189" s="117"/>
      <c r="K189" s="85"/>
      <c r="L189" s="86"/>
      <c r="M189" s="86"/>
      <c r="N189" s="86"/>
      <c r="O189" s="86"/>
      <c r="P189" s="86"/>
      <c r="Q189" s="86"/>
      <c r="R189" s="86"/>
      <c r="S189" s="86"/>
      <c r="T189" s="86"/>
      <c r="U189" s="86"/>
      <c r="V189" s="86"/>
      <c r="W189" s="86"/>
      <c r="X189" s="86"/>
      <c r="Y189" s="86"/>
      <c r="Z189" s="86"/>
      <c r="AA189" s="86"/>
      <c r="AB189" s="86"/>
      <c r="AC189" s="86"/>
      <c r="AD189" s="86"/>
      <c r="AE189" s="86"/>
      <c r="AF189" s="86"/>
      <c r="AG189" s="86"/>
      <c r="AH189" s="86"/>
      <c r="AI189" s="86"/>
      <c r="AJ189" s="86"/>
      <c r="AK189" s="86"/>
      <c r="AL189" s="86"/>
      <c r="AM189" s="86"/>
      <c r="AN189" s="86"/>
      <c r="AO189" s="87"/>
      <c r="AP189" s="88">
        <f t="shared" si="2"/>
        <v>0</v>
      </c>
    </row>
    <row r="190" spans="2:42" s="3" customFormat="1" ht="24" customHeight="1" x14ac:dyDescent="0.2">
      <c r="B190" s="80"/>
      <c r="C190" s="81"/>
      <c r="D190" s="82"/>
      <c r="E190" s="83"/>
      <c r="F190" s="84" t="str">
        <f>IFERROR(VLOOKUP($E190,設定!$C:$G,2,0),"")</f>
        <v/>
      </c>
      <c r="G190" s="84" t="str">
        <f>IFERROR(VLOOKUP($E190,設定!$C:$G,3,0),"")</f>
        <v/>
      </c>
      <c r="H190" s="84" t="str">
        <f>IFERROR(VLOOKUP($E190,設定!$C:$G,4,0),"")</f>
        <v/>
      </c>
      <c r="I190" s="84" t="str">
        <f>IFERROR(VLOOKUP($E190,設定!$C:$G,5,0),"")</f>
        <v/>
      </c>
      <c r="J190" s="117"/>
      <c r="K190" s="85"/>
      <c r="L190" s="86"/>
      <c r="M190" s="86"/>
      <c r="N190" s="86"/>
      <c r="O190" s="86"/>
      <c r="P190" s="86"/>
      <c r="Q190" s="86"/>
      <c r="R190" s="86"/>
      <c r="S190" s="86"/>
      <c r="T190" s="86"/>
      <c r="U190" s="86"/>
      <c r="V190" s="86"/>
      <c r="W190" s="86"/>
      <c r="X190" s="86"/>
      <c r="Y190" s="86"/>
      <c r="Z190" s="86"/>
      <c r="AA190" s="86"/>
      <c r="AB190" s="86"/>
      <c r="AC190" s="86"/>
      <c r="AD190" s="86"/>
      <c r="AE190" s="86"/>
      <c r="AF190" s="86"/>
      <c r="AG190" s="86"/>
      <c r="AH190" s="86"/>
      <c r="AI190" s="86"/>
      <c r="AJ190" s="86"/>
      <c r="AK190" s="86"/>
      <c r="AL190" s="86"/>
      <c r="AM190" s="86"/>
      <c r="AN190" s="86"/>
      <c r="AO190" s="87"/>
      <c r="AP190" s="88">
        <f t="shared" si="2"/>
        <v>0</v>
      </c>
    </row>
    <row r="191" spans="2:42" s="3" customFormat="1" ht="24" customHeight="1" x14ac:dyDescent="0.2">
      <c r="B191" s="80"/>
      <c r="C191" s="81"/>
      <c r="D191" s="82"/>
      <c r="E191" s="83"/>
      <c r="F191" s="84" t="str">
        <f>IFERROR(VLOOKUP($E191,設定!$C:$G,2,0),"")</f>
        <v/>
      </c>
      <c r="G191" s="84" t="str">
        <f>IFERROR(VLOOKUP($E191,設定!$C:$G,3,0),"")</f>
        <v/>
      </c>
      <c r="H191" s="84" t="str">
        <f>IFERROR(VLOOKUP($E191,設定!$C:$G,4,0),"")</f>
        <v/>
      </c>
      <c r="I191" s="84" t="str">
        <f>IFERROR(VLOOKUP($E191,設定!$C:$G,5,0),"")</f>
        <v/>
      </c>
      <c r="J191" s="117"/>
      <c r="K191" s="85"/>
      <c r="L191" s="86"/>
      <c r="M191" s="86"/>
      <c r="N191" s="86"/>
      <c r="O191" s="86"/>
      <c r="P191" s="86"/>
      <c r="Q191" s="86"/>
      <c r="R191" s="86"/>
      <c r="S191" s="86"/>
      <c r="T191" s="86"/>
      <c r="U191" s="86"/>
      <c r="V191" s="86"/>
      <c r="W191" s="86"/>
      <c r="X191" s="86"/>
      <c r="Y191" s="86"/>
      <c r="Z191" s="86"/>
      <c r="AA191" s="86"/>
      <c r="AB191" s="86"/>
      <c r="AC191" s="86"/>
      <c r="AD191" s="86"/>
      <c r="AE191" s="86"/>
      <c r="AF191" s="86"/>
      <c r="AG191" s="86"/>
      <c r="AH191" s="86"/>
      <c r="AI191" s="86"/>
      <c r="AJ191" s="86"/>
      <c r="AK191" s="86"/>
      <c r="AL191" s="86"/>
      <c r="AM191" s="86"/>
      <c r="AN191" s="86"/>
      <c r="AO191" s="87"/>
      <c r="AP191" s="88">
        <f t="shared" si="2"/>
        <v>0</v>
      </c>
    </row>
    <row r="192" spans="2:42" s="3" customFormat="1" ht="24" customHeight="1" x14ac:dyDescent="0.2">
      <c r="B192" s="80"/>
      <c r="C192" s="81"/>
      <c r="D192" s="82"/>
      <c r="E192" s="83"/>
      <c r="F192" s="84" t="str">
        <f>IFERROR(VLOOKUP($E192,設定!$C:$G,2,0),"")</f>
        <v/>
      </c>
      <c r="G192" s="84" t="str">
        <f>IFERROR(VLOOKUP($E192,設定!$C:$G,3,0),"")</f>
        <v/>
      </c>
      <c r="H192" s="84" t="str">
        <f>IFERROR(VLOOKUP($E192,設定!$C:$G,4,0),"")</f>
        <v/>
      </c>
      <c r="I192" s="84" t="str">
        <f>IFERROR(VLOOKUP($E192,設定!$C:$G,5,0),"")</f>
        <v/>
      </c>
      <c r="J192" s="117"/>
      <c r="K192" s="85"/>
      <c r="L192" s="86"/>
      <c r="M192" s="86"/>
      <c r="N192" s="86"/>
      <c r="O192" s="86"/>
      <c r="P192" s="86"/>
      <c r="Q192" s="86"/>
      <c r="R192" s="86"/>
      <c r="S192" s="86"/>
      <c r="T192" s="86"/>
      <c r="U192" s="86"/>
      <c r="V192" s="86"/>
      <c r="W192" s="86"/>
      <c r="X192" s="86"/>
      <c r="Y192" s="86"/>
      <c r="Z192" s="86"/>
      <c r="AA192" s="86"/>
      <c r="AB192" s="86"/>
      <c r="AC192" s="86"/>
      <c r="AD192" s="86"/>
      <c r="AE192" s="86"/>
      <c r="AF192" s="86"/>
      <c r="AG192" s="86"/>
      <c r="AH192" s="86"/>
      <c r="AI192" s="86"/>
      <c r="AJ192" s="86"/>
      <c r="AK192" s="86"/>
      <c r="AL192" s="86"/>
      <c r="AM192" s="86"/>
      <c r="AN192" s="86"/>
      <c r="AO192" s="87"/>
      <c r="AP192" s="88">
        <f t="shared" si="2"/>
        <v>0</v>
      </c>
    </row>
    <row r="193" spans="2:42" s="3" customFormat="1" ht="24" customHeight="1" x14ac:dyDescent="0.2">
      <c r="B193" s="80"/>
      <c r="C193" s="81"/>
      <c r="D193" s="82"/>
      <c r="E193" s="83"/>
      <c r="F193" s="84" t="str">
        <f>IFERROR(VLOOKUP($E193,設定!$C:$G,2,0),"")</f>
        <v/>
      </c>
      <c r="G193" s="84" t="str">
        <f>IFERROR(VLOOKUP($E193,設定!$C:$G,3,0),"")</f>
        <v/>
      </c>
      <c r="H193" s="84" t="str">
        <f>IFERROR(VLOOKUP($E193,設定!$C:$G,4,0),"")</f>
        <v/>
      </c>
      <c r="I193" s="84" t="str">
        <f>IFERROR(VLOOKUP($E193,設定!$C:$G,5,0),"")</f>
        <v/>
      </c>
      <c r="J193" s="117"/>
      <c r="K193" s="85"/>
      <c r="L193" s="86"/>
      <c r="M193" s="86"/>
      <c r="N193" s="86"/>
      <c r="O193" s="86"/>
      <c r="P193" s="86"/>
      <c r="Q193" s="86"/>
      <c r="R193" s="86"/>
      <c r="S193" s="86"/>
      <c r="T193" s="86"/>
      <c r="U193" s="86"/>
      <c r="V193" s="86"/>
      <c r="W193" s="86"/>
      <c r="X193" s="86"/>
      <c r="Y193" s="86"/>
      <c r="Z193" s="86"/>
      <c r="AA193" s="86"/>
      <c r="AB193" s="86"/>
      <c r="AC193" s="86"/>
      <c r="AD193" s="86"/>
      <c r="AE193" s="86"/>
      <c r="AF193" s="86"/>
      <c r="AG193" s="86"/>
      <c r="AH193" s="86"/>
      <c r="AI193" s="86"/>
      <c r="AJ193" s="86"/>
      <c r="AK193" s="86"/>
      <c r="AL193" s="86"/>
      <c r="AM193" s="86"/>
      <c r="AN193" s="86"/>
      <c r="AO193" s="87"/>
      <c r="AP193" s="88">
        <f t="shared" si="2"/>
        <v>0</v>
      </c>
    </row>
    <row r="194" spans="2:42" s="3" customFormat="1" ht="24" customHeight="1" x14ac:dyDescent="0.2">
      <c r="B194" s="80"/>
      <c r="C194" s="81"/>
      <c r="D194" s="82"/>
      <c r="E194" s="83"/>
      <c r="F194" s="84" t="str">
        <f>IFERROR(VLOOKUP($E194,設定!$C:$G,2,0),"")</f>
        <v/>
      </c>
      <c r="G194" s="84" t="str">
        <f>IFERROR(VLOOKUP($E194,設定!$C:$G,3,0),"")</f>
        <v/>
      </c>
      <c r="H194" s="84" t="str">
        <f>IFERROR(VLOOKUP($E194,設定!$C:$G,4,0),"")</f>
        <v/>
      </c>
      <c r="I194" s="84" t="str">
        <f>IFERROR(VLOOKUP($E194,設定!$C:$G,5,0),"")</f>
        <v/>
      </c>
      <c r="J194" s="117"/>
      <c r="K194" s="85"/>
      <c r="L194" s="86"/>
      <c r="M194" s="86"/>
      <c r="N194" s="86"/>
      <c r="O194" s="86"/>
      <c r="P194" s="86"/>
      <c r="Q194" s="86"/>
      <c r="R194" s="86"/>
      <c r="S194" s="86"/>
      <c r="T194" s="86"/>
      <c r="U194" s="86"/>
      <c r="V194" s="86"/>
      <c r="W194" s="86"/>
      <c r="X194" s="86"/>
      <c r="Y194" s="86"/>
      <c r="Z194" s="86"/>
      <c r="AA194" s="86"/>
      <c r="AB194" s="86"/>
      <c r="AC194" s="86"/>
      <c r="AD194" s="86"/>
      <c r="AE194" s="86"/>
      <c r="AF194" s="86"/>
      <c r="AG194" s="86"/>
      <c r="AH194" s="86"/>
      <c r="AI194" s="86"/>
      <c r="AJ194" s="86"/>
      <c r="AK194" s="86"/>
      <c r="AL194" s="86"/>
      <c r="AM194" s="86"/>
      <c r="AN194" s="86"/>
      <c r="AO194" s="87"/>
      <c r="AP194" s="88">
        <f t="shared" si="2"/>
        <v>0</v>
      </c>
    </row>
    <row r="195" spans="2:42" s="3" customFormat="1" ht="24" customHeight="1" x14ac:dyDescent="0.2">
      <c r="B195" s="80"/>
      <c r="C195" s="81"/>
      <c r="D195" s="82"/>
      <c r="E195" s="83"/>
      <c r="F195" s="84" t="str">
        <f>IFERROR(VLOOKUP($E195,設定!$C:$G,2,0),"")</f>
        <v/>
      </c>
      <c r="G195" s="84" t="str">
        <f>IFERROR(VLOOKUP($E195,設定!$C:$G,3,0),"")</f>
        <v/>
      </c>
      <c r="H195" s="84" t="str">
        <f>IFERROR(VLOOKUP($E195,設定!$C:$G,4,0),"")</f>
        <v/>
      </c>
      <c r="I195" s="84" t="str">
        <f>IFERROR(VLOOKUP($E195,設定!$C:$G,5,0),"")</f>
        <v/>
      </c>
      <c r="J195" s="117"/>
      <c r="K195" s="85"/>
      <c r="L195" s="86"/>
      <c r="M195" s="86"/>
      <c r="N195" s="86"/>
      <c r="O195" s="86"/>
      <c r="P195" s="86"/>
      <c r="Q195" s="86"/>
      <c r="R195" s="86"/>
      <c r="S195" s="86"/>
      <c r="T195" s="86"/>
      <c r="U195" s="86"/>
      <c r="V195" s="86"/>
      <c r="W195" s="86"/>
      <c r="X195" s="86"/>
      <c r="Y195" s="86"/>
      <c r="Z195" s="86"/>
      <c r="AA195" s="86"/>
      <c r="AB195" s="86"/>
      <c r="AC195" s="86"/>
      <c r="AD195" s="86"/>
      <c r="AE195" s="86"/>
      <c r="AF195" s="86"/>
      <c r="AG195" s="86"/>
      <c r="AH195" s="86"/>
      <c r="AI195" s="86"/>
      <c r="AJ195" s="86"/>
      <c r="AK195" s="86"/>
      <c r="AL195" s="86"/>
      <c r="AM195" s="86"/>
      <c r="AN195" s="86"/>
      <c r="AO195" s="87"/>
      <c r="AP195" s="88">
        <f t="shared" si="2"/>
        <v>0</v>
      </c>
    </row>
    <row r="196" spans="2:42" s="3" customFormat="1" ht="24" customHeight="1" x14ac:dyDescent="0.2">
      <c r="B196" s="80"/>
      <c r="C196" s="81"/>
      <c r="D196" s="82"/>
      <c r="E196" s="83"/>
      <c r="F196" s="84" t="str">
        <f>IFERROR(VLOOKUP($E196,設定!$C:$G,2,0),"")</f>
        <v/>
      </c>
      <c r="G196" s="84" t="str">
        <f>IFERROR(VLOOKUP($E196,設定!$C:$G,3,0),"")</f>
        <v/>
      </c>
      <c r="H196" s="84" t="str">
        <f>IFERROR(VLOOKUP($E196,設定!$C:$G,4,0),"")</f>
        <v/>
      </c>
      <c r="I196" s="84" t="str">
        <f>IFERROR(VLOOKUP($E196,設定!$C:$G,5,0),"")</f>
        <v/>
      </c>
      <c r="J196" s="117"/>
      <c r="K196" s="85"/>
      <c r="L196" s="86"/>
      <c r="M196" s="86"/>
      <c r="N196" s="86"/>
      <c r="O196" s="86"/>
      <c r="P196" s="86"/>
      <c r="Q196" s="86"/>
      <c r="R196" s="86"/>
      <c r="S196" s="86"/>
      <c r="T196" s="86"/>
      <c r="U196" s="86"/>
      <c r="V196" s="86"/>
      <c r="W196" s="86"/>
      <c r="X196" s="86"/>
      <c r="Y196" s="86"/>
      <c r="Z196" s="86"/>
      <c r="AA196" s="86"/>
      <c r="AB196" s="86"/>
      <c r="AC196" s="86"/>
      <c r="AD196" s="86"/>
      <c r="AE196" s="86"/>
      <c r="AF196" s="86"/>
      <c r="AG196" s="86"/>
      <c r="AH196" s="86"/>
      <c r="AI196" s="86"/>
      <c r="AJ196" s="86"/>
      <c r="AK196" s="86"/>
      <c r="AL196" s="86"/>
      <c r="AM196" s="86"/>
      <c r="AN196" s="86"/>
      <c r="AO196" s="87"/>
      <c r="AP196" s="88">
        <f t="shared" si="2"/>
        <v>0</v>
      </c>
    </row>
    <row r="197" spans="2:42" s="3" customFormat="1" ht="24" customHeight="1" x14ac:dyDescent="0.2">
      <c r="B197" s="80"/>
      <c r="C197" s="81"/>
      <c r="D197" s="82"/>
      <c r="E197" s="83"/>
      <c r="F197" s="84" t="str">
        <f>IFERROR(VLOOKUP($E197,設定!$C:$G,2,0),"")</f>
        <v/>
      </c>
      <c r="G197" s="84" t="str">
        <f>IFERROR(VLOOKUP($E197,設定!$C:$G,3,0),"")</f>
        <v/>
      </c>
      <c r="H197" s="84" t="str">
        <f>IFERROR(VLOOKUP($E197,設定!$C:$G,4,0),"")</f>
        <v/>
      </c>
      <c r="I197" s="84" t="str">
        <f>IFERROR(VLOOKUP($E197,設定!$C:$G,5,0),"")</f>
        <v/>
      </c>
      <c r="J197" s="117"/>
      <c r="K197" s="85"/>
      <c r="L197" s="86"/>
      <c r="M197" s="86"/>
      <c r="N197" s="86"/>
      <c r="O197" s="86"/>
      <c r="P197" s="86"/>
      <c r="Q197" s="86"/>
      <c r="R197" s="86"/>
      <c r="S197" s="86"/>
      <c r="T197" s="86"/>
      <c r="U197" s="86"/>
      <c r="V197" s="86"/>
      <c r="W197" s="86"/>
      <c r="X197" s="86"/>
      <c r="Y197" s="86"/>
      <c r="Z197" s="86"/>
      <c r="AA197" s="86"/>
      <c r="AB197" s="86"/>
      <c r="AC197" s="86"/>
      <c r="AD197" s="86"/>
      <c r="AE197" s="86"/>
      <c r="AF197" s="86"/>
      <c r="AG197" s="86"/>
      <c r="AH197" s="86"/>
      <c r="AI197" s="86"/>
      <c r="AJ197" s="86"/>
      <c r="AK197" s="86"/>
      <c r="AL197" s="86"/>
      <c r="AM197" s="86"/>
      <c r="AN197" s="86"/>
      <c r="AO197" s="87"/>
      <c r="AP197" s="88">
        <f t="shared" si="2"/>
        <v>0</v>
      </c>
    </row>
    <row r="198" spans="2:42" s="3" customFormat="1" ht="24" customHeight="1" x14ac:dyDescent="0.2">
      <c r="B198" s="80"/>
      <c r="C198" s="81"/>
      <c r="D198" s="82"/>
      <c r="E198" s="83"/>
      <c r="F198" s="84" t="str">
        <f>IFERROR(VLOOKUP($E198,設定!$C:$G,2,0),"")</f>
        <v/>
      </c>
      <c r="G198" s="84" t="str">
        <f>IFERROR(VLOOKUP($E198,設定!$C:$G,3,0),"")</f>
        <v/>
      </c>
      <c r="H198" s="84" t="str">
        <f>IFERROR(VLOOKUP($E198,設定!$C:$G,4,0),"")</f>
        <v/>
      </c>
      <c r="I198" s="84" t="str">
        <f>IFERROR(VLOOKUP($E198,設定!$C:$G,5,0),"")</f>
        <v/>
      </c>
      <c r="J198" s="117"/>
      <c r="K198" s="85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  <c r="AA198" s="86"/>
      <c r="AB198" s="86"/>
      <c r="AC198" s="86"/>
      <c r="AD198" s="86"/>
      <c r="AE198" s="86"/>
      <c r="AF198" s="86"/>
      <c r="AG198" s="86"/>
      <c r="AH198" s="86"/>
      <c r="AI198" s="86"/>
      <c r="AJ198" s="86"/>
      <c r="AK198" s="86"/>
      <c r="AL198" s="86"/>
      <c r="AM198" s="86"/>
      <c r="AN198" s="86"/>
      <c r="AO198" s="87"/>
      <c r="AP198" s="88">
        <f t="shared" si="2"/>
        <v>0</v>
      </c>
    </row>
    <row r="199" spans="2:42" s="3" customFormat="1" ht="24" customHeight="1" x14ac:dyDescent="0.2">
      <c r="B199" s="80"/>
      <c r="C199" s="81"/>
      <c r="D199" s="82"/>
      <c r="E199" s="83"/>
      <c r="F199" s="84" t="str">
        <f>IFERROR(VLOOKUP($E199,設定!$C:$G,2,0),"")</f>
        <v/>
      </c>
      <c r="G199" s="84" t="str">
        <f>IFERROR(VLOOKUP($E199,設定!$C:$G,3,0),"")</f>
        <v/>
      </c>
      <c r="H199" s="84" t="str">
        <f>IFERROR(VLOOKUP($E199,設定!$C:$G,4,0),"")</f>
        <v/>
      </c>
      <c r="I199" s="84" t="str">
        <f>IFERROR(VLOOKUP($E199,設定!$C:$G,5,0),"")</f>
        <v/>
      </c>
      <c r="J199" s="117"/>
      <c r="K199" s="85"/>
      <c r="L199" s="86"/>
      <c r="M199" s="86"/>
      <c r="N199" s="86"/>
      <c r="O199" s="86"/>
      <c r="P199" s="86"/>
      <c r="Q199" s="86"/>
      <c r="R199" s="86"/>
      <c r="S199" s="86"/>
      <c r="T199" s="86"/>
      <c r="U199" s="86"/>
      <c r="V199" s="86"/>
      <c r="W199" s="86"/>
      <c r="X199" s="86"/>
      <c r="Y199" s="86"/>
      <c r="Z199" s="86"/>
      <c r="AA199" s="86"/>
      <c r="AB199" s="86"/>
      <c r="AC199" s="86"/>
      <c r="AD199" s="86"/>
      <c r="AE199" s="86"/>
      <c r="AF199" s="86"/>
      <c r="AG199" s="86"/>
      <c r="AH199" s="86"/>
      <c r="AI199" s="86"/>
      <c r="AJ199" s="86"/>
      <c r="AK199" s="86"/>
      <c r="AL199" s="86"/>
      <c r="AM199" s="86"/>
      <c r="AN199" s="86"/>
      <c r="AO199" s="87"/>
      <c r="AP199" s="88">
        <f t="shared" si="2"/>
        <v>0</v>
      </c>
    </row>
    <row r="200" spans="2:42" s="3" customFormat="1" ht="24" customHeight="1" x14ac:dyDescent="0.2">
      <c r="B200" s="80"/>
      <c r="C200" s="81"/>
      <c r="D200" s="82"/>
      <c r="E200" s="83"/>
      <c r="F200" s="84" t="str">
        <f>IFERROR(VLOOKUP($E200,設定!$C:$G,2,0),"")</f>
        <v/>
      </c>
      <c r="G200" s="84" t="str">
        <f>IFERROR(VLOOKUP($E200,設定!$C:$G,3,0),"")</f>
        <v/>
      </c>
      <c r="H200" s="84" t="str">
        <f>IFERROR(VLOOKUP($E200,設定!$C:$G,4,0),"")</f>
        <v/>
      </c>
      <c r="I200" s="84" t="str">
        <f>IFERROR(VLOOKUP($E200,設定!$C:$G,5,0),"")</f>
        <v/>
      </c>
      <c r="J200" s="117"/>
      <c r="K200" s="85"/>
      <c r="L200" s="86"/>
      <c r="M200" s="86"/>
      <c r="N200" s="86"/>
      <c r="O200" s="86"/>
      <c r="P200" s="86"/>
      <c r="Q200" s="86"/>
      <c r="R200" s="86"/>
      <c r="S200" s="86"/>
      <c r="T200" s="86"/>
      <c r="U200" s="86"/>
      <c r="V200" s="86"/>
      <c r="W200" s="86"/>
      <c r="X200" s="86"/>
      <c r="Y200" s="86"/>
      <c r="Z200" s="86"/>
      <c r="AA200" s="86"/>
      <c r="AB200" s="86"/>
      <c r="AC200" s="86"/>
      <c r="AD200" s="86"/>
      <c r="AE200" s="86"/>
      <c r="AF200" s="86"/>
      <c r="AG200" s="86"/>
      <c r="AH200" s="86"/>
      <c r="AI200" s="86"/>
      <c r="AJ200" s="86"/>
      <c r="AK200" s="86"/>
      <c r="AL200" s="86"/>
      <c r="AM200" s="86"/>
      <c r="AN200" s="86"/>
      <c r="AO200" s="87"/>
      <c r="AP200" s="88">
        <f t="shared" ref="AP200:AP263" si="3">J200*SUM(K200:AO200)</f>
        <v>0</v>
      </c>
    </row>
    <row r="201" spans="2:42" s="3" customFormat="1" ht="24" customHeight="1" x14ac:dyDescent="0.2">
      <c r="B201" s="80"/>
      <c r="C201" s="81"/>
      <c r="D201" s="82"/>
      <c r="E201" s="83"/>
      <c r="F201" s="84" t="str">
        <f>IFERROR(VLOOKUP($E201,設定!$C:$G,2,0),"")</f>
        <v/>
      </c>
      <c r="G201" s="84" t="str">
        <f>IFERROR(VLOOKUP($E201,設定!$C:$G,3,0),"")</f>
        <v/>
      </c>
      <c r="H201" s="84" t="str">
        <f>IFERROR(VLOOKUP($E201,設定!$C:$G,4,0),"")</f>
        <v/>
      </c>
      <c r="I201" s="84" t="str">
        <f>IFERROR(VLOOKUP($E201,設定!$C:$G,5,0),"")</f>
        <v/>
      </c>
      <c r="J201" s="117"/>
      <c r="K201" s="85"/>
      <c r="L201" s="86"/>
      <c r="M201" s="86"/>
      <c r="N201" s="86"/>
      <c r="O201" s="86"/>
      <c r="P201" s="86"/>
      <c r="Q201" s="86"/>
      <c r="R201" s="86"/>
      <c r="S201" s="86"/>
      <c r="T201" s="86"/>
      <c r="U201" s="86"/>
      <c r="V201" s="86"/>
      <c r="W201" s="86"/>
      <c r="X201" s="86"/>
      <c r="Y201" s="86"/>
      <c r="Z201" s="86"/>
      <c r="AA201" s="86"/>
      <c r="AB201" s="86"/>
      <c r="AC201" s="86"/>
      <c r="AD201" s="86"/>
      <c r="AE201" s="86"/>
      <c r="AF201" s="86"/>
      <c r="AG201" s="86"/>
      <c r="AH201" s="86"/>
      <c r="AI201" s="86"/>
      <c r="AJ201" s="86"/>
      <c r="AK201" s="86"/>
      <c r="AL201" s="86"/>
      <c r="AM201" s="86"/>
      <c r="AN201" s="86"/>
      <c r="AO201" s="87"/>
      <c r="AP201" s="88">
        <f t="shared" si="3"/>
        <v>0</v>
      </c>
    </row>
    <row r="202" spans="2:42" s="3" customFormat="1" ht="24" customHeight="1" x14ac:dyDescent="0.2">
      <c r="B202" s="80"/>
      <c r="C202" s="81"/>
      <c r="D202" s="82"/>
      <c r="E202" s="83"/>
      <c r="F202" s="84" t="str">
        <f>IFERROR(VLOOKUP($E202,設定!$C:$G,2,0),"")</f>
        <v/>
      </c>
      <c r="G202" s="84" t="str">
        <f>IFERROR(VLOOKUP($E202,設定!$C:$G,3,0),"")</f>
        <v/>
      </c>
      <c r="H202" s="84" t="str">
        <f>IFERROR(VLOOKUP($E202,設定!$C:$G,4,0),"")</f>
        <v/>
      </c>
      <c r="I202" s="84" t="str">
        <f>IFERROR(VLOOKUP($E202,設定!$C:$G,5,0),"")</f>
        <v/>
      </c>
      <c r="J202" s="117"/>
      <c r="K202" s="85"/>
      <c r="L202" s="86"/>
      <c r="M202" s="86"/>
      <c r="N202" s="86"/>
      <c r="O202" s="86"/>
      <c r="P202" s="86"/>
      <c r="Q202" s="86"/>
      <c r="R202" s="86"/>
      <c r="S202" s="86"/>
      <c r="T202" s="86"/>
      <c r="U202" s="86"/>
      <c r="V202" s="86"/>
      <c r="W202" s="86"/>
      <c r="X202" s="86"/>
      <c r="Y202" s="86"/>
      <c r="Z202" s="86"/>
      <c r="AA202" s="86"/>
      <c r="AB202" s="86"/>
      <c r="AC202" s="86"/>
      <c r="AD202" s="86"/>
      <c r="AE202" s="86"/>
      <c r="AF202" s="86"/>
      <c r="AG202" s="86"/>
      <c r="AH202" s="86"/>
      <c r="AI202" s="86"/>
      <c r="AJ202" s="86"/>
      <c r="AK202" s="86"/>
      <c r="AL202" s="86"/>
      <c r="AM202" s="86"/>
      <c r="AN202" s="86"/>
      <c r="AO202" s="87"/>
      <c r="AP202" s="88">
        <f t="shared" si="3"/>
        <v>0</v>
      </c>
    </row>
    <row r="203" spans="2:42" s="3" customFormat="1" ht="24" customHeight="1" x14ac:dyDescent="0.2">
      <c r="B203" s="80"/>
      <c r="C203" s="81"/>
      <c r="D203" s="82"/>
      <c r="E203" s="83"/>
      <c r="F203" s="84" t="str">
        <f>IFERROR(VLOOKUP($E203,設定!$C:$G,2,0),"")</f>
        <v/>
      </c>
      <c r="G203" s="84" t="str">
        <f>IFERROR(VLOOKUP($E203,設定!$C:$G,3,0),"")</f>
        <v/>
      </c>
      <c r="H203" s="84" t="str">
        <f>IFERROR(VLOOKUP($E203,設定!$C:$G,4,0),"")</f>
        <v/>
      </c>
      <c r="I203" s="84" t="str">
        <f>IFERROR(VLOOKUP($E203,設定!$C:$G,5,0),"")</f>
        <v/>
      </c>
      <c r="J203" s="117"/>
      <c r="K203" s="85"/>
      <c r="L203" s="86"/>
      <c r="M203" s="86"/>
      <c r="N203" s="86"/>
      <c r="O203" s="86"/>
      <c r="P203" s="86"/>
      <c r="Q203" s="86"/>
      <c r="R203" s="86"/>
      <c r="S203" s="86"/>
      <c r="T203" s="86"/>
      <c r="U203" s="86"/>
      <c r="V203" s="86"/>
      <c r="W203" s="86"/>
      <c r="X203" s="86"/>
      <c r="Y203" s="86"/>
      <c r="Z203" s="86"/>
      <c r="AA203" s="86"/>
      <c r="AB203" s="86"/>
      <c r="AC203" s="86"/>
      <c r="AD203" s="86"/>
      <c r="AE203" s="86"/>
      <c r="AF203" s="86"/>
      <c r="AG203" s="86"/>
      <c r="AH203" s="86"/>
      <c r="AI203" s="86"/>
      <c r="AJ203" s="86"/>
      <c r="AK203" s="86"/>
      <c r="AL203" s="86"/>
      <c r="AM203" s="86"/>
      <c r="AN203" s="86"/>
      <c r="AO203" s="87"/>
      <c r="AP203" s="88">
        <f t="shared" si="3"/>
        <v>0</v>
      </c>
    </row>
    <row r="204" spans="2:42" s="3" customFormat="1" ht="24" customHeight="1" x14ac:dyDescent="0.2">
      <c r="B204" s="80"/>
      <c r="C204" s="81"/>
      <c r="D204" s="82"/>
      <c r="E204" s="83"/>
      <c r="F204" s="84" t="str">
        <f>IFERROR(VLOOKUP($E204,設定!$C:$G,2,0),"")</f>
        <v/>
      </c>
      <c r="G204" s="84" t="str">
        <f>IFERROR(VLOOKUP($E204,設定!$C:$G,3,0),"")</f>
        <v/>
      </c>
      <c r="H204" s="84" t="str">
        <f>IFERROR(VLOOKUP($E204,設定!$C:$G,4,0),"")</f>
        <v/>
      </c>
      <c r="I204" s="84" t="str">
        <f>IFERROR(VLOOKUP($E204,設定!$C:$G,5,0),"")</f>
        <v/>
      </c>
      <c r="J204" s="117"/>
      <c r="K204" s="85"/>
      <c r="L204" s="86"/>
      <c r="M204" s="86"/>
      <c r="N204" s="86"/>
      <c r="O204" s="86"/>
      <c r="P204" s="86"/>
      <c r="Q204" s="86"/>
      <c r="R204" s="86"/>
      <c r="S204" s="86"/>
      <c r="T204" s="86"/>
      <c r="U204" s="86"/>
      <c r="V204" s="86"/>
      <c r="W204" s="86"/>
      <c r="X204" s="86"/>
      <c r="Y204" s="86"/>
      <c r="Z204" s="86"/>
      <c r="AA204" s="86"/>
      <c r="AB204" s="86"/>
      <c r="AC204" s="86"/>
      <c r="AD204" s="86"/>
      <c r="AE204" s="86"/>
      <c r="AF204" s="86"/>
      <c r="AG204" s="86"/>
      <c r="AH204" s="86"/>
      <c r="AI204" s="86"/>
      <c r="AJ204" s="86"/>
      <c r="AK204" s="86"/>
      <c r="AL204" s="86"/>
      <c r="AM204" s="86"/>
      <c r="AN204" s="86"/>
      <c r="AO204" s="87"/>
      <c r="AP204" s="88">
        <f t="shared" si="3"/>
        <v>0</v>
      </c>
    </row>
    <row r="205" spans="2:42" s="3" customFormat="1" ht="24" customHeight="1" x14ac:dyDescent="0.2">
      <c r="B205" s="80"/>
      <c r="C205" s="81"/>
      <c r="D205" s="82"/>
      <c r="E205" s="83"/>
      <c r="F205" s="84" t="str">
        <f>IFERROR(VLOOKUP($E205,設定!$C:$G,2,0),"")</f>
        <v/>
      </c>
      <c r="G205" s="84" t="str">
        <f>IFERROR(VLOOKUP($E205,設定!$C:$G,3,0),"")</f>
        <v/>
      </c>
      <c r="H205" s="84" t="str">
        <f>IFERROR(VLOOKUP($E205,設定!$C:$G,4,0),"")</f>
        <v/>
      </c>
      <c r="I205" s="84" t="str">
        <f>IFERROR(VLOOKUP($E205,設定!$C:$G,5,0),"")</f>
        <v/>
      </c>
      <c r="J205" s="117"/>
      <c r="K205" s="85"/>
      <c r="L205" s="86"/>
      <c r="M205" s="86"/>
      <c r="N205" s="86"/>
      <c r="O205" s="86"/>
      <c r="P205" s="86"/>
      <c r="Q205" s="86"/>
      <c r="R205" s="86"/>
      <c r="S205" s="86"/>
      <c r="T205" s="86"/>
      <c r="U205" s="86"/>
      <c r="V205" s="86"/>
      <c r="W205" s="86"/>
      <c r="X205" s="86"/>
      <c r="Y205" s="86"/>
      <c r="Z205" s="86"/>
      <c r="AA205" s="86"/>
      <c r="AB205" s="86"/>
      <c r="AC205" s="86"/>
      <c r="AD205" s="86"/>
      <c r="AE205" s="86"/>
      <c r="AF205" s="86"/>
      <c r="AG205" s="86"/>
      <c r="AH205" s="86"/>
      <c r="AI205" s="86"/>
      <c r="AJ205" s="86"/>
      <c r="AK205" s="86"/>
      <c r="AL205" s="86"/>
      <c r="AM205" s="86"/>
      <c r="AN205" s="86"/>
      <c r="AO205" s="87"/>
      <c r="AP205" s="88">
        <f t="shared" si="3"/>
        <v>0</v>
      </c>
    </row>
    <row r="206" spans="2:42" s="3" customFormat="1" ht="24" customHeight="1" x14ac:dyDescent="0.2">
      <c r="B206" s="80"/>
      <c r="C206" s="81"/>
      <c r="D206" s="82"/>
      <c r="E206" s="83"/>
      <c r="F206" s="84" t="str">
        <f>IFERROR(VLOOKUP($E206,設定!$C:$G,2,0),"")</f>
        <v/>
      </c>
      <c r="G206" s="84" t="str">
        <f>IFERROR(VLOOKUP($E206,設定!$C:$G,3,0),"")</f>
        <v/>
      </c>
      <c r="H206" s="84" t="str">
        <f>IFERROR(VLOOKUP($E206,設定!$C:$G,4,0),"")</f>
        <v/>
      </c>
      <c r="I206" s="84" t="str">
        <f>IFERROR(VLOOKUP($E206,設定!$C:$G,5,0),"")</f>
        <v/>
      </c>
      <c r="J206" s="117"/>
      <c r="K206" s="85"/>
      <c r="L206" s="86"/>
      <c r="M206" s="86"/>
      <c r="N206" s="86"/>
      <c r="O206" s="86"/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86"/>
      <c r="AF206" s="86"/>
      <c r="AG206" s="86"/>
      <c r="AH206" s="86"/>
      <c r="AI206" s="86"/>
      <c r="AJ206" s="86"/>
      <c r="AK206" s="86"/>
      <c r="AL206" s="86"/>
      <c r="AM206" s="86"/>
      <c r="AN206" s="86"/>
      <c r="AO206" s="87"/>
      <c r="AP206" s="88">
        <f t="shared" si="3"/>
        <v>0</v>
      </c>
    </row>
    <row r="207" spans="2:42" s="3" customFormat="1" ht="24" customHeight="1" x14ac:dyDescent="0.2">
      <c r="B207" s="80"/>
      <c r="C207" s="81"/>
      <c r="D207" s="82"/>
      <c r="E207" s="83"/>
      <c r="F207" s="84" t="str">
        <f>IFERROR(VLOOKUP($E207,設定!$C:$G,2,0),"")</f>
        <v/>
      </c>
      <c r="G207" s="84" t="str">
        <f>IFERROR(VLOOKUP($E207,設定!$C:$G,3,0),"")</f>
        <v/>
      </c>
      <c r="H207" s="84" t="str">
        <f>IFERROR(VLOOKUP($E207,設定!$C:$G,4,0),"")</f>
        <v/>
      </c>
      <c r="I207" s="84" t="str">
        <f>IFERROR(VLOOKUP($E207,設定!$C:$G,5,0),"")</f>
        <v/>
      </c>
      <c r="J207" s="117"/>
      <c r="K207" s="85"/>
      <c r="L207" s="86"/>
      <c r="M207" s="86"/>
      <c r="N207" s="86"/>
      <c r="O207" s="86"/>
      <c r="P207" s="86"/>
      <c r="Q207" s="86"/>
      <c r="R207" s="86"/>
      <c r="S207" s="86"/>
      <c r="T207" s="86"/>
      <c r="U207" s="86"/>
      <c r="V207" s="86"/>
      <c r="W207" s="86"/>
      <c r="X207" s="86"/>
      <c r="Y207" s="86"/>
      <c r="Z207" s="86"/>
      <c r="AA207" s="86"/>
      <c r="AB207" s="86"/>
      <c r="AC207" s="86"/>
      <c r="AD207" s="86"/>
      <c r="AE207" s="86"/>
      <c r="AF207" s="86"/>
      <c r="AG207" s="86"/>
      <c r="AH207" s="86"/>
      <c r="AI207" s="86"/>
      <c r="AJ207" s="86"/>
      <c r="AK207" s="86"/>
      <c r="AL207" s="86"/>
      <c r="AM207" s="86"/>
      <c r="AN207" s="86"/>
      <c r="AO207" s="87"/>
      <c r="AP207" s="88">
        <f t="shared" si="3"/>
        <v>0</v>
      </c>
    </row>
    <row r="208" spans="2:42" s="3" customFormat="1" ht="24" customHeight="1" x14ac:dyDescent="0.2">
      <c r="B208" s="80"/>
      <c r="C208" s="81"/>
      <c r="D208" s="82"/>
      <c r="E208" s="83"/>
      <c r="F208" s="84" t="str">
        <f>IFERROR(VLOOKUP($E208,設定!$C:$G,2,0),"")</f>
        <v/>
      </c>
      <c r="G208" s="84" t="str">
        <f>IFERROR(VLOOKUP($E208,設定!$C:$G,3,0),"")</f>
        <v/>
      </c>
      <c r="H208" s="84" t="str">
        <f>IFERROR(VLOOKUP($E208,設定!$C:$G,4,0),"")</f>
        <v/>
      </c>
      <c r="I208" s="84" t="str">
        <f>IFERROR(VLOOKUP($E208,設定!$C:$G,5,0),"")</f>
        <v/>
      </c>
      <c r="J208" s="117"/>
      <c r="K208" s="85"/>
      <c r="L208" s="86"/>
      <c r="M208" s="86"/>
      <c r="N208" s="86"/>
      <c r="O208" s="86"/>
      <c r="P208" s="86"/>
      <c r="Q208" s="86"/>
      <c r="R208" s="86"/>
      <c r="S208" s="86"/>
      <c r="T208" s="86"/>
      <c r="U208" s="86"/>
      <c r="V208" s="86"/>
      <c r="W208" s="86"/>
      <c r="X208" s="86"/>
      <c r="Y208" s="86"/>
      <c r="Z208" s="86"/>
      <c r="AA208" s="86"/>
      <c r="AB208" s="86"/>
      <c r="AC208" s="86"/>
      <c r="AD208" s="86"/>
      <c r="AE208" s="86"/>
      <c r="AF208" s="86"/>
      <c r="AG208" s="86"/>
      <c r="AH208" s="86"/>
      <c r="AI208" s="86"/>
      <c r="AJ208" s="86"/>
      <c r="AK208" s="86"/>
      <c r="AL208" s="86"/>
      <c r="AM208" s="86"/>
      <c r="AN208" s="86"/>
      <c r="AO208" s="87"/>
      <c r="AP208" s="88">
        <f t="shared" si="3"/>
        <v>0</v>
      </c>
    </row>
    <row r="209" spans="2:42" s="3" customFormat="1" ht="24" customHeight="1" x14ac:dyDescent="0.2">
      <c r="B209" s="80"/>
      <c r="C209" s="81"/>
      <c r="D209" s="82"/>
      <c r="E209" s="83"/>
      <c r="F209" s="84" t="str">
        <f>IFERROR(VLOOKUP($E209,設定!$C:$G,2,0),"")</f>
        <v/>
      </c>
      <c r="G209" s="84" t="str">
        <f>IFERROR(VLOOKUP($E209,設定!$C:$G,3,0),"")</f>
        <v/>
      </c>
      <c r="H209" s="84" t="str">
        <f>IFERROR(VLOOKUP($E209,設定!$C:$G,4,0),"")</f>
        <v/>
      </c>
      <c r="I209" s="84" t="str">
        <f>IFERROR(VLOOKUP($E209,設定!$C:$G,5,0),"")</f>
        <v/>
      </c>
      <c r="J209" s="117"/>
      <c r="K209" s="85"/>
      <c r="L209" s="86"/>
      <c r="M209" s="86"/>
      <c r="N209" s="86"/>
      <c r="O209" s="86"/>
      <c r="P209" s="86"/>
      <c r="Q209" s="86"/>
      <c r="R209" s="86"/>
      <c r="S209" s="86"/>
      <c r="T209" s="86"/>
      <c r="U209" s="86"/>
      <c r="V209" s="86"/>
      <c r="W209" s="86"/>
      <c r="X209" s="86"/>
      <c r="Y209" s="86"/>
      <c r="Z209" s="86"/>
      <c r="AA209" s="86"/>
      <c r="AB209" s="86"/>
      <c r="AC209" s="86"/>
      <c r="AD209" s="86"/>
      <c r="AE209" s="86"/>
      <c r="AF209" s="86"/>
      <c r="AG209" s="86"/>
      <c r="AH209" s="86"/>
      <c r="AI209" s="86"/>
      <c r="AJ209" s="86"/>
      <c r="AK209" s="86"/>
      <c r="AL209" s="86"/>
      <c r="AM209" s="86"/>
      <c r="AN209" s="86"/>
      <c r="AO209" s="87"/>
      <c r="AP209" s="88">
        <f t="shared" si="3"/>
        <v>0</v>
      </c>
    </row>
    <row r="210" spans="2:42" s="3" customFormat="1" ht="24" customHeight="1" x14ac:dyDescent="0.2">
      <c r="B210" s="80"/>
      <c r="C210" s="81"/>
      <c r="D210" s="82"/>
      <c r="E210" s="83"/>
      <c r="F210" s="84" t="str">
        <f>IFERROR(VLOOKUP($E210,設定!$C:$G,2,0),"")</f>
        <v/>
      </c>
      <c r="G210" s="84" t="str">
        <f>IFERROR(VLOOKUP($E210,設定!$C:$G,3,0),"")</f>
        <v/>
      </c>
      <c r="H210" s="84" t="str">
        <f>IFERROR(VLOOKUP($E210,設定!$C:$G,4,0),"")</f>
        <v/>
      </c>
      <c r="I210" s="84" t="str">
        <f>IFERROR(VLOOKUP($E210,設定!$C:$G,5,0),"")</f>
        <v/>
      </c>
      <c r="J210" s="117"/>
      <c r="K210" s="85"/>
      <c r="L210" s="86"/>
      <c r="M210" s="86"/>
      <c r="N210" s="86"/>
      <c r="O210" s="86"/>
      <c r="P210" s="86"/>
      <c r="Q210" s="86"/>
      <c r="R210" s="86"/>
      <c r="S210" s="86"/>
      <c r="T210" s="86"/>
      <c r="U210" s="86"/>
      <c r="V210" s="86"/>
      <c r="W210" s="86"/>
      <c r="X210" s="86"/>
      <c r="Y210" s="86"/>
      <c r="Z210" s="86"/>
      <c r="AA210" s="86"/>
      <c r="AB210" s="86"/>
      <c r="AC210" s="86"/>
      <c r="AD210" s="86"/>
      <c r="AE210" s="86"/>
      <c r="AF210" s="86"/>
      <c r="AG210" s="86"/>
      <c r="AH210" s="86"/>
      <c r="AI210" s="86"/>
      <c r="AJ210" s="86"/>
      <c r="AK210" s="86"/>
      <c r="AL210" s="86"/>
      <c r="AM210" s="86"/>
      <c r="AN210" s="86"/>
      <c r="AO210" s="87"/>
      <c r="AP210" s="88">
        <f t="shared" si="3"/>
        <v>0</v>
      </c>
    </row>
    <row r="211" spans="2:42" s="3" customFormat="1" ht="24" customHeight="1" x14ac:dyDescent="0.2">
      <c r="B211" s="80"/>
      <c r="C211" s="81"/>
      <c r="D211" s="82"/>
      <c r="E211" s="83"/>
      <c r="F211" s="84" t="str">
        <f>IFERROR(VLOOKUP($E211,設定!$C:$G,2,0),"")</f>
        <v/>
      </c>
      <c r="G211" s="84" t="str">
        <f>IFERROR(VLOOKUP($E211,設定!$C:$G,3,0),"")</f>
        <v/>
      </c>
      <c r="H211" s="84" t="str">
        <f>IFERROR(VLOOKUP($E211,設定!$C:$G,4,0),"")</f>
        <v/>
      </c>
      <c r="I211" s="84" t="str">
        <f>IFERROR(VLOOKUP($E211,設定!$C:$G,5,0),"")</f>
        <v/>
      </c>
      <c r="J211" s="117"/>
      <c r="K211" s="85"/>
      <c r="L211" s="86"/>
      <c r="M211" s="86"/>
      <c r="N211" s="86"/>
      <c r="O211" s="86"/>
      <c r="P211" s="86"/>
      <c r="Q211" s="86"/>
      <c r="R211" s="86"/>
      <c r="S211" s="86"/>
      <c r="T211" s="86"/>
      <c r="U211" s="86"/>
      <c r="V211" s="86"/>
      <c r="W211" s="86"/>
      <c r="X211" s="86"/>
      <c r="Y211" s="86"/>
      <c r="Z211" s="86"/>
      <c r="AA211" s="86"/>
      <c r="AB211" s="86"/>
      <c r="AC211" s="86"/>
      <c r="AD211" s="86"/>
      <c r="AE211" s="86"/>
      <c r="AF211" s="86"/>
      <c r="AG211" s="86"/>
      <c r="AH211" s="86"/>
      <c r="AI211" s="86"/>
      <c r="AJ211" s="86"/>
      <c r="AK211" s="86"/>
      <c r="AL211" s="86"/>
      <c r="AM211" s="86"/>
      <c r="AN211" s="86"/>
      <c r="AO211" s="87"/>
      <c r="AP211" s="88">
        <f t="shared" si="3"/>
        <v>0</v>
      </c>
    </row>
    <row r="212" spans="2:42" s="3" customFormat="1" ht="24" customHeight="1" x14ac:dyDescent="0.2">
      <c r="B212" s="80"/>
      <c r="C212" s="81"/>
      <c r="D212" s="82"/>
      <c r="E212" s="83"/>
      <c r="F212" s="84" t="str">
        <f>IFERROR(VLOOKUP($E212,設定!$C:$G,2,0),"")</f>
        <v/>
      </c>
      <c r="G212" s="84" t="str">
        <f>IFERROR(VLOOKUP($E212,設定!$C:$G,3,0),"")</f>
        <v/>
      </c>
      <c r="H212" s="84" t="str">
        <f>IFERROR(VLOOKUP($E212,設定!$C:$G,4,0),"")</f>
        <v/>
      </c>
      <c r="I212" s="84" t="str">
        <f>IFERROR(VLOOKUP($E212,設定!$C:$G,5,0),"")</f>
        <v/>
      </c>
      <c r="J212" s="117"/>
      <c r="K212" s="85"/>
      <c r="L212" s="86"/>
      <c r="M212" s="86"/>
      <c r="N212" s="86"/>
      <c r="O212" s="86"/>
      <c r="P212" s="86"/>
      <c r="Q212" s="86"/>
      <c r="R212" s="86"/>
      <c r="S212" s="86"/>
      <c r="T212" s="86"/>
      <c r="U212" s="86"/>
      <c r="V212" s="86"/>
      <c r="W212" s="86"/>
      <c r="X212" s="86"/>
      <c r="Y212" s="86"/>
      <c r="Z212" s="86"/>
      <c r="AA212" s="86"/>
      <c r="AB212" s="86"/>
      <c r="AC212" s="86"/>
      <c r="AD212" s="86"/>
      <c r="AE212" s="86"/>
      <c r="AF212" s="86"/>
      <c r="AG212" s="86"/>
      <c r="AH212" s="86"/>
      <c r="AI212" s="86"/>
      <c r="AJ212" s="86"/>
      <c r="AK212" s="86"/>
      <c r="AL212" s="86"/>
      <c r="AM212" s="86"/>
      <c r="AN212" s="86"/>
      <c r="AO212" s="87"/>
      <c r="AP212" s="88">
        <f t="shared" si="3"/>
        <v>0</v>
      </c>
    </row>
    <row r="213" spans="2:42" s="3" customFormat="1" ht="24" customHeight="1" x14ac:dyDescent="0.2">
      <c r="B213" s="80"/>
      <c r="C213" s="81"/>
      <c r="D213" s="82"/>
      <c r="E213" s="83"/>
      <c r="F213" s="84" t="str">
        <f>IFERROR(VLOOKUP($E213,設定!$C:$G,2,0),"")</f>
        <v/>
      </c>
      <c r="G213" s="84" t="str">
        <f>IFERROR(VLOOKUP($E213,設定!$C:$G,3,0),"")</f>
        <v/>
      </c>
      <c r="H213" s="84" t="str">
        <f>IFERROR(VLOOKUP($E213,設定!$C:$G,4,0),"")</f>
        <v/>
      </c>
      <c r="I213" s="84" t="str">
        <f>IFERROR(VLOOKUP($E213,設定!$C:$G,5,0),"")</f>
        <v/>
      </c>
      <c r="J213" s="117"/>
      <c r="K213" s="85"/>
      <c r="L213" s="86"/>
      <c r="M213" s="86"/>
      <c r="N213" s="86"/>
      <c r="O213" s="86"/>
      <c r="P213" s="86"/>
      <c r="Q213" s="86"/>
      <c r="R213" s="86"/>
      <c r="S213" s="86"/>
      <c r="T213" s="86"/>
      <c r="U213" s="86"/>
      <c r="V213" s="86"/>
      <c r="W213" s="86"/>
      <c r="X213" s="86"/>
      <c r="Y213" s="86"/>
      <c r="Z213" s="86"/>
      <c r="AA213" s="86"/>
      <c r="AB213" s="86"/>
      <c r="AC213" s="86"/>
      <c r="AD213" s="86"/>
      <c r="AE213" s="86"/>
      <c r="AF213" s="86"/>
      <c r="AG213" s="86"/>
      <c r="AH213" s="86"/>
      <c r="AI213" s="86"/>
      <c r="AJ213" s="86"/>
      <c r="AK213" s="86"/>
      <c r="AL213" s="86"/>
      <c r="AM213" s="86"/>
      <c r="AN213" s="86"/>
      <c r="AO213" s="87"/>
      <c r="AP213" s="88">
        <f t="shared" si="3"/>
        <v>0</v>
      </c>
    </row>
    <row r="214" spans="2:42" s="3" customFormat="1" ht="24" customHeight="1" x14ac:dyDescent="0.2">
      <c r="B214" s="80"/>
      <c r="C214" s="81"/>
      <c r="D214" s="82"/>
      <c r="E214" s="83"/>
      <c r="F214" s="84" t="str">
        <f>IFERROR(VLOOKUP($E214,設定!$C:$G,2,0),"")</f>
        <v/>
      </c>
      <c r="G214" s="84" t="str">
        <f>IFERROR(VLOOKUP($E214,設定!$C:$G,3,0),"")</f>
        <v/>
      </c>
      <c r="H214" s="84" t="str">
        <f>IFERROR(VLOOKUP($E214,設定!$C:$G,4,0),"")</f>
        <v/>
      </c>
      <c r="I214" s="84" t="str">
        <f>IFERROR(VLOOKUP($E214,設定!$C:$G,5,0),"")</f>
        <v/>
      </c>
      <c r="J214" s="117"/>
      <c r="K214" s="85"/>
      <c r="L214" s="86"/>
      <c r="M214" s="86"/>
      <c r="N214" s="86"/>
      <c r="O214" s="86"/>
      <c r="P214" s="86"/>
      <c r="Q214" s="86"/>
      <c r="R214" s="86"/>
      <c r="S214" s="86"/>
      <c r="T214" s="86"/>
      <c r="U214" s="86"/>
      <c r="V214" s="86"/>
      <c r="W214" s="86"/>
      <c r="X214" s="86"/>
      <c r="Y214" s="86"/>
      <c r="Z214" s="86"/>
      <c r="AA214" s="86"/>
      <c r="AB214" s="86"/>
      <c r="AC214" s="86"/>
      <c r="AD214" s="86"/>
      <c r="AE214" s="86"/>
      <c r="AF214" s="86"/>
      <c r="AG214" s="86"/>
      <c r="AH214" s="86"/>
      <c r="AI214" s="86"/>
      <c r="AJ214" s="86"/>
      <c r="AK214" s="86"/>
      <c r="AL214" s="86"/>
      <c r="AM214" s="86"/>
      <c r="AN214" s="86"/>
      <c r="AO214" s="87"/>
      <c r="AP214" s="88">
        <f t="shared" si="3"/>
        <v>0</v>
      </c>
    </row>
    <row r="215" spans="2:42" s="3" customFormat="1" ht="24" customHeight="1" x14ac:dyDescent="0.2">
      <c r="B215" s="80"/>
      <c r="C215" s="81"/>
      <c r="D215" s="82"/>
      <c r="E215" s="83"/>
      <c r="F215" s="84" t="str">
        <f>IFERROR(VLOOKUP($E215,設定!$C:$G,2,0),"")</f>
        <v/>
      </c>
      <c r="G215" s="84" t="str">
        <f>IFERROR(VLOOKUP($E215,設定!$C:$G,3,0),"")</f>
        <v/>
      </c>
      <c r="H215" s="84" t="str">
        <f>IFERROR(VLOOKUP($E215,設定!$C:$G,4,0),"")</f>
        <v/>
      </c>
      <c r="I215" s="84" t="str">
        <f>IFERROR(VLOOKUP($E215,設定!$C:$G,5,0),"")</f>
        <v/>
      </c>
      <c r="J215" s="117"/>
      <c r="K215" s="85"/>
      <c r="L215" s="86"/>
      <c r="M215" s="86"/>
      <c r="N215" s="86"/>
      <c r="O215" s="86"/>
      <c r="P215" s="86"/>
      <c r="Q215" s="86"/>
      <c r="R215" s="86"/>
      <c r="S215" s="86"/>
      <c r="T215" s="86"/>
      <c r="U215" s="86"/>
      <c r="V215" s="86"/>
      <c r="W215" s="86"/>
      <c r="X215" s="86"/>
      <c r="Y215" s="86"/>
      <c r="Z215" s="86"/>
      <c r="AA215" s="86"/>
      <c r="AB215" s="86"/>
      <c r="AC215" s="86"/>
      <c r="AD215" s="86"/>
      <c r="AE215" s="86"/>
      <c r="AF215" s="86"/>
      <c r="AG215" s="86"/>
      <c r="AH215" s="86"/>
      <c r="AI215" s="86"/>
      <c r="AJ215" s="86"/>
      <c r="AK215" s="86"/>
      <c r="AL215" s="86"/>
      <c r="AM215" s="86"/>
      <c r="AN215" s="86"/>
      <c r="AO215" s="87"/>
      <c r="AP215" s="88">
        <f t="shared" si="3"/>
        <v>0</v>
      </c>
    </row>
    <row r="216" spans="2:42" s="3" customFormat="1" ht="24" customHeight="1" x14ac:dyDescent="0.2">
      <c r="B216" s="80"/>
      <c r="C216" s="81"/>
      <c r="D216" s="82"/>
      <c r="E216" s="83"/>
      <c r="F216" s="84" t="str">
        <f>IFERROR(VLOOKUP($E216,設定!$C:$G,2,0),"")</f>
        <v/>
      </c>
      <c r="G216" s="84" t="str">
        <f>IFERROR(VLOOKUP($E216,設定!$C:$G,3,0),"")</f>
        <v/>
      </c>
      <c r="H216" s="84" t="str">
        <f>IFERROR(VLOOKUP($E216,設定!$C:$G,4,0),"")</f>
        <v/>
      </c>
      <c r="I216" s="84" t="str">
        <f>IFERROR(VLOOKUP($E216,設定!$C:$G,5,0),"")</f>
        <v/>
      </c>
      <c r="J216" s="117"/>
      <c r="K216" s="85"/>
      <c r="L216" s="86"/>
      <c r="M216" s="86"/>
      <c r="N216" s="86"/>
      <c r="O216" s="86"/>
      <c r="P216" s="86"/>
      <c r="Q216" s="86"/>
      <c r="R216" s="86"/>
      <c r="S216" s="86"/>
      <c r="T216" s="86"/>
      <c r="U216" s="86"/>
      <c r="V216" s="86"/>
      <c r="W216" s="86"/>
      <c r="X216" s="86"/>
      <c r="Y216" s="86"/>
      <c r="Z216" s="86"/>
      <c r="AA216" s="86"/>
      <c r="AB216" s="86"/>
      <c r="AC216" s="86"/>
      <c r="AD216" s="86"/>
      <c r="AE216" s="86"/>
      <c r="AF216" s="86"/>
      <c r="AG216" s="86"/>
      <c r="AH216" s="86"/>
      <c r="AI216" s="86"/>
      <c r="AJ216" s="86"/>
      <c r="AK216" s="86"/>
      <c r="AL216" s="86"/>
      <c r="AM216" s="86"/>
      <c r="AN216" s="86"/>
      <c r="AO216" s="87"/>
      <c r="AP216" s="88">
        <f t="shared" si="3"/>
        <v>0</v>
      </c>
    </row>
    <row r="217" spans="2:42" s="3" customFormat="1" ht="24" customHeight="1" x14ac:dyDescent="0.2">
      <c r="B217" s="80"/>
      <c r="C217" s="81"/>
      <c r="D217" s="82"/>
      <c r="E217" s="83"/>
      <c r="F217" s="84" t="str">
        <f>IFERROR(VLOOKUP($E217,設定!$C:$G,2,0),"")</f>
        <v/>
      </c>
      <c r="G217" s="84" t="str">
        <f>IFERROR(VLOOKUP($E217,設定!$C:$G,3,0),"")</f>
        <v/>
      </c>
      <c r="H217" s="84" t="str">
        <f>IFERROR(VLOOKUP($E217,設定!$C:$G,4,0),"")</f>
        <v/>
      </c>
      <c r="I217" s="84" t="str">
        <f>IFERROR(VLOOKUP($E217,設定!$C:$G,5,0),"")</f>
        <v/>
      </c>
      <c r="J217" s="117"/>
      <c r="K217" s="85"/>
      <c r="L217" s="86"/>
      <c r="M217" s="86"/>
      <c r="N217" s="86"/>
      <c r="O217" s="86"/>
      <c r="P217" s="86"/>
      <c r="Q217" s="86"/>
      <c r="R217" s="86"/>
      <c r="S217" s="86"/>
      <c r="T217" s="86"/>
      <c r="U217" s="86"/>
      <c r="V217" s="86"/>
      <c r="W217" s="86"/>
      <c r="X217" s="86"/>
      <c r="Y217" s="86"/>
      <c r="Z217" s="86"/>
      <c r="AA217" s="86"/>
      <c r="AB217" s="86"/>
      <c r="AC217" s="86"/>
      <c r="AD217" s="86"/>
      <c r="AE217" s="86"/>
      <c r="AF217" s="86"/>
      <c r="AG217" s="86"/>
      <c r="AH217" s="86"/>
      <c r="AI217" s="86"/>
      <c r="AJ217" s="86"/>
      <c r="AK217" s="86"/>
      <c r="AL217" s="86"/>
      <c r="AM217" s="86"/>
      <c r="AN217" s="86"/>
      <c r="AO217" s="87"/>
      <c r="AP217" s="88">
        <f t="shared" si="3"/>
        <v>0</v>
      </c>
    </row>
    <row r="218" spans="2:42" s="3" customFormat="1" ht="24" customHeight="1" x14ac:dyDescent="0.2">
      <c r="B218" s="80"/>
      <c r="C218" s="81"/>
      <c r="D218" s="82"/>
      <c r="E218" s="83"/>
      <c r="F218" s="84" t="str">
        <f>IFERROR(VLOOKUP($E218,設定!$C:$G,2,0),"")</f>
        <v/>
      </c>
      <c r="G218" s="84" t="str">
        <f>IFERROR(VLOOKUP($E218,設定!$C:$G,3,0),"")</f>
        <v/>
      </c>
      <c r="H218" s="84" t="str">
        <f>IFERROR(VLOOKUP($E218,設定!$C:$G,4,0),"")</f>
        <v/>
      </c>
      <c r="I218" s="84" t="str">
        <f>IFERROR(VLOOKUP($E218,設定!$C:$G,5,0),"")</f>
        <v/>
      </c>
      <c r="J218" s="117"/>
      <c r="K218" s="85"/>
      <c r="L218" s="86"/>
      <c r="M218" s="86"/>
      <c r="N218" s="86"/>
      <c r="O218" s="86"/>
      <c r="P218" s="86"/>
      <c r="Q218" s="86"/>
      <c r="R218" s="86"/>
      <c r="S218" s="86"/>
      <c r="T218" s="86"/>
      <c r="U218" s="86"/>
      <c r="V218" s="86"/>
      <c r="W218" s="86"/>
      <c r="X218" s="86"/>
      <c r="Y218" s="86"/>
      <c r="Z218" s="86"/>
      <c r="AA218" s="86"/>
      <c r="AB218" s="86"/>
      <c r="AC218" s="86"/>
      <c r="AD218" s="86"/>
      <c r="AE218" s="86"/>
      <c r="AF218" s="86"/>
      <c r="AG218" s="86"/>
      <c r="AH218" s="86"/>
      <c r="AI218" s="86"/>
      <c r="AJ218" s="86"/>
      <c r="AK218" s="86"/>
      <c r="AL218" s="86"/>
      <c r="AM218" s="86"/>
      <c r="AN218" s="86"/>
      <c r="AO218" s="87"/>
      <c r="AP218" s="88">
        <f t="shared" si="3"/>
        <v>0</v>
      </c>
    </row>
    <row r="219" spans="2:42" s="3" customFormat="1" ht="24" customHeight="1" x14ac:dyDescent="0.2">
      <c r="B219" s="80"/>
      <c r="C219" s="81"/>
      <c r="D219" s="82"/>
      <c r="E219" s="83"/>
      <c r="F219" s="84" t="str">
        <f>IFERROR(VLOOKUP($E219,設定!$C:$G,2,0),"")</f>
        <v/>
      </c>
      <c r="G219" s="84" t="str">
        <f>IFERROR(VLOOKUP($E219,設定!$C:$G,3,0),"")</f>
        <v/>
      </c>
      <c r="H219" s="84" t="str">
        <f>IFERROR(VLOOKUP($E219,設定!$C:$G,4,0),"")</f>
        <v/>
      </c>
      <c r="I219" s="84" t="str">
        <f>IFERROR(VLOOKUP($E219,設定!$C:$G,5,0),"")</f>
        <v/>
      </c>
      <c r="J219" s="117"/>
      <c r="K219" s="85"/>
      <c r="L219" s="86"/>
      <c r="M219" s="86"/>
      <c r="N219" s="86"/>
      <c r="O219" s="86"/>
      <c r="P219" s="86"/>
      <c r="Q219" s="86"/>
      <c r="R219" s="86"/>
      <c r="S219" s="86"/>
      <c r="T219" s="86"/>
      <c r="U219" s="86"/>
      <c r="V219" s="86"/>
      <c r="W219" s="86"/>
      <c r="X219" s="86"/>
      <c r="Y219" s="86"/>
      <c r="Z219" s="86"/>
      <c r="AA219" s="86"/>
      <c r="AB219" s="86"/>
      <c r="AC219" s="86"/>
      <c r="AD219" s="86"/>
      <c r="AE219" s="86"/>
      <c r="AF219" s="86"/>
      <c r="AG219" s="86"/>
      <c r="AH219" s="86"/>
      <c r="AI219" s="86"/>
      <c r="AJ219" s="86"/>
      <c r="AK219" s="86"/>
      <c r="AL219" s="86"/>
      <c r="AM219" s="86"/>
      <c r="AN219" s="86"/>
      <c r="AO219" s="87"/>
      <c r="AP219" s="88">
        <f t="shared" si="3"/>
        <v>0</v>
      </c>
    </row>
    <row r="220" spans="2:42" s="3" customFormat="1" ht="24" customHeight="1" x14ac:dyDescent="0.2">
      <c r="B220" s="80"/>
      <c r="C220" s="81"/>
      <c r="D220" s="82"/>
      <c r="E220" s="83"/>
      <c r="F220" s="84" t="str">
        <f>IFERROR(VLOOKUP($E220,設定!$C:$G,2,0),"")</f>
        <v/>
      </c>
      <c r="G220" s="84" t="str">
        <f>IFERROR(VLOOKUP($E220,設定!$C:$G,3,0),"")</f>
        <v/>
      </c>
      <c r="H220" s="84" t="str">
        <f>IFERROR(VLOOKUP($E220,設定!$C:$G,4,0),"")</f>
        <v/>
      </c>
      <c r="I220" s="84" t="str">
        <f>IFERROR(VLOOKUP($E220,設定!$C:$G,5,0),"")</f>
        <v/>
      </c>
      <c r="J220" s="117"/>
      <c r="K220" s="85"/>
      <c r="L220" s="86"/>
      <c r="M220" s="86"/>
      <c r="N220" s="86"/>
      <c r="O220" s="86"/>
      <c r="P220" s="86"/>
      <c r="Q220" s="86"/>
      <c r="R220" s="86"/>
      <c r="S220" s="86"/>
      <c r="T220" s="86"/>
      <c r="U220" s="86"/>
      <c r="V220" s="86"/>
      <c r="W220" s="86"/>
      <c r="X220" s="86"/>
      <c r="Y220" s="86"/>
      <c r="Z220" s="86"/>
      <c r="AA220" s="86"/>
      <c r="AB220" s="86"/>
      <c r="AC220" s="86"/>
      <c r="AD220" s="86"/>
      <c r="AE220" s="86"/>
      <c r="AF220" s="86"/>
      <c r="AG220" s="86"/>
      <c r="AH220" s="86"/>
      <c r="AI220" s="86"/>
      <c r="AJ220" s="86"/>
      <c r="AK220" s="86"/>
      <c r="AL220" s="86"/>
      <c r="AM220" s="86"/>
      <c r="AN220" s="86"/>
      <c r="AO220" s="87"/>
      <c r="AP220" s="88">
        <f t="shared" si="3"/>
        <v>0</v>
      </c>
    </row>
    <row r="221" spans="2:42" s="3" customFormat="1" ht="24" customHeight="1" x14ac:dyDescent="0.2">
      <c r="B221" s="80"/>
      <c r="C221" s="81"/>
      <c r="D221" s="82"/>
      <c r="E221" s="83"/>
      <c r="F221" s="84" t="str">
        <f>IFERROR(VLOOKUP($E221,設定!$C:$G,2,0),"")</f>
        <v/>
      </c>
      <c r="G221" s="84" t="str">
        <f>IFERROR(VLOOKUP($E221,設定!$C:$G,3,0),"")</f>
        <v/>
      </c>
      <c r="H221" s="84" t="str">
        <f>IFERROR(VLOOKUP($E221,設定!$C:$G,4,0),"")</f>
        <v/>
      </c>
      <c r="I221" s="84" t="str">
        <f>IFERROR(VLOOKUP($E221,設定!$C:$G,5,0),"")</f>
        <v/>
      </c>
      <c r="J221" s="117"/>
      <c r="K221" s="85"/>
      <c r="L221" s="86"/>
      <c r="M221" s="86"/>
      <c r="N221" s="86"/>
      <c r="O221" s="86"/>
      <c r="P221" s="86"/>
      <c r="Q221" s="86"/>
      <c r="R221" s="86"/>
      <c r="S221" s="86"/>
      <c r="T221" s="86"/>
      <c r="U221" s="86"/>
      <c r="V221" s="86"/>
      <c r="W221" s="86"/>
      <c r="X221" s="86"/>
      <c r="Y221" s="86"/>
      <c r="Z221" s="86"/>
      <c r="AA221" s="86"/>
      <c r="AB221" s="86"/>
      <c r="AC221" s="86"/>
      <c r="AD221" s="86"/>
      <c r="AE221" s="86"/>
      <c r="AF221" s="86"/>
      <c r="AG221" s="86"/>
      <c r="AH221" s="86"/>
      <c r="AI221" s="86"/>
      <c r="AJ221" s="86"/>
      <c r="AK221" s="86"/>
      <c r="AL221" s="86"/>
      <c r="AM221" s="86"/>
      <c r="AN221" s="86"/>
      <c r="AO221" s="87"/>
      <c r="AP221" s="88">
        <f t="shared" si="3"/>
        <v>0</v>
      </c>
    </row>
    <row r="222" spans="2:42" s="3" customFormat="1" ht="24" customHeight="1" x14ac:dyDescent="0.2">
      <c r="B222" s="80"/>
      <c r="C222" s="81"/>
      <c r="D222" s="82"/>
      <c r="E222" s="83"/>
      <c r="F222" s="84" t="str">
        <f>IFERROR(VLOOKUP($E222,設定!$C:$G,2,0),"")</f>
        <v/>
      </c>
      <c r="G222" s="84" t="str">
        <f>IFERROR(VLOOKUP($E222,設定!$C:$G,3,0),"")</f>
        <v/>
      </c>
      <c r="H222" s="84" t="str">
        <f>IFERROR(VLOOKUP($E222,設定!$C:$G,4,0),"")</f>
        <v/>
      </c>
      <c r="I222" s="84" t="str">
        <f>IFERROR(VLOOKUP($E222,設定!$C:$G,5,0),"")</f>
        <v/>
      </c>
      <c r="J222" s="117"/>
      <c r="K222" s="85"/>
      <c r="L222" s="86"/>
      <c r="M222" s="86"/>
      <c r="N222" s="86"/>
      <c r="O222" s="86"/>
      <c r="P222" s="86"/>
      <c r="Q222" s="86"/>
      <c r="R222" s="86"/>
      <c r="S222" s="86"/>
      <c r="T222" s="86"/>
      <c r="U222" s="86"/>
      <c r="V222" s="86"/>
      <c r="W222" s="86"/>
      <c r="X222" s="86"/>
      <c r="Y222" s="86"/>
      <c r="Z222" s="86"/>
      <c r="AA222" s="86"/>
      <c r="AB222" s="86"/>
      <c r="AC222" s="86"/>
      <c r="AD222" s="86"/>
      <c r="AE222" s="86"/>
      <c r="AF222" s="86"/>
      <c r="AG222" s="86"/>
      <c r="AH222" s="86"/>
      <c r="AI222" s="86"/>
      <c r="AJ222" s="86"/>
      <c r="AK222" s="86"/>
      <c r="AL222" s="86"/>
      <c r="AM222" s="86"/>
      <c r="AN222" s="86"/>
      <c r="AO222" s="87"/>
      <c r="AP222" s="88">
        <f t="shared" si="3"/>
        <v>0</v>
      </c>
    </row>
    <row r="223" spans="2:42" s="3" customFormat="1" ht="24" customHeight="1" x14ac:dyDescent="0.2">
      <c r="B223" s="80"/>
      <c r="C223" s="81"/>
      <c r="D223" s="82"/>
      <c r="E223" s="83"/>
      <c r="F223" s="84" t="str">
        <f>IFERROR(VLOOKUP($E223,設定!$C:$G,2,0),"")</f>
        <v/>
      </c>
      <c r="G223" s="84" t="str">
        <f>IFERROR(VLOOKUP($E223,設定!$C:$G,3,0),"")</f>
        <v/>
      </c>
      <c r="H223" s="84" t="str">
        <f>IFERROR(VLOOKUP($E223,設定!$C:$G,4,0),"")</f>
        <v/>
      </c>
      <c r="I223" s="84" t="str">
        <f>IFERROR(VLOOKUP($E223,設定!$C:$G,5,0),"")</f>
        <v/>
      </c>
      <c r="J223" s="117"/>
      <c r="K223" s="85"/>
      <c r="L223" s="86"/>
      <c r="M223" s="86"/>
      <c r="N223" s="86"/>
      <c r="O223" s="86"/>
      <c r="P223" s="86"/>
      <c r="Q223" s="86"/>
      <c r="R223" s="86"/>
      <c r="S223" s="86"/>
      <c r="T223" s="86"/>
      <c r="U223" s="86"/>
      <c r="V223" s="86"/>
      <c r="W223" s="86"/>
      <c r="X223" s="86"/>
      <c r="Y223" s="86"/>
      <c r="Z223" s="86"/>
      <c r="AA223" s="86"/>
      <c r="AB223" s="86"/>
      <c r="AC223" s="86"/>
      <c r="AD223" s="86"/>
      <c r="AE223" s="86"/>
      <c r="AF223" s="86"/>
      <c r="AG223" s="86"/>
      <c r="AH223" s="86"/>
      <c r="AI223" s="86"/>
      <c r="AJ223" s="86"/>
      <c r="AK223" s="86"/>
      <c r="AL223" s="86"/>
      <c r="AM223" s="86"/>
      <c r="AN223" s="86"/>
      <c r="AO223" s="87"/>
      <c r="AP223" s="88">
        <f t="shared" si="3"/>
        <v>0</v>
      </c>
    </row>
    <row r="224" spans="2:42" s="3" customFormat="1" ht="24" customHeight="1" x14ac:dyDescent="0.2">
      <c r="B224" s="80"/>
      <c r="C224" s="81"/>
      <c r="D224" s="82"/>
      <c r="E224" s="83"/>
      <c r="F224" s="84" t="str">
        <f>IFERROR(VLOOKUP($E224,設定!$C:$G,2,0),"")</f>
        <v/>
      </c>
      <c r="G224" s="84" t="str">
        <f>IFERROR(VLOOKUP($E224,設定!$C:$G,3,0),"")</f>
        <v/>
      </c>
      <c r="H224" s="84" t="str">
        <f>IFERROR(VLOOKUP($E224,設定!$C:$G,4,0),"")</f>
        <v/>
      </c>
      <c r="I224" s="84" t="str">
        <f>IFERROR(VLOOKUP($E224,設定!$C:$G,5,0),"")</f>
        <v/>
      </c>
      <c r="J224" s="117"/>
      <c r="K224" s="85"/>
      <c r="L224" s="86"/>
      <c r="M224" s="86"/>
      <c r="N224" s="86"/>
      <c r="O224" s="86"/>
      <c r="P224" s="86"/>
      <c r="Q224" s="86"/>
      <c r="R224" s="86"/>
      <c r="S224" s="86"/>
      <c r="T224" s="86"/>
      <c r="U224" s="86"/>
      <c r="V224" s="86"/>
      <c r="W224" s="86"/>
      <c r="X224" s="86"/>
      <c r="Y224" s="86"/>
      <c r="Z224" s="86"/>
      <c r="AA224" s="86"/>
      <c r="AB224" s="86"/>
      <c r="AC224" s="86"/>
      <c r="AD224" s="86"/>
      <c r="AE224" s="86"/>
      <c r="AF224" s="86"/>
      <c r="AG224" s="86"/>
      <c r="AH224" s="86"/>
      <c r="AI224" s="86"/>
      <c r="AJ224" s="86"/>
      <c r="AK224" s="86"/>
      <c r="AL224" s="86"/>
      <c r="AM224" s="86"/>
      <c r="AN224" s="86"/>
      <c r="AO224" s="87"/>
      <c r="AP224" s="88">
        <f t="shared" si="3"/>
        <v>0</v>
      </c>
    </row>
    <row r="225" spans="2:42" s="3" customFormat="1" ht="24" customHeight="1" x14ac:dyDescent="0.2">
      <c r="B225" s="80"/>
      <c r="C225" s="81"/>
      <c r="D225" s="82"/>
      <c r="E225" s="83"/>
      <c r="F225" s="84" t="str">
        <f>IFERROR(VLOOKUP($E225,設定!$C:$G,2,0),"")</f>
        <v/>
      </c>
      <c r="G225" s="84" t="str">
        <f>IFERROR(VLOOKUP($E225,設定!$C:$G,3,0),"")</f>
        <v/>
      </c>
      <c r="H225" s="84" t="str">
        <f>IFERROR(VLOOKUP($E225,設定!$C:$G,4,0),"")</f>
        <v/>
      </c>
      <c r="I225" s="84" t="str">
        <f>IFERROR(VLOOKUP($E225,設定!$C:$G,5,0),"")</f>
        <v/>
      </c>
      <c r="J225" s="117"/>
      <c r="K225" s="85"/>
      <c r="L225" s="86"/>
      <c r="M225" s="86"/>
      <c r="N225" s="86"/>
      <c r="O225" s="86"/>
      <c r="P225" s="86"/>
      <c r="Q225" s="86"/>
      <c r="R225" s="86"/>
      <c r="S225" s="86"/>
      <c r="T225" s="86"/>
      <c r="U225" s="86"/>
      <c r="V225" s="86"/>
      <c r="W225" s="86"/>
      <c r="X225" s="86"/>
      <c r="Y225" s="86"/>
      <c r="Z225" s="86"/>
      <c r="AA225" s="86"/>
      <c r="AB225" s="86"/>
      <c r="AC225" s="86"/>
      <c r="AD225" s="86"/>
      <c r="AE225" s="86"/>
      <c r="AF225" s="86"/>
      <c r="AG225" s="86"/>
      <c r="AH225" s="86"/>
      <c r="AI225" s="86"/>
      <c r="AJ225" s="86"/>
      <c r="AK225" s="86"/>
      <c r="AL225" s="86"/>
      <c r="AM225" s="86"/>
      <c r="AN225" s="86"/>
      <c r="AO225" s="87"/>
      <c r="AP225" s="88">
        <f t="shared" si="3"/>
        <v>0</v>
      </c>
    </row>
    <row r="226" spans="2:42" s="3" customFormat="1" ht="24" customHeight="1" x14ac:dyDescent="0.2">
      <c r="B226" s="80"/>
      <c r="C226" s="81"/>
      <c r="D226" s="82"/>
      <c r="E226" s="83"/>
      <c r="F226" s="84" t="str">
        <f>IFERROR(VLOOKUP($E226,設定!$C:$G,2,0),"")</f>
        <v/>
      </c>
      <c r="G226" s="84" t="str">
        <f>IFERROR(VLOOKUP($E226,設定!$C:$G,3,0),"")</f>
        <v/>
      </c>
      <c r="H226" s="84" t="str">
        <f>IFERROR(VLOOKUP($E226,設定!$C:$G,4,0),"")</f>
        <v/>
      </c>
      <c r="I226" s="84" t="str">
        <f>IFERROR(VLOOKUP($E226,設定!$C:$G,5,0),"")</f>
        <v/>
      </c>
      <c r="J226" s="117"/>
      <c r="K226" s="85"/>
      <c r="L226" s="86"/>
      <c r="M226" s="86"/>
      <c r="N226" s="86"/>
      <c r="O226" s="86"/>
      <c r="P226" s="86"/>
      <c r="Q226" s="86"/>
      <c r="R226" s="86"/>
      <c r="S226" s="86"/>
      <c r="T226" s="86"/>
      <c r="U226" s="86"/>
      <c r="V226" s="86"/>
      <c r="W226" s="86"/>
      <c r="X226" s="86"/>
      <c r="Y226" s="86"/>
      <c r="Z226" s="86"/>
      <c r="AA226" s="86"/>
      <c r="AB226" s="86"/>
      <c r="AC226" s="86"/>
      <c r="AD226" s="86"/>
      <c r="AE226" s="86"/>
      <c r="AF226" s="86"/>
      <c r="AG226" s="86"/>
      <c r="AH226" s="86"/>
      <c r="AI226" s="86"/>
      <c r="AJ226" s="86"/>
      <c r="AK226" s="86"/>
      <c r="AL226" s="86"/>
      <c r="AM226" s="86"/>
      <c r="AN226" s="86"/>
      <c r="AO226" s="87"/>
      <c r="AP226" s="88">
        <f t="shared" si="3"/>
        <v>0</v>
      </c>
    </row>
    <row r="227" spans="2:42" s="3" customFormat="1" ht="24" customHeight="1" x14ac:dyDescent="0.2">
      <c r="B227" s="80"/>
      <c r="C227" s="81"/>
      <c r="D227" s="82"/>
      <c r="E227" s="83"/>
      <c r="F227" s="84" t="str">
        <f>IFERROR(VLOOKUP($E227,設定!$C:$G,2,0),"")</f>
        <v/>
      </c>
      <c r="G227" s="84" t="str">
        <f>IFERROR(VLOOKUP($E227,設定!$C:$G,3,0),"")</f>
        <v/>
      </c>
      <c r="H227" s="84" t="str">
        <f>IFERROR(VLOOKUP($E227,設定!$C:$G,4,0),"")</f>
        <v/>
      </c>
      <c r="I227" s="84" t="str">
        <f>IFERROR(VLOOKUP($E227,設定!$C:$G,5,0),"")</f>
        <v/>
      </c>
      <c r="J227" s="117"/>
      <c r="K227" s="85"/>
      <c r="L227" s="86"/>
      <c r="M227" s="86"/>
      <c r="N227" s="86"/>
      <c r="O227" s="86"/>
      <c r="P227" s="86"/>
      <c r="Q227" s="86"/>
      <c r="R227" s="86"/>
      <c r="S227" s="86"/>
      <c r="T227" s="86"/>
      <c r="U227" s="86"/>
      <c r="V227" s="86"/>
      <c r="W227" s="86"/>
      <c r="X227" s="86"/>
      <c r="Y227" s="86"/>
      <c r="Z227" s="86"/>
      <c r="AA227" s="86"/>
      <c r="AB227" s="86"/>
      <c r="AC227" s="86"/>
      <c r="AD227" s="86"/>
      <c r="AE227" s="86"/>
      <c r="AF227" s="86"/>
      <c r="AG227" s="86"/>
      <c r="AH227" s="86"/>
      <c r="AI227" s="86"/>
      <c r="AJ227" s="86"/>
      <c r="AK227" s="86"/>
      <c r="AL227" s="86"/>
      <c r="AM227" s="86"/>
      <c r="AN227" s="86"/>
      <c r="AO227" s="87"/>
      <c r="AP227" s="88">
        <f t="shared" si="3"/>
        <v>0</v>
      </c>
    </row>
    <row r="228" spans="2:42" s="3" customFormat="1" ht="24" customHeight="1" x14ac:dyDescent="0.2">
      <c r="B228" s="80"/>
      <c r="C228" s="81"/>
      <c r="D228" s="82"/>
      <c r="E228" s="83"/>
      <c r="F228" s="84" t="str">
        <f>IFERROR(VLOOKUP($E228,設定!$C:$G,2,0),"")</f>
        <v/>
      </c>
      <c r="G228" s="84" t="str">
        <f>IFERROR(VLOOKUP($E228,設定!$C:$G,3,0),"")</f>
        <v/>
      </c>
      <c r="H228" s="84" t="str">
        <f>IFERROR(VLOOKUP($E228,設定!$C:$G,4,0),"")</f>
        <v/>
      </c>
      <c r="I228" s="84" t="str">
        <f>IFERROR(VLOOKUP($E228,設定!$C:$G,5,0),"")</f>
        <v/>
      </c>
      <c r="J228" s="117"/>
      <c r="K228" s="85"/>
      <c r="L228" s="86"/>
      <c r="M228" s="86"/>
      <c r="N228" s="86"/>
      <c r="O228" s="86"/>
      <c r="P228" s="86"/>
      <c r="Q228" s="86"/>
      <c r="R228" s="86"/>
      <c r="S228" s="86"/>
      <c r="T228" s="86"/>
      <c r="U228" s="86"/>
      <c r="V228" s="86"/>
      <c r="W228" s="86"/>
      <c r="X228" s="86"/>
      <c r="Y228" s="86"/>
      <c r="Z228" s="86"/>
      <c r="AA228" s="86"/>
      <c r="AB228" s="86"/>
      <c r="AC228" s="86"/>
      <c r="AD228" s="86"/>
      <c r="AE228" s="86"/>
      <c r="AF228" s="86"/>
      <c r="AG228" s="86"/>
      <c r="AH228" s="86"/>
      <c r="AI228" s="86"/>
      <c r="AJ228" s="86"/>
      <c r="AK228" s="86"/>
      <c r="AL228" s="86"/>
      <c r="AM228" s="86"/>
      <c r="AN228" s="86"/>
      <c r="AO228" s="87"/>
      <c r="AP228" s="88">
        <f t="shared" si="3"/>
        <v>0</v>
      </c>
    </row>
    <row r="229" spans="2:42" s="3" customFormat="1" ht="24" customHeight="1" x14ac:dyDescent="0.2">
      <c r="B229" s="80"/>
      <c r="C229" s="81"/>
      <c r="D229" s="82"/>
      <c r="E229" s="83"/>
      <c r="F229" s="84" t="str">
        <f>IFERROR(VLOOKUP($E229,設定!$C:$G,2,0),"")</f>
        <v/>
      </c>
      <c r="G229" s="84" t="str">
        <f>IFERROR(VLOOKUP($E229,設定!$C:$G,3,0),"")</f>
        <v/>
      </c>
      <c r="H229" s="84" t="str">
        <f>IFERROR(VLOOKUP($E229,設定!$C:$G,4,0),"")</f>
        <v/>
      </c>
      <c r="I229" s="84" t="str">
        <f>IFERROR(VLOOKUP($E229,設定!$C:$G,5,0),"")</f>
        <v/>
      </c>
      <c r="J229" s="117"/>
      <c r="K229" s="85"/>
      <c r="L229" s="86"/>
      <c r="M229" s="86"/>
      <c r="N229" s="86"/>
      <c r="O229" s="86"/>
      <c r="P229" s="86"/>
      <c r="Q229" s="86"/>
      <c r="R229" s="86"/>
      <c r="S229" s="86"/>
      <c r="T229" s="86"/>
      <c r="U229" s="86"/>
      <c r="V229" s="86"/>
      <c r="W229" s="86"/>
      <c r="X229" s="86"/>
      <c r="Y229" s="86"/>
      <c r="Z229" s="86"/>
      <c r="AA229" s="86"/>
      <c r="AB229" s="86"/>
      <c r="AC229" s="86"/>
      <c r="AD229" s="86"/>
      <c r="AE229" s="86"/>
      <c r="AF229" s="86"/>
      <c r="AG229" s="86"/>
      <c r="AH229" s="86"/>
      <c r="AI229" s="86"/>
      <c r="AJ229" s="86"/>
      <c r="AK229" s="86"/>
      <c r="AL229" s="86"/>
      <c r="AM229" s="86"/>
      <c r="AN229" s="86"/>
      <c r="AO229" s="87"/>
      <c r="AP229" s="88">
        <f t="shared" si="3"/>
        <v>0</v>
      </c>
    </row>
    <row r="230" spans="2:42" s="3" customFormat="1" ht="24" customHeight="1" x14ac:dyDescent="0.2">
      <c r="B230" s="80"/>
      <c r="C230" s="81"/>
      <c r="D230" s="82"/>
      <c r="E230" s="83"/>
      <c r="F230" s="84" t="str">
        <f>IFERROR(VLOOKUP($E230,設定!$C:$G,2,0),"")</f>
        <v/>
      </c>
      <c r="G230" s="84" t="str">
        <f>IFERROR(VLOOKUP($E230,設定!$C:$G,3,0),"")</f>
        <v/>
      </c>
      <c r="H230" s="84" t="str">
        <f>IFERROR(VLOOKUP($E230,設定!$C:$G,4,0),"")</f>
        <v/>
      </c>
      <c r="I230" s="84" t="str">
        <f>IFERROR(VLOOKUP($E230,設定!$C:$G,5,0),"")</f>
        <v/>
      </c>
      <c r="J230" s="117"/>
      <c r="K230" s="85"/>
      <c r="L230" s="86"/>
      <c r="M230" s="86"/>
      <c r="N230" s="86"/>
      <c r="O230" s="86"/>
      <c r="P230" s="86"/>
      <c r="Q230" s="86"/>
      <c r="R230" s="86"/>
      <c r="S230" s="86"/>
      <c r="T230" s="86"/>
      <c r="U230" s="86"/>
      <c r="V230" s="86"/>
      <c r="W230" s="86"/>
      <c r="X230" s="86"/>
      <c r="Y230" s="86"/>
      <c r="Z230" s="86"/>
      <c r="AA230" s="86"/>
      <c r="AB230" s="86"/>
      <c r="AC230" s="86"/>
      <c r="AD230" s="86"/>
      <c r="AE230" s="86"/>
      <c r="AF230" s="86"/>
      <c r="AG230" s="86"/>
      <c r="AH230" s="86"/>
      <c r="AI230" s="86"/>
      <c r="AJ230" s="86"/>
      <c r="AK230" s="86"/>
      <c r="AL230" s="86"/>
      <c r="AM230" s="86"/>
      <c r="AN230" s="86"/>
      <c r="AO230" s="87"/>
      <c r="AP230" s="88">
        <f t="shared" si="3"/>
        <v>0</v>
      </c>
    </row>
    <row r="231" spans="2:42" s="3" customFormat="1" ht="24" customHeight="1" x14ac:dyDescent="0.2">
      <c r="B231" s="80"/>
      <c r="C231" s="81"/>
      <c r="D231" s="82"/>
      <c r="E231" s="83"/>
      <c r="F231" s="84" t="str">
        <f>IFERROR(VLOOKUP($E231,設定!$C:$G,2,0),"")</f>
        <v/>
      </c>
      <c r="G231" s="84" t="str">
        <f>IFERROR(VLOOKUP($E231,設定!$C:$G,3,0),"")</f>
        <v/>
      </c>
      <c r="H231" s="84" t="str">
        <f>IFERROR(VLOOKUP($E231,設定!$C:$G,4,0),"")</f>
        <v/>
      </c>
      <c r="I231" s="84" t="str">
        <f>IFERROR(VLOOKUP($E231,設定!$C:$G,5,0),"")</f>
        <v/>
      </c>
      <c r="J231" s="117"/>
      <c r="K231" s="85"/>
      <c r="L231" s="86"/>
      <c r="M231" s="86"/>
      <c r="N231" s="86"/>
      <c r="O231" s="86"/>
      <c r="P231" s="86"/>
      <c r="Q231" s="86"/>
      <c r="R231" s="86"/>
      <c r="S231" s="86"/>
      <c r="T231" s="86"/>
      <c r="U231" s="86"/>
      <c r="V231" s="86"/>
      <c r="W231" s="86"/>
      <c r="X231" s="86"/>
      <c r="Y231" s="86"/>
      <c r="Z231" s="86"/>
      <c r="AA231" s="86"/>
      <c r="AB231" s="86"/>
      <c r="AC231" s="86"/>
      <c r="AD231" s="86"/>
      <c r="AE231" s="86"/>
      <c r="AF231" s="86"/>
      <c r="AG231" s="86"/>
      <c r="AH231" s="86"/>
      <c r="AI231" s="86"/>
      <c r="AJ231" s="86"/>
      <c r="AK231" s="86"/>
      <c r="AL231" s="86"/>
      <c r="AM231" s="86"/>
      <c r="AN231" s="86"/>
      <c r="AO231" s="87"/>
      <c r="AP231" s="88">
        <f t="shared" si="3"/>
        <v>0</v>
      </c>
    </row>
    <row r="232" spans="2:42" s="3" customFormat="1" ht="24" customHeight="1" x14ac:dyDescent="0.2">
      <c r="B232" s="80"/>
      <c r="C232" s="81"/>
      <c r="D232" s="82"/>
      <c r="E232" s="83"/>
      <c r="F232" s="84" t="str">
        <f>IFERROR(VLOOKUP($E232,設定!$C:$G,2,0),"")</f>
        <v/>
      </c>
      <c r="G232" s="84" t="str">
        <f>IFERROR(VLOOKUP($E232,設定!$C:$G,3,0),"")</f>
        <v/>
      </c>
      <c r="H232" s="84" t="str">
        <f>IFERROR(VLOOKUP($E232,設定!$C:$G,4,0),"")</f>
        <v/>
      </c>
      <c r="I232" s="84" t="str">
        <f>IFERROR(VLOOKUP($E232,設定!$C:$G,5,0),"")</f>
        <v/>
      </c>
      <c r="J232" s="117"/>
      <c r="K232" s="85"/>
      <c r="L232" s="86"/>
      <c r="M232" s="86"/>
      <c r="N232" s="86"/>
      <c r="O232" s="86"/>
      <c r="P232" s="86"/>
      <c r="Q232" s="86"/>
      <c r="R232" s="86"/>
      <c r="S232" s="86"/>
      <c r="T232" s="86"/>
      <c r="U232" s="86"/>
      <c r="V232" s="86"/>
      <c r="W232" s="86"/>
      <c r="X232" s="86"/>
      <c r="Y232" s="86"/>
      <c r="Z232" s="86"/>
      <c r="AA232" s="86"/>
      <c r="AB232" s="86"/>
      <c r="AC232" s="86"/>
      <c r="AD232" s="86"/>
      <c r="AE232" s="86"/>
      <c r="AF232" s="86"/>
      <c r="AG232" s="86"/>
      <c r="AH232" s="86"/>
      <c r="AI232" s="86"/>
      <c r="AJ232" s="86"/>
      <c r="AK232" s="86"/>
      <c r="AL232" s="86"/>
      <c r="AM232" s="86"/>
      <c r="AN232" s="86"/>
      <c r="AO232" s="87"/>
      <c r="AP232" s="88">
        <f t="shared" si="3"/>
        <v>0</v>
      </c>
    </row>
    <row r="233" spans="2:42" s="3" customFormat="1" ht="24" customHeight="1" x14ac:dyDescent="0.2">
      <c r="B233" s="80"/>
      <c r="C233" s="81"/>
      <c r="D233" s="82"/>
      <c r="E233" s="83"/>
      <c r="F233" s="84" t="str">
        <f>IFERROR(VLOOKUP($E233,設定!$C:$G,2,0),"")</f>
        <v/>
      </c>
      <c r="G233" s="84" t="str">
        <f>IFERROR(VLOOKUP($E233,設定!$C:$G,3,0),"")</f>
        <v/>
      </c>
      <c r="H233" s="84" t="str">
        <f>IFERROR(VLOOKUP($E233,設定!$C:$G,4,0),"")</f>
        <v/>
      </c>
      <c r="I233" s="84" t="str">
        <f>IFERROR(VLOOKUP($E233,設定!$C:$G,5,0),"")</f>
        <v/>
      </c>
      <c r="J233" s="117"/>
      <c r="K233" s="85"/>
      <c r="L233" s="86"/>
      <c r="M233" s="86"/>
      <c r="N233" s="86"/>
      <c r="O233" s="86"/>
      <c r="P233" s="86"/>
      <c r="Q233" s="86"/>
      <c r="R233" s="86"/>
      <c r="S233" s="86"/>
      <c r="T233" s="86"/>
      <c r="U233" s="86"/>
      <c r="V233" s="86"/>
      <c r="W233" s="86"/>
      <c r="X233" s="86"/>
      <c r="Y233" s="86"/>
      <c r="Z233" s="86"/>
      <c r="AA233" s="86"/>
      <c r="AB233" s="86"/>
      <c r="AC233" s="86"/>
      <c r="AD233" s="86"/>
      <c r="AE233" s="86"/>
      <c r="AF233" s="86"/>
      <c r="AG233" s="86"/>
      <c r="AH233" s="86"/>
      <c r="AI233" s="86"/>
      <c r="AJ233" s="86"/>
      <c r="AK233" s="86"/>
      <c r="AL233" s="86"/>
      <c r="AM233" s="86"/>
      <c r="AN233" s="86"/>
      <c r="AO233" s="87"/>
      <c r="AP233" s="88">
        <f t="shared" si="3"/>
        <v>0</v>
      </c>
    </row>
    <row r="234" spans="2:42" s="3" customFormat="1" ht="24" customHeight="1" x14ac:dyDescent="0.2">
      <c r="B234" s="80"/>
      <c r="C234" s="81"/>
      <c r="D234" s="82"/>
      <c r="E234" s="83"/>
      <c r="F234" s="84" t="str">
        <f>IFERROR(VLOOKUP($E234,設定!$C:$G,2,0),"")</f>
        <v/>
      </c>
      <c r="G234" s="84" t="str">
        <f>IFERROR(VLOOKUP($E234,設定!$C:$G,3,0),"")</f>
        <v/>
      </c>
      <c r="H234" s="84" t="str">
        <f>IFERROR(VLOOKUP($E234,設定!$C:$G,4,0),"")</f>
        <v/>
      </c>
      <c r="I234" s="84" t="str">
        <f>IFERROR(VLOOKUP($E234,設定!$C:$G,5,0),"")</f>
        <v/>
      </c>
      <c r="J234" s="117"/>
      <c r="K234" s="85"/>
      <c r="L234" s="86"/>
      <c r="M234" s="86"/>
      <c r="N234" s="86"/>
      <c r="O234" s="86"/>
      <c r="P234" s="86"/>
      <c r="Q234" s="86"/>
      <c r="R234" s="86"/>
      <c r="S234" s="86"/>
      <c r="T234" s="86"/>
      <c r="U234" s="86"/>
      <c r="V234" s="86"/>
      <c r="W234" s="86"/>
      <c r="X234" s="86"/>
      <c r="Y234" s="86"/>
      <c r="Z234" s="86"/>
      <c r="AA234" s="86"/>
      <c r="AB234" s="86"/>
      <c r="AC234" s="86"/>
      <c r="AD234" s="86"/>
      <c r="AE234" s="86"/>
      <c r="AF234" s="86"/>
      <c r="AG234" s="86"/>
      <c r="AH234" s="86"/>
      <c r="AI234" s="86"/>
      <c r="AJ234" s="86"/>
      <c r="AK234" s="86"/>
      <c r="AL234" s="86"/>
      <c r="AM234" s="86"/>
      <c r="AN234" s="86"/>
      <c r="AO234" s="87"/>
      <c r="AP234" s="88">
        <f t="shared" si="3"/>
        <v>0</v>
      </c>
    </row>
    <row r="235" spans="2:42" s="3" customFormat="1" ht="24" customHeight="1" x14ac:dyDescent="0.2">
      <c r="B235" s="80"/>
      <c r="C235" s="81"/>
      <c r="D235" s="82"/>
      <c r="E235" s="83"/>
      <c r="F235" s="84" t="str">
        <f>IFERROR(VLOOKUP($E235,設定!$C:$G,2,0),"")</f>
        <v/>
      </c>
      <c r="G235" s="84" t="str">
        <f>IFERROR(VLOOKUP($E235,設定!$C:$G,3,0),"")</f>
        <v/>
      </c>
      <c r="H235" s="84" t="str">
        <f>IFERROR(VLOOKUP($E235,設定!$C:$G,4,0),"")</f>
        <v/>
      </c>
      <c r="I235" s="84" t="str">
        <f>IFERROR(VLOOKUP($E235,設定!$C:$G,5,0),"")</f>
        <v/>
      </c>
      <c r="J235" s="117"/>
      <c r="K235" s="85"/>
      <c r="L235" s="86"/>
      <c r="M235" s="86"/>
      <c r="N235" s="86"/>
      <c r="O235" s="86"/>
      <c r="P235" s="86"/>
      <c r="Q235" s="86"/>
      <c r="R235" s="86"/>
      <c r="S235" s="86"/>
      <c r="T235" s="86"/>
      <c r="U235" s="86"/>
      <c r="V235" s="86"/>
      <c r="W235" s="86"/>
      <c r="X235" s="86"/>
      <c r="Y235" s="86"/>
      <c r="Z235" s="86"/>
      <c r="AA235" s="86"/>
      <c r="AB235" s="86"/>
      <c r="AC235" s="86"/>
      <c r="AD235" s="86"/>
      <c r="AE235" s="86"/>
      <c r="AF235" s="86"/>
      <c r="AG235" s="86"/>
      <c r="AH235" s="86"/>
      <c r="AI235" s="86"/>
      <c r="AJ235" s="86"/>
      <c r="AK235" s="86"/>
      <c r="AL235" s="86"/>
      <c r="AM235" s="86"/>
      <c r="AN235" s="86"/>
      <c r="AO235" s="87"/>
      <c r="AP235" s="88">
        <f t="shared" si="3"/>
        <v>0</v>
      </c>
    </row>
    <row r="236" spans="2:42" s="3" customFormat="1" ht="24" customHeight="1" x14ac:dyDescent="0.2">
      <c r="B236" s="80"/>
      <c r="C236" s="81"/>
      <c r="D236" s="82"/>
      <c r="E236" s="83"/>
      <c r="F236" s="84" t="str">
        <f>IFERROR(VLOOKUP($E236,設定!$C:$G,2,0),"")</f>
        <v/>
      </c>
      <c r="G236" s="84" t="str">
        <f>IFERROR(VLOOKUP($E236,設定!$C:$G,3,0),"")</f>
        <v/>
      </c>
      <c r="H236" s="84" t="str">
        <f>IFERROR(VLOOKUP($E236,設定!$C:$G,4,0),"")</f>
        <v/>
      </c>
      <c r="I236" s="84" t="str">
        <f>IFERROR(VLOOKUP($E236,設定!$C:$G,5,0),"")</f>
        <v/>
      </c>
      <c r="J236" s="117"/>
      <c r="K236" s="85"/>
      <c r="L236" s="86"/>
      <c r="M236" s="86"/>
      <c r="N236" s="86"/>
      <c r="O236" s="86"/>
      <c r="P236" s="86"/>
      <c r="Q236" s="86"/>
      <c r="R236" s="86"/>
      <c r="S236" s="86"/>
      <c r="T236" s="86"/>
      <c r="U236" s="86"/>
      <c r="V236" s="86"/>
      <c r="W236" s="86"/>
      <c r="X236" s="86"/>
      <c r="Y236" s="86"/>
      <c r="Z236" s="86"/>
      <c r="AA236" s="86"/>
      <c r="AB236" s="86"/>
      <c r="AC236" s="86"/>
      <c r="AD236" s="86"/>
      <c r="AE236" s="86"/>
      <c r="AF236" s="86"/>
      <c r="AG236" s="86"/>
      <c r="AH236" s="86"/>
      <c r="AI236" s="86"/>
      <c r="AJ236" s="86"/>
      <c r="AK236" s="86"/>
      <c r="AL236" s="86"/>
      <c r="AM236" s="86"/>
      <c r="AN236" s="86"/>
      <c r="AO236" s="87"/>
      <c r="AP236" s="88">
        <f t="shared" si="3"/>
        <v>0</v>
      </c>
    </row>
    <row r="237" spans="2:42" s="3" customFormat="1" ht="24" customHeight="1" x14ac:dyDescent="0.2">
      <c r="B237" s="80"/>
      <c r="C237" s="81"/>
      <c r="D237" s="82"/>
      <c r="E237" s="83"/>
      <c r="F237" s="84" t="str">
        <f>IFERROR(VLOOKUP($E237,設定!$C:$G,2,0),"")</f>
        <v/>
      </c>
      <c r="G237" s="84" t="str">
        <f>IFERROR(VLOOKUP($E237,設定!$C:$G,3,0),"")</f>
        <v/>
      </c>
      <c r="H237" s="84" t="str">
        <f>IFERROR(VLOOKUP($E237,設定!$C:$G,4,0),"")</f>
        <v/>
      </c>
      <c r="I237" s="84" t="str">
        <f>IFERROR(VLOOKUP($E237,設定!$C:$G,5,0),"")</f>
        <v/>
      </c>
      <c r="J237" s="117"/>
      <c r="K237" s="85"/>
      <c r="L237" s="86"/>
      <c r="M237" s="86"/>
      <c r="N237" s="86"/>
      <c r="O237" s="86"/>
      <c r="P237" s="86"/>
      <c r="Q237" s="86"/>
      <c r="R237" s="86"/>
      <c r="S237" s="86"/>
      <c r="T237" s="86"/>
      <c r="U237" s="86"/>
      <c r="V237" s="86"/>
      <c r="W237" s="86"/>
      <c r="X237" s="86"/>
      <c r="Y237" s="86"/>
      <c r="Z237" s="86"/>
      <c r="AA237" s="86"/>
      <c r="AB237" s="86"/>
      <c r="AC237" s="86"/>
      <c r="AD237" s="86"/>
      <c r="AE237" s="86"/>
      <c r="AF237" s="86"/>
      <c r="AG237" s="86"/>
      <c r="AH237" s="86"/>
      <c r="AI237" s="86"/>
      <c r="AJ237" s="86"/>
      <c r="AK237" s="86"/>
      <c r="AL237" s="86"/>
      <c r="AM237" s="86"/>
      <c r="AN237" s="86"/>
      <c r="AO237" s="87"/>
      <c r="AP237" s="88">
        <f t="shared" si="3"/>
        <v>0</v>
      </c>
    </row>
    <row r="238" spans="2:42" s="3" customFormat="1" ht="24" customHeight="1" x14ac:dyDescent="0.2">
      <c r="B238" s="80"/>
      <c r="C238" s="81"/>
      <c r="D238" s="82"/>
      <c r="E238" s="83"/>
      <c r="F238" s="84" t="str">
        <f>IFERROR(VLOOKUP($E238,設定!$C:$G,2,0),"")</f>
        <v/>
      </c>
      <c r="G238" s="84" t="str">
        <f>IFERROR(VLOOKUP($E238,設定!$C:$G,3,0),"")</f>
        <v/>
      </c>
      <c r="H238" s="84" t="str">
        <f>IFERROR(VLOOKUP($E238,設定!$C:$G,4,0),"")</f>
        <v/>
      </c>
      <c r="I238" s="84" t="str">
        <f>IFERROR(VLOOKUP($E238,設定!$C:$G,5,0),"")</f>
        <v/>
      </c>
      <c r="J238" s="117"/>
      <c r="K238" s="85"/>
      <c r="L238" s="86"/>
      <c r="M238" s="86"/>
      <c r="N238" s="86"/>
      <c r="O238" s="86"/>
      <c r="P238" s="86"/>
      <c r="Q238" s="86"/>
      <c r="R238" s="86"/>
      <c r="S238" s="86"/>
      <c r="T238" s="86"/>
      <c r="U238" s="86"/>
      <c r="V238" s="86"/>
      <c r="W238" s="86"/>
      <c r="X238" s="86"/>
      <c r="Y238" s="86"/>
      <c r="Z238" s="86"/>
      <c r="AA238" s="86"/>
      <c r="AB238" s="86"/>
      <c r="AC238" s="86"/>
      <c r="AD238" s="86"/>
      <c r="AE238" s="86"/>
      <c r="AF238" s="86"/>
      <c r="AG238" s="86"/>
      <c r="AH238" s="86"/>
      <c r="AI238" s="86"/>
      <c r="AJ238" s="86"/>
      <c r="AK238" s="86"/>
      <c r="AL238" s="86"/>
      <c r="AM238" s="86"/>
      <c r="AN238" s="86"/>
      <c r="AO238" s="87"/>
      <c r="AP238" s="88">
        <f t="shared" si="3"/>
        <v>0</v>
      </c>
    </row>
    <row r="239" spans="2:42" s="3" customFormat="1" ht="24" customHeight="1" x14ac:dyDescent="0.2">
      <c r="B239" s="80"/>
      <c r="C239" s="81"/>
      <c r="D239" s="82"/>
      <c r="E239" s="83"/>
      <c r="F239" s="84" t="str">
        <f>IFERROR(VLOOKUP($E239,設定!$C:$G,2,0),"")</f>
        <v/>
      </c>
      <c r="G239" s="84" t="str">
        <f>IFERROR(VLOOKUP($E239,設定!$C:$G,3,0),"")</f>
        <v/>
      </c>
      <c r="H239" s="84" t="str">
        <f>IFERROR(VLOOKUP($E239,設定!$C:$G,4,0),"")</f>
        <v/>
      </c>
      <c r="I239" s="84" t="str">
        <f>IFERROR(VLOOKUP($E239,設定!$C:$G,5,0),"")</f>
        <v/>
      </c>
      <c r="J239" s="117"/>
      <c r="K239" s="85"/>
      <c r="L239" s="86"/>
      <c r="M239" s="86"/>
      <c r="N239" s="86"/>
      <c r="O239" s="86"/>
      <c r="P239" s="86"/>
      <c r="Q239" s="86"/>
      <c r="R239" s="86"/>
      <c r="S239" s="86"/>
      <c r="T239" s="86"/>
      <c r="U239" s="86"/>
      <c r="V239" s="86"/>
      <c r="W239" s="86"/>
      <c r="X239" s="86"/>
      <c r="Y239" s="86"/>
      <c r="Z239" s="86"/>
      <c r="AA239" s="86"/>
      <c r="AB239" s="86"/>
      <c r="AC239" s="86"/>
      <c r="AD239" s="86"/>
      <c r="AE239" s="86"/>
      <c r="AF239" s="86"/>
      <c r="AG239" s="86"/>
      <c r="AH239" s="86"/>
      <c r="AI239" s="86"/>
      <c r="AJ239" s="86"/>
      <c r="AK239" s="86"/>
      <c r="AL239" s="86"/>
      <c r="AM239" s="86"/>
      <c r="AN239" s="86"/>
      <c r="AO239" s="87"/>
      <c r="AP239" s="88">
        <f t="shared" si="3"/>
        <v>0</v>
      </c>
    </row>
    <row r="240" spans="2:42" s="3" customFormat="1" ht="24" customHeight="1" x14ac:dyDescent="0.2">
      <c r="B240" s="80"/>
      <c r="C240" s="81"/>
      <c r="D240" s="82"/>
      <c r="E240" s="83"/>
      <c r="F240" s="84" t="str">
        <f>IFERROR(VLOOKUP($E240,設定!$C:$G,2,0),"")</f>
        <v/>
      </c>
      <c r="G240" s="84" t="str">
        <f>IFERROR(VLOOKUP($E240,設定!$C:$G,3,0),"")</f>
        <v/>
      </c>
      <c r="H240" s="84" t="str">
        <f>IFERROR(VLOOKUP($E240,設定!$C:$G,4,0),"")</f>
        <v/>
      </c>
      <c r="I240" s="84" t="str">
        <f>IFERROR(VLOOKUP($E240,設定!$C:$G,5,0),"")</f>
        <v/>
      </c>
      <c r="J240" s="117"/>
      <c r="K240" s="85"/>
      <c r="L240" s="86"/>
      <c r="M240" s="86"/>
      <c r="N240" s="86"/>
      <c r="O240" s="86"/>
      <c r="P240" s="86"/>
      <c r="Q240" s="86"/>
      <c r="R240" s="86"/>
      <c r="S240" s="86"/>
      <c r="T240" s="86"/>
      <c r="U240" s="86"/>
      <c r="V240" s="86"/>
      <c r="W240" s="86"/>
      <c r="X240" s="86"/>
      <c r="Y240" s="86"/>
      <c r="Z240" s="86"/>
      <c r="AA240" s="86"/>
      <c r="AB240" s="86"/>
      <c r="AC240" s="86"/>
      <c r="AD240" s="86"/>
      <c r="AE240" s="86"/>
      <c r="AF240" s="86"/>
      <c r="AG240" s="86"/>
      <c r="AH240" s="86"/>
      <c r="AI240" s="86"/>
      <c r="AJ240" s="86"/>
      <c r="AK240" s="86"/>
      <c r="AL240" s="86"/>
      <c r="AM240" s="86"/>
      <c r="AN240" s="86"/>
      <c r="AO240" s="87"/>
      <c r="AP240" s="88">
        <f t="shared" si="3"/>
        <v>0</v>
      </c>
    </row>
    <row r="241" spans="2:42" s="3" customFormat="1" ht="24" customHeight="1" x14ac:dyDescent="0.2">
      <c r="B241" s="80"/>
      <c r="C241" s="81"/>
      <c r="D241" s="82"/>
      <c r="E241" s="83"/>
      <c r="F241" s="84" t="str">
        <f>IFERROR(VLOOKUP($E241,設定!$C:$G,2,0),"")</f>
        <v/>
      </c>
      <c r="G241" s="84" t="str">
        <f>IFERROR(VLOOKUP($E241,設定!$C:$G,3,0),"")</f>
        <v/>
      </c>
      <c r="H241" s="84" t="str">
        <f>IFERROR(VLOOKUP($E241,設定!$C:$G,4,0),"")</f>
        <v/>
      </c>
      <c r="I241" s="84" t="str">
        <f>IFERROR(VLOOKUP($E241,設定!$C:$G,5,0),"")</f>
        <v/>
      </c>
      <c r="J241" s="117"/>
      <c r="K241" s="85"/>
      <c r="L241" s="86"/>
      <c r="M241" s="86"/>
      <c r="N241" s="86"/>
      <c r="O241" s="86"/>
      <c r="P241" s="86"/>
      <c r="Q241" s="86"/>
      <c r="R241" s="86"/>
      <c r="S241" s="86"/>
      <c r="T241" s="86"/>
      <c r="U241" s="86"/>
      <c r="V241" s="86"/>
      <c r="W241" s="86"/>
      <c r="X241" s="86"/>
      <c r="Y241" s="86"/>
      <c r="Z241" s="86"/>
      <c r="AA241" s="86"/>
      <c r="AB241" s="86"/>
      <c r="AC241" s="86"/>
      <c r="AD241" s="86"/>
      <c r="AE241" s="86"/>
      <c r="AF241" s="86"/>
      <c r="AG241" s="86"/>
      <c r="AH241" s="86"/>
      <c r="AI241" s="86"/>
      <c r="AJ241" s="86"/>
      <c r="AK241" s="86"/>
      <c r="AL241" s="86"/>
      <c r="AM241" s="86"/>
      <c r="AN241" s="86"/>
      <c r="AO241" s="87"/>
      <c r="AP241" s="88">
        <f t="shared" si="3"/>
        <v>0</v>
      </c>
    </row>
    <row r="242" spans="2:42" s="3" customFormat="1" ht="24" customHeight="1" x14ac:dyDescent="0.2">
      <c r="B242" s="80"/>
      <c r="C242" s="81"/>
      <c r="D242" s="82"/>
      <c r="E242" s="83"/>
      <c r="F242" s="84" t="str">
        <f>IFERROR(VLOOKUP($E242,設定!$C:$G,2,0),"")</f>
        <v/>
      </c>
      <c r="G242" s="84" t="str">
        <f>IFERROR(VLOOKUP($E242,設定!$C:$G,3,0),"")</f>
        <v/>
      </c>
      <c r="H242" s="84" t="str">
        <f>IFERROR(VLOOKUP($E242,設定!$C:$G,4,0),"")</f>
        <v/>
      </c>
      <c r="I242" s="84" t="str">
        <f>IFERROR(VLOOKUP($E242,設定!$C:$G,5,0),"")</f>
        <v/>
      </c>
      <c r="J242" s="117"/>
      <c r="K242" s="85"/>
      <c r="L242" s="86"/>
      <c r="M242" s="86"/>
      <c r="N242" s="86"/>
      <c r="O242" s="86"/>
      <c r="P242" s="86"/>
      <c r="Q242" s="86"/>
      <c r="R242" s="86"/>
      <c r="S242" s="86"/>
      <c r="T242" s="86"/>
      <c r="U242" s="86"/>
      <c r="V242" s="86"/>
      <c r="W242" s="86"/>
      <c r="X242" s="86"/>
      <c r="Y242" s="86"/>
      <c r="Z242" s="86"/>
      <c r="AA242" s="86"/>
      <c r="AB242" s="86"/>
      <c r="AC242" s="86"/>
      <c r="AD242" s="86"/>
      <c r="AE242" s="86"/>
      <c r="AF242" s="86"/>
      <c r="AG242" s="86"/>
      <c r="AH242" s="86"/>
      <c r="AI242" s="86"/>
      <c r="AJ242" s="86"/>
      <c r="AK242" s="86"/>
      <c r="AL242" s="86"/>
      <c r="AM242" s="86"/>
      <c r="AN242" s="86"/>
      <c r="AO242" s="87"/>
      <c r="AP242" s="88">
        <f t="shared" si="3"/>
        <v>0</v>
      </c>
    </row>
    <row r="243" spans="2:42" s="3" customFormat="1" ht="24" customHeight="1" x14ac:dyDescent="0.2">
      <c r="B243" s="80"/>
      <c r="C243" s="81"/>
      <c r="D243" s="82"/>
      <c r="E243" s="83"/>
      <c r="F243" s="84" t="str">
        <f>IFERROR(VLOOKUP($E243,設定!$C:$G,2,0),"")</f>
        <v/>
      </c>
      <c r="G243" s="84" t="str">
        <f>IFERROR(VLOOKUP($E243,設定!$C:$G,3,0),"")</f>
        <v/>
      </c>
      <c r="H243" s="84" t="str">
        <f>IFERROR(VLOOKUP($E243,設定!$C:$G,4,0),"")</f>
        <v/>
      </c>
      <c r="I243" s="84" t="str">
        <f>IFERROR(VLOOKUP($E243,設定!$C:$G,5,0),"")</f>
        <v/>
      </c>
      <c r="J243" s="117"/>
      <c r="K243" s="85"/>
      <c r="L243" s="86"/>
      <c r="M243" s="86"/>
      <c r="N243" s="86"/>
      <c r="O243" s="86"/>
      <c r="P243" s="86"/>
      <c r="Q243" s="86"/>
      <c r="R243" s="86"/>
      <c r="S243" s="86"/>
      <c r="T243" s="86"/>
      <c r="U243" s="86"/>
      <c r="V243" s="86"/>
      <c r="W243" s="86"/>
      <c r="X243" s="86"/>
      <c r="Y243" s="86"/>
      <c r="Z243" s="86"/>
      <c r="AA243" s="86"/>
      <c r="AB243" s="86"/>
      <c r="AC243" s="86"/>
      <c r="AD243" s="86"/>
      <c r="AE243" s="86"/>
      <c r="AF243" s="86"/>
      <c r="AG243" s="86"/>
      <c r="AH243" s="86"/>
      <c r="AI243" s="86"/>
      <c r="AJ243" s="86"/>
      <c r="AK243" s="86"/>
      <c r="AL243" s="86"/>
      <c r="AM243" s="86"/>
      <c r="AN243" s="86"/>
      <c r="AO243" s="87"/>
      <c r="AP243" s="88">
        <f t="shared" si="3"/>
        <v>0</v>
      </c>
    </row>
    <row r="244" spans="2:42" s="3" customFormat="1" ht="24" customHeight="1" x14ac:dyDescent="0.2">
      <c r="B244" s="80"/>
      <c r="C244" s="81"/>
      <c r="D244" s="82"/>
      <c r="E244" s="83"/>
      <c r="F244" s="84" t="str">
        <f>IFERROR(VLOOKUP($E244,設定!$C:$G,2,0),"")</f>
        <v/>
      </c>
      <c r="G244" s="84" t="str">
        <f>IFERROR(VLOOKUP($E244,設定!$C:$G,3,0),"")</f>
        <v/>
      </c>
      <c r="H244" s="84" t="str">
        <f>IFERROR(VLOOKUP($E244,設定!$C:$G,4,0),"")</f>
        <v/>
      </c>
      <c r="I244" s="84" t="str">
        <f>IFERROR(VLOOKUP($E244,設定!$C:$G,5,0),"")</f>
        <v/>
      </c>
      <c r="J244" s="117"/>
      <c r="K244" s="85"/>
      <c r="L244" s="86"/>
      <c r="M244" s="86"/>
      <c r="N244" s="86"/>
      <c r="O244" s="86"/>
      <c r="P244" s="86"/>
      <c r="Q244" s="86"/>
      <c r="R244" s="86"/>
      <c r="S244" s="86"/>
      <c r="T244" s="86"/>
      <c r="U244" s="86"/>
      <c r="V244" s="86"/>
      <c r="W244" s="86"/>
      <c r="X244" s="86"/>
      <c r="Y244" s="86"/>
      <c r="Z244" s="86"/>
      <c r="AA244" s="86"/>
      <c r="AB244" s="86"/>
      <c r="AC244" s="86"/>
      <c r="AD244" s="86"/>
      <c r="AE244" s="86"/>
      <c r="AF244" s="86"/>
      <c r="AG244" s="86"/>
      <c r="AH244" s="86"/>
      <c r="AI244" s="86"/>
      <c r="AJ244" s="86"/>
      <c r="AK244" s="86"/>
      <c r="AL244" s="86"/>
      <c r="AM244" s="86"/>
      <c r="AN244" s="86"/>
      <c r="AO244" s="87"/>
      <c r="AP244" s="88">
        <f t="shared" si="3"/>
        <v>0</v>
      </c>
    </row>
    <row r="245" spans="2:42" s="3" customFormat="1" ht="24" customHeight="1" x14ac:dyDescent="0.2">
      <c r="B245" s="80"/>
      <c r="C245" s="81"/>
      <c r="D245" s="82"/>
      <c r="E245" s="83"/>
      <c r="F245" s="84" t="str">
        <f>IFERROR(VLOOKUP($E245,設定!$C:$G,2,0),"")</f>
        <v/>
      </c>
      <c r="G245" s="84" t="str">
        <f>IFERROR(VLOOKUP($E245,設定!$C:$G,3,0),"")</f>
        <v/>
      </c>
      <c r="H245" s="84" t="str">
        <f>IFERROR(VLOOKUP($E245,設定!$C:$G,4,0),"")</f>
        <v/>
      </c>
      <c r="I245" s="84" t="str">
        <f>IFERROR(VLOOKUP($E245,設定!$C:$G,5,0),"")</f>
        <v/>
      </c>
      <c r="J245" s="117"/>
      <c r="K245" s="85"/>
      <c r="L245" s="86"/>
      <c r="M245" s="86"/>
      <c r="N245" s="86"/>
      <c r="O245" s="86"/>
      <c r="P245" s="86"/>
      <c r="Q245" s="86"/>
      <c r="R245" s="86"/>
      <c r="S245" s="86"/>
      <c r="T245" s="86"/>
      <c r="U245" s="86"/>
      <c r="V245" s="86"/>
      <c r="W245" s="86"/>
      <c r="X245" s="86"/>
      <c r="Y245" s="86"/>
      <c r="Z245" s="86"/>
      <c r="AA245" s="86"/>
      <c r="AB245" s="86"/>
      <c r="AC245" s="86"/>
      <c r="AD245" s="86"/>
      <c r="AE245" s="86"/>
      <c r="AF245" s="86"/>
      <c r="AG245" s="86"/>
      <c r="AH245" s="86"/>
      <c r="AI245" s="86"/>
      <c r="AJ245" s="86"/>
      <c r="AK245" s="86"/>
      <c r="AL245" s="86"/>
      <c r="AM245" s="86"/>
      <c r="AN245" s="86"/>
      <c r="AO245" s="87"/>
      <c r="AP245" s="88">
        <f t="shared" si="3"/>
        <v>0</v>
      </c>
    </row>
    <row r="246" spans="2:42" s="3" customFormat="1" ht="24" customHeight="1" x14ac:dyDescent="0.2">
      <c r="B246" s="80"/>
      <c r="C246" s="81"/>
      <c r="D246" s="82"/>
      <c r="E246" s="83"/>
      <c r="F246" s="84" t="str">
        <f>IFERROR(VLOOKUP($E246,設定!$C:$G,2,0),"")</f>
        <v/>
      </c>
      <c r="G246" s="84" t="str">
        <f>IFERROR(VLOOKUP($E246,設定!$C:$G,3,0),"")</f>
        <v/>
      </c>
      <c r="H246" s="84" t="str">
        <f>IFERROR(VLOOKUP($E246,設定!$C:$G,4,0),"")</f>
        <v/>
      </c>
      <c r="I246" s="84" t="str">
        <f>IFERROR(VLOOKUP($E246,設定!$C:$G,5,0),"")</f>
        <v/>
      </c>
      <c r="J246" s="117"/>
      <c r="K246" s="85"/>
      <c r="L246" s="86"/>
      <c r="M246" s="86"/>
      <c r="N246" s="86"/>
      <c r="O246" s="86"/>
      <c r="P246" s="86"/>
      <c r="Q246" s="86"/>
      <c r="R246" s="86"/>
      <c r="S246" s="86"/>
      <c r="T246" s="86"/>
      <c r="U246" s="86"/>
      <c r="V246" s="86"/>
      <c r="W246" s="86"/>
      <c r="X246" s="86"/>
      <c r="Y246" s="86"/>
      <c r="Z246" s="86"/>
      <c r="AA246" s="86"/>
      <c r="AB246" s="86"/>
      <c r="AC246" s="86"/>
      <c r="AD246" s="86"/>
      <c r="AE246" s="86"/>
      <c r="AF246" s="86"/>
      <c r="AG246" s="86"/>
      <c r="AH246" s="86"/>
      <c r="AI246" s="86"/>
      <c r="AJ246" s="86"/>
      <c r="AK246" s="86"/>
      <c r="AL246" s="86"/>
      <c r="AM246" s="86"/>
      <c r="AN246" s="86"/>
      <c r="AO246" s="87"/>
      <c r="AP246" s="88">
        <f t="shared" si="3"/>
        <v>0</v>
      </c>
    </row>
    <row r="247" spans="2:42" s="3" customFormat="1" ht="24" customHeight="1" x14ac:dyDescent="0.2">
      <c r="B247" s="80"/>
      <c r="C247" s="81"/>
      <c r="D247" s="82"/>
      <c r="E247" s="83"/>
      <c r="F247" s="84" t="str">
        <f>IFERROR(VLOOKUP($E247,設定!$C:$G,2,0),"")</f>
        <v/>
      </c>
      <c r="G247" s="84" t="str">
        <f>IFERROR(VLOOKUP($E247,設定!$C:$G,3,0),"")</f>
        <v/>
      </c>
      <c r="H247" s="84" t="str">
        <f>IFERROR(VLOOKUP($E247,設定!$C:$G,4,0),"")</f>
        <v/>
      </c>
      <c r="I247" s="84" t="str">
        <f>IFERROR(VLOOKUP($E247,設定!$C:$G,5,0),"")</f>
        <v/>
      </c>
      <c r="J247" s="117"/>
      <c r="K247" s="85"/>
      <c r="L247" s="86"/>
      <c r="M247" s="86"/>
      <c r="N247" s="86"/>
      <c r="O247" s="86"/>
      <c r="P247" s="86"/>
      <c r="Q247" s="86"/>
      <c r="R247" s="86"/>
      <c r="S247" s="86"/>
      <c r="T247" s="86"/>
      <c r="U247" s="86"/>
      <c r="V247" s="86"/>
      <c r="W247" s="86"/>
      <c r="X247" s="86"/>
      <c r="Y247" s="86"/>
      <c r="Z247" s="86"/>
      <c r="AA247" s="86"/>
      <c r="AB247" s="86"/>
      <c r="AC247" s="86"/>
      <c r="AD247" s="86"/>
      <c r="AE247" s="86"/>
      <c r="AF247" s="86"/>
      <c r="AG247" s="86"/>
      <c r="AH247" s="86"/>
      <c r="AI247" s="86"/>
      <c r="AJ247" s="86"/>
      <c r="AK247" s="86"/>
      <c r="AL247" s="86"/>
      <c r="AM247" s="86"/>
      <c r="AN247" s="86"/>
      <c r="AO247" s="87"/>
      <c r="AP247" s="88">
        <f t="shared" si="3"/>
        <v>0</v>
      </c>
    </row>
    <row r="248" spans="2:42" s="3" customFormat="1" ht="24" customHeight="1" x14ac:dyDescent="0.2">
      <c r="B248" s="80"/>
      <c r="C248" s="81"/>
      <c r="D248" s="82"/>
      <c r="E248" s="83"/>
      <c r="F248" s="84" t="str">
        <f>IFERROR(VLOOKUP($E248,設定!$C:$G,2,0),"")</f>
        <v/>
      </c>
      <c r="G248" s="84" t="str">
        <f>IFERROR(VLOOKUP($E248,設定!$C:$G,3,0),"")</f>
        <v/>
      </c>
      <c r="H248" s="84" t="str">
        <f>IFERROR(VLOOKUP($E248,設定!$C:$G,4,0),"")</f>
        <v/>
      </c>
      <c r="I248" s="84" t="str">
        <f>IFERROR(VLOOKUP($E248,設定!$C:$G,5,0),"")</f>
        <v/>
      </c>
      <c r="J248" s="117"/>
      <c r="K248" s="85"/>
      <c r="L248" s="86"/>
      <c r="M248" s="86"/>
      <c r="N248" s="86"/>
      <c r="O248" s="86"/>
      <c r="P248" s="86"/>
      <c r="Q248" s="86"/>
      <c r="R248" s="86"/>
      <c r="S248" s="86"/>
      <c r="T248" s="86"/>
      <c r="U248" s="86"/>
      <c r="V248" s="86"/>
      <c r="W248" s="86"/>
      <c r="X248" s="86"/>
      <c r="Y248" s="86"/>
      <c r="Z248" s="86"/>
      <c r="AA248" s="86"/>
      <c r="AB248" s="86"/>
      <c r="AC248" s="86"/>
      <c r="AD248" s="86"/>
      <c r="AE248" s="86"/>
      <c r="AF248" s="86"/>
      <c r="AG248" s="86"/>
      <c r="AH248" s="86"/>
      <c r="AI248" s="86"/>
      <c r="AJ248" s="86"/>
      <c r="AK248" s="86"/>
      <c r="AL248" s="86"/>
      <c r="AM248" s="86"/>
      <c r="AN248" s="86"/>
      <c r="AO248" s="87"/>
      <c r="AP248" s="88">
        <f t="shared" si="3"/>
        <v>0</v>
      </c>
    </row>
    <row r="249" spans="2:42" s="3" customFormat="1" ht="24" customHeight="1" x14ac:dyDescent="0.2">
      <c r="B249" s="80"/>
      <c r="C249" s="81"/>
      <c r="D249" s="82"/>
      <c r="E249" s="83"/>
      <c r="F249" s="84" t="str">
        <f>IFERROR(VLOOKUP($E249,設定!$C:$G,2,0),"")</f>
        <v/>
      </c>
      <c r="G249" s="84" t="str">
        <f>IFERROR(VLOOKUP($E249,設定!$C:$G,3,0),"")</f>
        <v/>
      </c>
      <c r="H249" s="84" t="str">
        <f>IFERROR(VLOOKUP($E249,設定!$C:$G,4,0),"")</f>
        <v/>
      </c>
      <c r="I249" s="84" t="str">
        <f>IFERROR(VLOOKUP($E249,設定!$C:$G,5,0),"")</f>
        <v/>
      </c>
      <c r="J249" s="117"/>
      <c r="K249" s="85"/>
      <c r="L249" s="86"/>
      <c r="M249" s="86"/>
      <c r="N249" s="86"/>
      <c r="O249" s="86"/>
      <c r="P249" s="86"/>
      <c r="Q249" s="86"/>
      <c r="R249" s="86"/>
      <c r="S249" s="86"/>
      <c r="T249" s="86"/>
      <c r="U249" s="86"/>
      <c r="V249" s="86"/>
      <c r="W249" s="86"/>
      <c r="X249" s="86"/>
      <c r="Y249" s="86"/>
      <c r="Z249" s="86"/>
      <c r="AA249" s="86"/>
      <c r="AB249" s="86"/>
      <c r="AC249" s="86"/>
      <c r="AD249" s="86"/>
      <c r="AE249" s="86"/>
      <c r="AF249" s="86"/>
      <c r="AG249" s="86"/>
      <c r="AH249" s="86"/>
      <c r="AI249" s="86"/>
      <c r="AJ249" s="86"/>
      <c r="AK249" s="86"/>
      <c r="AL249" s="86"/>
      <c r="AM249" s="86"/>
      <c r="AN249" s="86"/>
      <c r="AO249" s="87"/>
      <c r="AP249" s="88">
        <f t="shared" si="3"/>
        <v>0</v>
      </c>
    </row>
    <row r="250" spans="2:42" s="3" customFormat="1" ht="24" customHeight="1" x14ac:dyDescent="0.2">
      <c r="B250" s="80"/>
      <c r="C250" s="81"/>
      <c r="D250" s="82"/>
      <c r="E250" s="83"/>
      <c r="F250" s="84" t="str">
        <f>IFERROR(VLOOKUP($E250,設定!$C:$G,2,0),"")</f>
        <v/>
      </c>
      <c r="G250" s="84" t="str">
        <f>IFERROR(VLOOKUP($E250,設定!$C:$G,3,0),"")</f>
        <v/>
      </c>
      <c r="H250" s="84" t="str">
        <f>IFERROR(VLOOKUP($E250,設定!$C:$G,4,0),"")</f>
        <v/>
      </c>
      <c r="I250" s="84" t="str">
        <f>IFERROR(VLOOKUP($E250,設定!$C:$G,5,0),"")</f>
        <v/>
      </c>
      <c r="J250" s="117"/>
      <c r="K250" s="85"/>
      <c r="L250" s="86"/>
      <c r="M250" s="86"/>
      <c r="N250" s="86"/>
      <c r="O250" s="86"/>
      <c r="P250" s="86"/>
      <c r="Q250" s="86"/>
      <c r="R250" s="86"/>
      <c r="S250" s="86"/>
      <c r="T250" s="86"/>
      <c r="U250" s="86"/>
      <c r="V250" s="86"/>
      <c r="W250" s="86"/>
      <c r="X250" s="86"/>
      <c r="Y250" s="86"/>
      <c r="Z250" s="86"/>
      <c r="AA250" s="86"/>
      <c r="AB250" s="86"/>
      <c r="AC250" s="86"/>
      <c r="AD250" s="86"/>
      <c r="AE250" s="86"/>
      <c r="AF250" s="86"/>
      <c r="AG250" s="86"/>
      <c r="AH250" s="86"/>
      <c r="AI250" s="86"/>
      <c r="AJ250" s="86"/>
      <c r="AK250" s="86"/>
      <c r="AL250" s="86"/>
      <c r="AM250" s="86"/>
      <c r="AN250" s="86"/>
      <c r="AO250" s="87"/>
      <c r="AP250" s="88">
        <f t="shared" si="3"/>
        <v>0</v>
      </c>
    </row>
    <row r="251" spans="2:42" s="3" customFormat="1" ht="24" customHeight="1" x14ac:dyDescent="0.2">
      <c r="B251" s="80"/>
      <c r="C251" s="81"/>
      <c r="D251" s="82"/>
      <c r="E251" s="83"/>
      <c r="F251" s="84" t="str">
        <f>IFERROR(VLOOKUP($E251,設定!$C:$G,2,0),"")</f>
        <v/>
      </c>
      <c r="G251" s="84" t="str">
        <f>IFERROR(VLOOKUP($E251,設定!$C:$G,3,0),"")</f>
        <v/>
      </c>
      <c r="H251" s="84" t="str">
        <f>IFERROR(VLOOKUP($E251,設定!$C:$G,4,0),"")</f>
        <v/>
      </c>
      <c r="I251" s="84" t="str">
        <f>IFERROR(VLOOKUP($E251,設定!$C:$G,5,0),"")</f>
        <v/>
      </c>
      <c r="J251" s="117"/>
      <c r="K251" s="85"/>
      <c r="L251" s="86"/>
      <c r="M251" s="86"/>
      <c r="N251" s="86"/>
      <c r="O251" s="86"/>
      <c r="P251" s="86"/>
      <c r="Q251" s="86"/>
      <c r="R251" s="86"/>
      <c r="S251" s="86"/>
      <c r="T251" s="86"/>
      <c r="U251" s="86"/>
      <c r="V251" s="86"/>
      <c r="W251" s="86"/>
      <c r="X251" s="86"/>
      <c r="Y251" s="86"/>
      <c r="Z251" s="86"/>
      <c r="AA251" s="86"/>
      <c r="AB251" s="86"/>
      <c r="AC251" s="86"/>
      <c r="AD251" s="86"/>
      <c r="AE251" s="86"/>
      <c r="AF251" s="86"/>
      <c r="AG251" s="86"/>
      <c r="AH251" s="86"/>
      <c r="AI251" s="86"/>
      <c r="AJ251" s="86"/>
      <c r="AK251" s="86"/>
      <c r="AL251" s="86"/>
      <c r="AM251" s="86"/>
      <c r="AN251" s="86"/>
      <c r="AO251" s="87"/>
      <c r="AP251" s="88">
        <f t="shared" si="3"/>
        <v>0</v>
      </c>
    </row>
    <row r="252" spans="2:42" s="3" customFormat="1" ht="24" customHeight="1" x14ac:dyDescent="0.2">
      <c r="B252" s="80"/>
      <c r="C252" s="81"/>
      <c r="D252" s="82"/>
      <c r="E252" s="83"/>
      <c r="F252" s="84" t="str">
        <f>IFERROR(VLOOKUP($E252,設定!$C:$G,2,0),"")</f>
        <v/>
      </c>
      <c r="G252" s="84" t="str">
        <f>IFERROR(VLOOKUP($E252,設定!$C:$G,3,0),"")</f>
        <v/>
      </c>
      <c r="H252" s="84" t="str">
        <f>IFERROR(VLOOKUP($E252,設定!$C:$G,4,0),"")</f>
        <v/>
      </c>
      <c r="I252" s="84" t="str">
        <f>IFERROR(VLOOKUP($E252,設定!$C:$G,5,0),"")</f>
        <v/>
      </c>
      <c r="J252" s="117"/>
      <c r="K252" s="85"/>
      <c r="L252" s="86"/>
      <c r="M252" s="86"/>
      <c r="N252" s="86"/>
      <c r="O252" s="86"/>
      <c r="P252" s="86"/>
      <c r="Q252" s="86"/>
      <c r="R252" s="86"/>
      <c r="S252" s="86"/>
      <c r="T252" s="86"/>
      <c r="U252" s="86"/>
      <c r="V252" s="86"/>
      <c r="W252" s="86"/>
      <c r="X252" s="86"/>
      <c r="Y252" s="86"/>
      <c r="Z252" s="86"/>
      <c r="AA252" s="86"/>
      <c r="AB252" s="86"/>
      <c r="AC252" s="86"/>
      <c r="AD252" s="86"/>
      <c r="AE252" s="86"/>
      <c r="AF252" s="86"/>
      <c r="AG252" s="86"/>
      <c r="AH252" s="86"/>
      <c r="AI252" s="86"/>
      <c r="AJ252" s="86"/>
      <c r="AK252" s="86"/>
      <c r="AL252" s="86"/>
      <c r="AM252" s="86"/>
      <c r="AN252" s="86"/>
      <c r="AO252" s="87"/>
      <c r="AP252" s="88">
        <f t="shared" si="3"/>
        <v>0</v>
      </c>
    </row>
    <row r="253" spans="2:42" s="3" customFormat="1" ht="24" customHeight="1" x14ac:dyDescent="0.2">
      <c r="B253" s="80"/>
      <c r="C253" s="81"/>
      <c r="D253" s="82"/>
      <c r="E253" s="83"/>
      <c r="F253" s="84" t="str">
        <f>IFERROR(VLOOKUP($E253,設定!$C:$G,2,0),"")</f>
        <v/>
      </c>
      <c r="G253" s="84" t="str">
        <f>IFERROR(VLOOKUP($E253,設定!$C:$G,3,0),"")</f>
        <v/>
      </c>
      <c r="H253" s="84" t="str">
        <f>IFERROR(VLOOKUP($E253,設定!$C:$G,4,0),"")</f>
        <v/>
      </c>
      <c r="I253" s="84" t="str">
        <f>IFERROR(VLOOKUP($E253,設定!$C:$G,5,0),"")</f>
        <v/>
      </c>
      <c r="J253" s="117"/>
      <c r="K253" s="85"/>
      <c r="L253" s="86"/>
      <c r="M253" s="86"/>
      <c r="N253" s="86"/>
      <c r="O253" s="86"/>
      <c r="P253" s="86"/>
      <c r="Q253" s="86"/>
      <c r="R253" s="86"/>
      <c r="S253" s="86"/>
      <c r="T253" s="86"/>
      <c r="U253" s="86"/>
      <c r="V253" s="86"/>
      <c r="W253" s="86"/>
      <c r="X253" s="86"/>
      <c r="Y253" s="86"/>
      <c r="Z253" s="86"/>
      <c r="AA253" s="86"/>
      <c r="AB253" s="86"/>
      <c r="AC253" s="86"/>
      <c r="AD253" s="86"/>
      <c r="AE253" s="86"/>
      <c r="AF253" s="86"/>
      <c r="AG253" s="86"/>
      <c r="AH253" s="86"/>
      <c r="AI253" s="86"/>
      <c r="AJ253" s="86"/>
      <c r="AK253" s="86"/>
      <c r="AL253" s="86"/>
      <c r="AM253" s="86"/>
      <c r="AN253" s="86"/>
      <c r="AO253" s="87"/>
      <c r="AP253" s="88">
        <f t="shared" si="3"/>
        <v>0</v>
      </c>
    </row>
    <row r="254" spans="2:42" s="3" customFormat="1" ht="24" customHeight="1" x14ac:dyDescent="0.2">
      <c r="B254" s="80"/>
      <c r="C254" s="81"/>
      <c r="D254" s="82"/>
      <c r="E254" s="83"/>
      <c r="F254" s="84" t="str">
        <f>IFERROR(VLOOKUP($E254,設定!$C:$G,2,0),"")</f>
        <v/>
      </c>
      <c r="G254" s="84" t="str">
        <f>IFERROR(VLOOKUP($E254,設定!$C:$G,3,0),"")</f>
        <v/>
      </c>
      <c r="H254" s="84" t="str">
        <f>IFERROR(VLOOKUP($E254,設定!$C:$G,4,0),"")</f>
        <v/>
      </c>
      <c r="I254" s="84" t="str">
        <f>IFERROR(VLOOKUP($E254,設定!$C:$G,5,0),"")</f>
        <v/>
      </c>
      <c r="J254" s="117"/>
      <c r="K254" s="85"/>
      <c r="L254" s="86"/>
      <c r="M254" s="86"/>
      <c r="N254" s="86"/>
      <c r="O254" s="86"/>
      <c r="P254" s="86"/>
      <c r="Q254" s="86"/>
      <c r="R254" s="86"/>
      <c r="S254" s="86"/>
      <c r="T254" s="86"/>
      <c r="U254" s="86"/>
      <c r="V254" s="86"/>
      <c r="W254" s="86"/>
      <c r="X254" s="86"/>
      <c r="Y254" s="86"/>
      <c r="Z254" s="86"/>
      <c r="AA254" s="86"/>
      <c r="AB254" s="86"/>
      <c r="AC254" s="86"/>
      <c r="AD254" s="86"/>
      <c r="AE254" s="86"/>
      <c r="AF254" s="86"/>
      <c r="AG254" s="86"/>
      <c r="AH254" s="86"/>
      <c r="AI254" s="86"/>
      <c r="AJ254" s="86"/>
      <c r="AK254" s="86"/>
      <c r="AL254" s="86"/>
      <c r="AM254" s="86"/>
      <c r="AN254" s="86"/>
      <c r="AO254" s="87"/>
      <c r="AP254" s="88">
        <f t="shared" si="3"/>
        <v>0</v>
      </c>
    </row>
    <row r="255" spans="2:42" s="3" customFormat="1" ht="24" customHeight="1" x14ac:dyDescent="0.2">
      <c r="B255" s="80"/>
      <c r="C255" s="81"/>
      <c r="D255" s="82"/>
      <c r="E255" s="83"/>
      <c r="F255" s="84" t="str">
        <f>IFERROR(VLOOKUP($E255,設定!$C:$G,2,0),"")</f>
        <v/>
      </c>
      <c r="G255" s="84" t="str">
        <f>IFERROR(VLOOKUP($E255,設定!$C:$G,3,0),"")</f>
        <v/>
      </c>
      <c r="H255" s="84" t="str">
        <f>IFERROR(VLOOKUP($E255,設定!$C:$G,4,0),"")</f>
        <v/>
      </c>
      <c r="I255" s="84" t="str">
        <f>IFERROR(VLOOKUP($E255,設定!$C:$G,5,0),"")</f>
        <v/>
      </c>
      <c r="J255" s="117"/>
      <c r="K255" s="85"/>
      <c r="L255" s="86"/>
      <c r="M255" s="86"/>
      <c r="N255" s="86"/>
      <c r="O255" s="86"/>
      <c r="P255" s="86"/>
      <c r="Q255" s="86"/>
      <c r="R255" s="86"/>
      <c r="S255" s="86"/>
      <c r="T255" s="86"/>
      <c r="U255" s="86"/>
      <c r="V255" s="86"/>
      <c r="W255" s="86"/>
      <c r="X255" s="86"/>
      <c r="Y255" s="86"/>
      <c r="Z255" s="86"/>
      <c r="AA255" s="86"/>
      <c r="AB255" s="86"/>
      <c r="AC255" s="86"/>
      <c r="AD255" s="86"/>
      <c r="AE255" s="86"/>
      <c r="AF255" s="86"/>
      <c r="AG255" s="86"/>
      <c r="AH255" s="86"/>
      <c r="AI255" s="86"/>
      <c r="AJ255" s="86"/>
      <c r="AK255" s="86"/>
      <c r="AL255" s="86"/>
      <c r="AM255" s="86"/>
      <c r="AN255" s="86"/>
      <c r="AO255" s="87"/>
      <c r="AP255" s="88">
        <f t="shared" si="3"/>
        <v>0</v>
      </c>
    </row>
    <row r="256" spans="2:42" s="3" customFormat="1" ht="24" customHeight="1" x14ac:dyDescent="0.2">
      <c r="B256" s="80"/>
      <c r="C256" s="81"/>
      <c r="D256" s="82"/>
      <c r="E256" s="83"/>
      <c r="F256" s="84" t="str">
        <f>IFERROR(VLOOKUP($E256,設定!$C:$G,2,0),"")</f>
        <v/>
      </c>
      <c r="G256" s="84" t="str">
        <f>IFERROR(VLOOKUP($E256,設定!$C:$G,3,0),"")</f>
        <v/>
      </c>
      <c r="H256" s="84" t="str">
        <f>IFERROR(VLOOKUP($E256,設定!$C:$G,4,0),"")</f>
        <v/>
      </c>
      <c r="I256" s="84" t="str">
        <f>IFERROR(VLOOKUP($E256,設定!$C:$G,5,0),"")</f>
        <v/>
      </c>
      <c r="J256" s="117"/>
      <c r="K256" s="85"/>
      <c r="L256" s="86"/>
      <c r="M256" s="86"/>
      <c r="N256" s="86"/>
      <c r="O256" s="86"/>
      <c r="P256" s="86"/>
      <c r="Q256" s="86"/>
      <c r="R256" s="86"/>
      <c r="S256" s="86"/>
      <c r="T256" s="86"/>
      <c r="U256" s="86"/>
      <c r="V256" s="86"/>
      <c r="W256" s="86"/>
      <c r="X256" s="86"/>
      <c r="Y256" s="86"/>
      <c r="Z256" s="86"/>
      <c r="AA256" s="86"/>
      <c r="AB256" s="86"/>
      <c r="AC256" s="86"/>
      <c r="AD256" s="86"/>
      <c r="AE256" s="86"/>
      <c r="AF256" s="86"/>
      <c r="AG256" s="86"/>
      <c r="AH256" s="86"/>
      <c r="AI256" s="86"/>
      <c r="AJ256" s="86"/>
      <c r="AK256" s="86"/>
      <c r="AL256" s="86"/>
      <c r="AM256" s="86"/>
      <c r="AN256" s="86"/>
      <c r="AO256" s="87"/>
      <c r="AP256" s="88">
        <f t="shared" si="3"/>
        <v>0</v>
      </c>
    </row>
    <row r="257" spans="2:42" s="3" customFormat="1" ht="24" customHeight="1" x14ac:dyDescent="0.2">
      <c r="B257" s="80"/>
      <c r="C257" s="81"/>
      <c r="D257" s="82"/>
      <c r="E257" s="83"/>
      <c r="F257" s="84" t="str">
        <f>IFERROR(VLOOKUP($E257,設定!$C:$G,2,0),"")</f>
        <v/>
      </c>
      <c r="G257" s="84" t="str">
        <f>IFERROR(VLOOKUP($E257,設定!$C:$G,3,0),"")</f>
        <v/>
      </c>
      <c r="H257" s="84" t="str">
        <f>IFERROR(VLOOKUP($E257,設定!$C:$G,4,0),"")</f>
        <v/>
      </c>
      <c r="I257" s="84" t="str">
        <f>IFERROR(VLOOKUP($E257,設定!$C:$G,5,0),"")</f>
        <v/>
      </c>
      <c r="J257" s="117"/>
      <c r="K257" s="85"/>
      <c r="L257" s="86"/>
      <c r="M257" s="86"/>
      <c r="N257" s="86"/>
      <c r="O257" s="86"/>
      <c r="P257" s="86"/>
      <c r="Q257" s="86"/>
      <c r="R257" s="86"/>
      <c r="S257" s="86"/>
      <c r="T257" s="86"/>
      <c r="U257" s="86"/>
      <c r="V257" s="86"/>
      <c r="W257" s="86"/>
      <c r="X257" s="86"/>
      <c r="Y257" s="86"/>
      <c r="Z257" s="86"/>
      <c r="AA257" s="86"/>
      <c r="AB257" s="86"/>
      <c r="AC257" s="86"/>
      <c r="AD257" s="86"/>
      <c r="AE257" s="86"/>
      <c r="AF257" s="86"/>
      <c r="AG257" s="86"/>
      <c r="AH257" s="86"/>
      <c r="AI257" s="86"/>
      <c r="AJ257" s="86"/>
      <c r="AK257" s="86"/>
      <c r="AL257" s="86"/>
      <c r="AM257" s="86"/>
      <c r="AN257" s="86"/>
      <c r="AO257" s="87"/>
      <c r="AP257" s="88">
        <f t="shared" si="3"/>
        <v>0</v>
      </c>
    </row>
    <row r="258" spans="2:42" s="3" customFormat="1" ht="24" customHeight="1" x14ac:dyDescent="0.2">
      <c r="B258" s="80"/>
      <c r="C258" s="81"/>
      <c r="D258" s="82"/>
      <c r="E258" s="83"/>
      <c r="F258" s="84" t="str">
        <f>IFERROR(VLOOKUP($E258,設定!$C:$G,2,0),"")</f>
        <v/>
      </c>
      <c r="G258" s="84" t="str">
        <f>IFERROR(VLOOKUP($E258,設定!$C:$G,3,0),"")</f>
        <v/>
      </c>
      <c r="H258" s="84" t="str">
        <f>IFERROR(VLOOKUP($E258,設定!$C:$G,4,0),"")</f>
        <v/>
      </c>
      <c r="I258" s="84" t="str">
        <f>IFERROR(VLOOKUP($E258,設定!$C:$G,5,0),"")</f>
        <v/>
      </c>
      <c r="J258" s="117"/>
      <c r="K258" s="85"/>
      <c r="L258" s="86"/>
      <c r="M258" s="86"/>
      <c r="N258" s="86"/>
      <c r="O258" s="86"/>
      <c r="P258" s="86"/>
      <c r="Q258" s="86"/>
      <c r="R258" s="86"/>
      <c r="S258" s="86"/>
      <c r="T258" s="86"/>
      <c r="U258" s="86"/>
      <c r="V258" s="86"/>
      <c r="W258" s="86"/>
      <c r="X258" s="86"/>
      <c r="Y258" s="86"/>
      <c r="Z258" s="86"/>
      <c r="AA258" s="86"/>
      <c r="AB258" s="86"/>
      <c r="AC258" s="86"/>
      <c r="AD258" s="86"/>
      <c r="AE258" s="86"/>
      <c r="AF258" s="86"/>
      <c r="AG258" s="86"/>
      <c r="AH258" s="86"/>
      <c r="AI258" s="86"/>
      <c r="AJ258" s="86"/>
      <c r="AK258" s="86"/>
      <c r="AL258" s="86"/>
      <c r="AM258" s="86"/>
      <c r="AN258" s="86"/>
      <c r="AO258" s="87"/>
      <c r="AP258" s="88">
        <f t="shared" si="3"/>
        <v>0</v>
      </c>
    </row>
    <row r="259" spans="2:42" s="3" customFormat="1" ht="24" customHeight="1" x14ac:dyDescent="0.2">
      <c r="B259" s="80"/>
      <c r="C259" s="81"/>
      <c r="D259" s="82"/>
      <c r="E259" s="83"/>
      <c r="F259" s="84" t="str">
        <f>IFERROR(VLOOKUP($E259,設定!$C:$G,2,0),"")</f>
        <v/>
      </c>
      <c r="G259" s="84" t="str">
        <f>IFERROR(VLOOKUP($E259,設定!$C:$G,3,0),"")</f>
        <v/>
      </c>
      <c r="H259" s="84" t="str">
        <f>IFERROR(VLOOKUP($E259,設定!$C:$G,4,0),"")</f>
        <v/>
      </c>
      <c r="I259" s="84" t="str">
        <f>IFERROR(VLOOKUP($E259,設定!$C:$G,5,0),"")</f>
        <v/>
      </c>
      <c r="J259" s="117"/>
      <c r="K259" s="85"/>
      <c r="L259" s="86"/>
      <c r="M259" s="86"/>
      <c r="N259" s="86"/>
      <c r="O259" s="86"/>
      <c r="P259" s="86"/>
      <c r="Q259" s="86"/>
      <c r="R259" s="86"/>
      <c r="S259" s="86"/>
      <c r="T259" s="86"/>
      <c r="U259" s="86"/>
      <c r="V259" s="86"/>
      <c r="W259" s="86"/>
      <c r="X259" s="86"/>
      <c r="Y259" s="86"/>
      <c r="Z259" s="86"/>
      <c r="AA259" s="86"/>
      <c r="AB259" s="86"/>
      <c r="AC259" s="86"/>
      <c r="AD259" s="86"/>
      <c r="AE259" s="86"/>
      <c r="AF259" s="86"/>
      <c r="AG259" s="86"/>
      <c r="AH259" s="86"/>
      <c r="AI259" s="86"/>
      <c r="AJ259" s="86"/>
      <c r="AK259" s="86"/>
      <c r="AL259" s="86"/>
      <c r="AM259" s="86"/>
      <c r="AN259" s="86"/>
      <c r="AO259" s="87"/>
      <c r="AP259" s="88">
        <f t="shared" si="3"/>
        <v>0</v>
      </c>
    </row>
    <row r="260" spans="2:42" s="3" customFormat="1" ht="24" customHeight="1" x14ac:dyDescent="0.2">
      <c r="B260" s="80"/>
      <c r="C260" s="81"/>
      <c r="D260" s="82"/>
      <c r="E260" s="83"/>
      <c r="F260" s="84" t="str">
        <f>IFERROR(VLOOKUP($E260,設定!$C:$G,2,0),"")</f>
        <v/>
      </c>
      <c r="G260" s="84" t="str">
        <f>IFERROR(VLOOKUP($E260,設定!$C:$G,3,0),"")</f>
        <v/>
      </c>
      <c r="H260" s="84" t="str">
        <f>IFERROR(VLOOKUP($E260,設定!$C:$G,4,0),"")</f>
        <v/>
      </c>
      <c r="I260" s="84" t="str">
        <f>IFERROR(VLOOKUP($E260,設定!$C:$G,5,0),"")</f>
        <v/>
      </c>
      <c r="J260" s="117"/>
      <c r="K260" s="85"/>
      <c r="L260" s="86"/>
      <c r="M260" s="86"/>
      <c r="N260" s="86"/>
      <c r="O260" s="86"/>
      <c r="P260" s="86"/>
      <c r="Q260" s="86"/>
      <c r="R260" s="86"/>
      <c r="S260" s="86"/>
      <c r="T260" s="86"/>
      <c r="U260" s="86"/>
      <c r="V260" s="86"/>
      <c r="W260" s="86"/>
      <c r="X260" s="86"/>
      <c r="Y260" s="86"/>
      <c r="Z260" s="86"/>
      <c r="AA260" s="86"/>
      <c r="AB260" s="86"/>
      <c r="AC260" s="86"/>
      <c r="AD260" s="86"/>
      <c r="AE260" s="86"/>
      <c r="AF260" s="86"/>
      <c r="AG260" s="86"/>
      <c r="AH260" s="86"/>
      <c r="AI260" s="86"/>
      <c r="AJ260" s="86"/>
      <c r="AK260" s="86"/>
      <c r="AL260" s="86"/>
      <c r="AM260" s="86"/>
      <c r="AN260" s="86"/>
      <c r="AO260" s="87"/>
      <c r="AP260" s="88">
        <f t="shared" si="3"/>
        <v>0</v>
      </c>
    </row>
    <row r="261" spans="2:42" s="3" customFormat="1" ht="24" customHeight="1" x14ac:dyDescent="0.2">
      <c r="B261" s="80"/>
      <c r="C261" s="81"/>
      <c r="D261" s="82"/>
      <c r="E261" s="83"/>
      <c r="F261" s="84" t="str">
        <f>IFERROR(VLOOKUP($E261,設定!$C:$G,2,0),"")</f>
        <v/>
      </c>
      <c r="G261" s="84" t="str">
        <f>IFERROR(VLOOKUP($E261,設定!$C:$G,3,0),"")</f>
        <v/>
      </c>
      <c r="H261" s="84" t="str">
        <f>IFERROR(VLOOKUP($E261,設定!$C:$G,4,0),"")</f>
        <v/>
      </c>
      <c r="I261" s="84" t="str">
        <f>IFERROR(VLOOKUP($E261,設定!$C:$G,5,0),"")</f>
        <v/>
      </c>
      <c r="J261" s="117"/>
      <c r="K261" s="85"/>
      <c r="L261" s="86"/>
      <c r="M261" s="86"/>
      <c r="N261" s="86"/>
      <c r="O261" s="86"/>
      <c r="P261" s="86"/>
      <c r="Q261" s="86"/>
      <c r="R261" s="86"/>
      <c r="S261" s="86"/>
      <c r="T261" s="86"/>
      <c r="U261" s="86"/>
      <c r="V261" s="86"/>
      <c r="W261" s="86"/>
      <c r="X261" s="86"/>
      <c r="Y261" s="86"/>
      <c r="Z261" s="86"/>
      <c r="AA261" s="86"/>
      <c r="AB261" s="86"/>
      <c r="AC261" s="86"/>
      <c r="AD261" s="86"/>
      <c r="AE261" s="86"/>
      <c r="AF261" s="86"/>
      <c r="AG261" s="86"/>
      <c r="AH261" s="86"/>
      <c r="AI261" s="86"/>
      <c r="AJ261" s="86"/>
      <c r="AK261" s="86"/>
      <c r="AL261" s="86"/>
      <c r="AM261" s="86"/>
      <c r="AN261" s="86"/>
      <c r="AO261" s="87"/>
      <c r="AP261" s="88">
        <f t="shared" si="3"/>
        <v>0</v>
      </c>
    </row>
    <row r="262" spans="2:42" s="3" customFormat="1" ht="24" customHeight="1" x14ac:dyDescent="0.2">
      <c r="B262" s="80"/>
      <c r="C262" s="81"/>
      <c r="D262" s="82"/>
      <c r="E262" s="83"/>
      <c r="F262" s="84" t="str">
        <f>IFERROR(VLOOKUP($E262,設定!$C:$G,2,0),"")</f>
        <v/>
      </c>
      <c r="G262" s="84" t="str">
        <f>IFERROR(VLOOKUP($E262,設定!$C:$G,3,0),"")</f>
        <v/>
      </c>
      <c r="H262" s="84" t="str">
        <f>IFERROR(VLOOKUP($E262,設定!$C:$G,4,0),"")</f>
        <v/>
      </c>
      <c r="I262" s="84" t="str">
        <f>IFERROR(VLOOKUP($E262,設定!$C:$G,5,0),"")</f>
        <v/>
      </c>
      <c r="J262" s="117"/>
      <c r="K262" s="85"/>
      <c r="L262" s="86"/>
      <c r="M262" s="86"/>
      <c r="N262" s="86"/>
      <c r="O262" s="86"/>
      <c r="P262" s="86"/>
      <c r="Q262" s="86"/>
      <c r="R262" s="86"/>
      <c r="S262" s="86"/>
      <c r="T262" s="86"/>
      <c r="U262" s="86"/>
      <c r="V262" s="86"/>
      <c r="W262" s="86"/>
      <c r="X262" s="86"/>
      <c r="Y262" s="86"/>
      <c r="Z262" s="86"/>
      <c r="AA262" s="86"/>
      <c r="AB262" s="86"/>
      <c r="AC262" s="86"/>
      <c r="AD262" s="86"/>
      <c r="AE262" s="86"/>
      <c r="AF262" s="86"/>
      <c r="AG262" s="86"/>
      <c r="AH262" s="86"/>
      <c r="AI262" s="86"/>
      <c r="AJ262" s="86"/>
      <c r="AK262" s="86"/>
      <c r="AL262" s="86"/>
      <c r="AM262" s="86"/>
      <c r="AN262" s="86"/>
      <c r="AO262" s="87"/>
      <c r="AP262" s="88">
        <f t="shared" si="3"/>
        <v>0</v>
      </c>
    </row>
    <row r="263" spans="2:42" s="3" customFormat="1" ht="24" customHeight="1" x14ac:dyDescent="0.2">
      <c r="B263" s="80"/>
      <c r="C263" s="81"/>
      <c r="D263" s="82"/>
      <c r="E263" s="83"/>
      <c r="F263" s="84" t="str">
        <f>IFERROR(VLOOKUP($E263,設定!$C:$G,2,0),"")</f>
        <v/>
      </c>
      <c r="G263" s="84" t="str">
        <f>IFERROR(VLOOKUP($E263,設定!$C:$G,3,0),"")</f>
        <v/>
      </c>
      <c r="H263" s="84" t="str">
        <f>IFERROR(VLOOKUP($E263,設定!$C:$G,4,0),"")</f>
        <v/>
      </c>
      <c r="I263" s="84" t="str">
        <f>IFERROR(VLOOKUP($E263,設定!$C:$G,5,0),"")</f>
        <v/>
      </c>
      <c r="J263" s="117"/>
      <c r="K263" s="85"/>
      <c r="L263" s="86"/>
      <c r="M263" s="86"/>
      <c r="N263" s="86"/>
      <c r="O263" s="86"/>
      <c r="P263" s="86"/>
      <c r="Q263" s="86"/>
      <c r="R263" s="86"/>
      <c r="S263" s="86"/>
      <c r="T263" s="86"/>
      <c r="U263" s="86"/>
      <c r="V263" s="86"/>
      <c r="W263" s="86"/>
      <c r="X263" s="86"/>
      <c r="Y263" s="86"/>
      <c r="Z263" s="86"/>
      <c r="AA263" s="86"/>
      <c r="AB263" s="86"/>
      <c r="AC263" s="86"/>
      <c r="AD263" s="86"/>
      <c r="AE263" s="86"/>
      <c r="AF263" s="86"/>
      <c r="AG263" s="86"/>
      <c r="AH263" s="86"/>
      <c r="AI263" s="86"/>
      <c r="AJ263" s="86"/>
      <c r="AK263" s="86"/>
      <c r="AL263" s="86"/>
      <c r="AM263" s="86"/>
      <c r="AN263" s="86"/>
      <c r="AO263" s="87"/>
      <c r="AP263" s="88">
        <f t="shared" si="3"/>
        <v>0</v>
      </c>
    </row>
    <row r="264" spans="2:42" s="3" customFormat="1" ht="24" customHeight="1" x14ac:dyDescent="0.2">
      <c r="B264" s="80"/>
      <c r="C264" s="81"/>
      <c r="D264" s="82"/>
      <c r="E264" s="83"/>
      <c r="F264" s="84" t="str">
        <f>IFERROR(VLOOKUP($E264,設定!$C:$G,2,0),"")</f>
        <v/>
      </c>
      <c r="G264" s="84" t="str">
        <f>IFERROR(VLOOKUP($E264,設定!$C:$G,3,0),"")</f>
        <v/>
      </c>
      <c r="H264" s="84" t="str">
        <f>IFERROR(VLOOKUP($E264,設定!$C:$G,4,0),"")</f>
        <v/>
      </c>
      <c r="I264" s="84" t="str">
        <f>IFERROR(VLOOKUP($E264,設定!$C:$G,5,0),"")</f>
        <v/>
      </c>
      <c r="J264" s="117"/>
      <c r="K264" s="85"/>
      <c r="L264" s="86"/>
      <c r="M264" s="86"/>
      <c r="N264" s="86"/>
      <c r="O264" s="86"/>
      <c r="P264" s="86"/>
      <c r="Q264" s="86"/>
      <c r="R264" s="86"/>
      <c r="S264" s="86"/>
      <c r="T264" s="86"/>
      <c r="U264" s="86"/>
      <c r="V264" s="86"/>
      <c r="W264" s="86"/>
      <c r="X264" s="86"/>
      <c r="Y264" s="86"/>
      <c r="Z264" s="86"/>
      <c r="AA264" s="86"/>
      <c r="AB264" s="86"/>
      <c r="AC264" s="86"/>
      <c r="AD264" s="86"/>
      <c r="AE264" s="86"/>
      <c r="AF264" s="86"/>
      <c r="AG264" s="86"/>
      <c r="AH264" s="86"/>
      <c r="AI264" s="86"/>
      <c r="AJ264" s="86"/>
      <c r="AK264" s="86"/>
      <c r="AL264" s="86"/>
      <c r="AM264" s="86"/>
      <c r="AN264" s="86"/>
      <c r="AO264" s="87"/>
      <c r="AP264" s="88">
        <f t="shared" ref="AP264:AP327" si="4">J264*SUM(K264:AO264)</f>
        <v>0</v>
      </c>
    </row>
    <row r="265" spans="2:42" s="3" customFormat="1" ht="24" customHeight="1" x14ac:dyDescent="0.2">
      <c r="B265" s="80"/>
      <c r="C265" s="81"/>
      <c r="D265" s="82"/>
      <c r="E265" s="83"/>
      <c r="F265" s="84" t="str">
        <f>IFERROR(VLOOKUP($E265,設定!$C:$G,2,0),"")</f>
        <v/>
      </c>
      <c r="G265" s="84" t="str">
        <f>IFERROR(VLOOKUP($E265,設定!$C:$G,3,0),"")</f>
        <v/>
      </c>
      <c r="H265" s="84" t="str">
        <f>IFERROR(VLOOKUP($E265,設定!$C:$G,4,0),"")</f>
        <v/>
      </c>
      <c r="I265" s="84" t="str">
        <f>IFERROR(VLOOKUP($E265,設定!$C:$G,5,0),"")</f>
        <v/>
      </c>
      <c r="J265" s="117"/>
      <c r="K265" s="85"/>
      <c r="L265" s="86"/>
      <c r="M265" s="86"/>
      <c r="N265" s="86"/>
      <c r="O265" s="86"/>
      <c r="P265" s="86"/>
      <c r="Q265" s="86"/>
      <c r="R265" s="86"/>
      <c r="S265" s="86"/>
      <c r="T265" s="86"/>
      <c r="U265" s="86"/>
      <c r="V265" s="86"/>
      <c r="W265" s="86"/>
      <c r="X265" s="86"/>
      <c r="Y265" s="86"/>
      <c r="Z265" s="86"/>
      <c r="AA265" s="86"/>
      <c r="AB265" s="86"/>
      <c r="AC265" s="86"/>
      <c r="AD265" s="86"/>
      <c r="AE265" s="86"/>
      <c r="AF265" s="86"/>
      <c r="AG265" s="86"/>
      <c r="AH265" s="86"/>
      <c r="AI265" s="86"/>
      <c r="AJ265" s="86"/>
      <c r="AK265" s="86"/>
      <c r="AL265" s="86"/>
      <c r="AM265" s="86"/>
      <c r="AN265" s="86"/>
      <c r="AO265" s="87"/>
      <c r="AP265" s="88">
        <f t="shared" si="4"/>
        <v>0</v>
      </c>
    </row>
    <row r="266" spans="2:42" s="3" customFormat="1" ht="24" customHeight="1" x14ac:dyDescent="0.2">
      <c r="B266" s="80"/>
      <c r="C266" s="81"/>
      <c r="D266" s="82"/>
      <c r="E266" s="83"/>
      <c r="F266" s="84" t="str">
        <f>IFERROR(VLOOKUP($E266,設定!$C:$G,2,0),"")</f>
        <v/>
      </c>
      <c r="G266" s="84" t="str">
        <f>IFERROR(VLOOKUP($E266,設定!$C:$G,3,0),"")</f>
        <v/>
      </c>
      <c r="H266" s="84" t="str">
        <f>IFERROR(VLOOKUP($E266,設定!$C:$G,4,0),"")</f>
        <v/>
      </c>
      <c r="I266" s="84" t="str">
        <f>IFERROR(VLOOKUP($E266,設定!$C:$G,5,0),"")</f>
        <v/>
      </c>
      <c r="J266" s="117"/>
      <c r="K266" s="85"/>
      <c r="L266" s="86"/>
      <c r="M266" s="86"/>
      <c r="N266" s="86"/>
      <c r="O266" s="86"/>
      <c r="P266" s="86"/>
      <c r="Q266" s="86"/>
      <c r="R266" s="86"/>
      <c r="S266" s="86"/>
      <c r="T266" s="86"/>
      <c r="U266" s="86"/>
      <c r="V266" s="86"/>
      <c r="W266" s="86"/>
      <c r="X266" s="86"/>
      <c r="Y266" s="86"/>
      <c r="Z266" s="86"/>
      <c r="AA266" s="86"/>
      <c r="AB266" s="86"/>
      <c r="AC266" s="86"/>
      <c r="AD266" s="86"/>
      <c r="AE266" s="86"/>
      <c r="AF266" s="86"/>
      <c r="AG266" s="86"/>
      <c r="AH266" s="86"/>
      <c r="AI266" s="86"/>
      <c r="AJ266" s="86"/>
      <c r="AK266" s="86"/>
      <c r="AL266" s="86"/>
      <c r="AM266" s="86"/>
      <c r="AN266" s="86"/>
      <c r="AO266" s="87"/>
      <c r="AP266" s="88">
        <f t="shared" si="4"/>
        <v>0</v>
      </c>
    </row>
    <row r="267" spans="2:42" s="3" customFormat="1" ht="24" customHeight="1" x14ac:dyDescent="0.2">
      <c r="B267" s="80"/>
      <c r="C267" s="81"/>
      <c r="D267" s="82"/>
      <c r="E267" s="83"/>
      <c r="F267" s="84" t="str">
        <f>IFERROR(VLOOKUP($E267,設定!$C:$G,2,0),"")</f>
        <v/>
      </c>
      <c r="G267" s="84" t="str">
        <f>IFERROR(VLOOKUP($E267,設定!$C:$G,3,0),"")</f>
        <v/>
      </c>
      <c r="H267" s="84" t="str">
        <f>IFERROR(VLOOKUP($E267,設定!$C:$G,4,0),"")</f>
        <v/>
      </c>
      <c r="I267" s="84" t="str">
        <f>IFERROR(VLOOKUP($E267,設定!$C:$G,5,0),"")</f>
        <v/>
      </c>
      <c r="J267" s="117"/>
      <c r="K267" s="85"/>
      <c r="L267" s="86"/>
      <c r="M267" s="86"/>
      <c r="N267" s="86"/>
      <c r="O267" s="86"/>
      <c r="P267" s="86"/>
      <c r="Q267" s="86"/>
      <c r="R267" s="86"/>
      <c r="S267" s="86"/>
      <c r="T267" s="86"/>
      <c r="U267" s="86"/>
      <c r="V267" s="86"/>
      <c r="W267" s="86"/>
      <c r="X267" s="86"/>
      <c r="Y267" s="86"/>
      <c r="Z267" s="86"/>
      <c r="AA267" s="86"/>
      <c r="AB267" s="86"/>
      <c r="AC267" s="86"/>
      <c r="AD267" s="86"/>
      <c r="AE267" s="86"/>
      <c r="AF267" s="86"/>
      <c r="AG267" s="86"/>
      <c r="AH267" s="86"/>
      <c r="AI267" s="86"/>
      <c r="AJ267" s="86"/>
      <c r="AK267" s="86"/>
      <c r="AL267" s="86"/>
      <c r="AM267" s="86"/>
      <c r="AN267" s="86"/>
      <c r="AO267" s="87"/>
      <c r="AP267" s="88">
        <f t="shared" si="4"/>
        <v>0</v>
      </c>
    </row>
    <row r="268" spans="2:42" s="3" customFormat="1" ht="24" customHeight="1" x14ac:dyDescent="0.2">
      <c r="B268" s="80"/>
      <c r="C268" s="81"/>
      <c r="D268" s="82"/>
      <c r="E268" s="83"/>
      <c r="F268" s="84" t="str">
        <f>IFERROR(VLOOKUP($E268,設定!$C:$G,2,0),"")</f>
        <v/>
      </c>
      <c r="G268" s="84" t="str">
        <f>IFERROR(VLOOKUP($E268,設定!$C:$G,3,0),"")</f>
        <v/>
      </c>
      <c r="H268" s="84" t="str">
        <f>IFERROR(VLOOKUP($E268,設定!$C:$G,4,0),"")</f>
        <v/>
      </c>
      <c r="I268" s="84" t="str">
        <f>IFERROR(VLOOKUP($E268,設定!$C:$G,5,0),"")</f>
        <v/>
      </c>
      <c r="J268" s="117"/>
      <c r="K268" s="85"/>
      <c r="L268" s="86"/>
      <c r="M268" s="86"/>
      <c r="N268" s="86"/>
      <c r="O268" s="86"/>
      <c r="P268" s="86"/>
      <c r="Q268" s="86"/>
      <c r="R268" s="86"/>
      <c r="S268" s="86"/>
      <c r="T268" s="86"/>
      <c r="U268" s="86"/>
      <c r="V268" s="86"/>
      <c r="W268" s="86"/>
      <c r="X268" s="86"/>
      <c r="Y268" s="86"/>
      <c r="Z268" s="86"/>
      <c r="AA268" s="86"/>
      <c r="AB268" s="86"/>
      <c r="AC268" s="86"/>
      <c r="AD268" s="86"/>
      <c r="AE268" s="86"/>
      <c r="AF268" s="86"/>
      <c r="AG268" s="86"/>
      <c r="AH268" s="86"/>
      <c r="AI268" s="86"/>
      <c r="AJ268" s="86"/>
      <c r="AK268" s="86"/>
      <c r="AL268" s="86"/>
      <c r="AM268" s="86"/>
      <c r="AN268" s="86"/>
      <c r="AO268" s="87"/>
      <c r="AP268" s="88">
        <f t="shared" si="4"/>
        <v>0</v>
      </c>
    </row>
    <row r="269" spans="2:42" s="3" customFormat="1" ht="24" customHeight="1" x14ac:dyDescent="0.2">
      <c r="B269" s="80"/>
      <c r="C269" s="81"/>
      <c r="D269" s="82"/>
      <c r="E269" s="83"/>
      <c r="F269" s="84" t="str">
        <f>IFERROR(VLOOKUP($E269,設定!$C:$G,2,0),"")</f>
        <v/>
      </c>
      <c r="G269" s="84" t="str">
        <f>IFERROR(VLOOKUP($E269,設定!$C:$G,3,0),"")</f>
        <v/>
      </c>
      <c r="H269" s="84" t="str">
        <f>IFERROR(VLOOKUP($E269,設定!$C:$G,4,0),"")</f>
        <v/>
      </c>
      <c r="I269" s="84" t="str">
        <f>IFERROR(VLOOKUP($E269,設定!$C:$G,5,0),"")</f>
        <v/>
      </c>
      <c r="J269" s="117"/>
      <c r="K269" s="85"/>
      <c r="L269" s="86"/>
      <c r="M269" s="86"/>
      <c r="N269" s="86"/>
      <c r="O269" s="86"/>
      <c r="P269" s="86"/>
      <c r="Q269" s="86"/>
      <c r="R269" s="86"/>
      <c r="S269" s="86"/>
      <c r="T269" s="86"/>
      <c r="U269" s="86"/>
      <c r="V269" s="86"/>
      <c r="W269" s="86"/>
      <c r="X269" s="86"/>
      <c r="Y269" s="86"/>
      <c r="Z269" s="86"/>
      <c r="AA269" s="86"/>
      <c r="AB269" s="86"/>
      <c r="AC269" s="86"/>
      <c r="AD269" s="86"/>
      <c r="AE269" s="86"/>
      <c r="AF269" s="86"/>
      <c r="AG269" s="86"/>
      <c r="AH269" s="86"/>
      <c r="AI269" s="86"/>
      <c r="AJ269" s="86"/>
      <c r="AK269" s="86"/>
      <c r="AL269" s="86"/>
      <c r="AM269" s="86"/>
      <c r="AN269" s="86"/>
      <c r="AO269" s="87"/>
      <c r="AP269" s="88">
        <f t="shared" si="4"/>
        <v>0</v>
      </c>
    </row>
    <row r="270" spans="2:42" s="3" customFormat="1" ht="24" customHeight="1" x14ac:dyDescent="0.2">
      <c r="B270" s="80"/>
      <c r="C270" s="81"/>
      <c r="D270" s="82"/>
      <c r="E270" s="83"/>
      <c r="F270" s="84" t="str">
        <f>IFERROR(VLOOKUP($E270,設定!$C:$G,2,0),"")</f>
        <v/>
      </c>
      <c r="G270" s="84" t="str">
        <f>IFERROR(VLOOKUP($E270,設定!$C:$G,3,0),"")</f>
        <v/>
      </c>
      <c r="H270" s="84" t="str">
        <f>IFERROR(VLOOKUP($E270,設定!$C:$G,4,0),"")</f>
        <v/>
      </c>
      <c r="I270" s="84" t="str">
        <f>IFERROR(VLOOKUP($E270,設定!$C:$G,5,0),"")</f>
        <v/>
      </c>
      <c r="J270" s="117"/>
      <c r="K270" s="85"/>
      <c r="L270" s="86"/>
      <c r="M270" s="86"/>
      <c r="N270" s="86"/>
      <c r="O270" s="86"/>
      <c r="P270" s="86"/>
      <c r="Q270" s="86"/>
      <c r="R270" s="86"/>
      <c r="S270" s="86"/>
      <c r="T270" s="86"/>
      <c r="U270" s="86"/>
      <c r="V270" s="86"/>
      <c r="W270" s="86"/>
      <c r="X270" s="86"/>
      <c r="Y270" s="86"/>
      <c r="Z270" s="86"/>
      <c r="AA270" s="86"/>
      <c r="AB270" s="86"/>
      <c r="AC270" s="86"/>
      <c r="AD270" s="86"/>
      <c r="AE270" s="86"/>
      <c r="AF270" s="86"/>
      <c r="AG270" s="86"/>
      <c r="AH270" s="86"/>
      <c r="AI270" s="86"/>
      <c r="AJ270" s="86"/>
      <c r="AK270" s="86"/>
      <c r="AL270" s="86"/>
      <c r="AM270" s="86"/>
      <c r="AN270" s="86"/>
      <c r="AO270" s="87"/>
      <c r="AP270" s="88">
        <f t="shared" si="4"/>
        <v>0</v>
      </c>
    </row>
    <row r="271" spans="2:42" s="3" customFormat="1" ht="24" customHeight="1" x14ac:dyDescent="0.2">
      <c r="B271" s="80"/>
      <c r="C271" s="81"/>
      <c r="D271" s="82"/>
      <c r="E271" s="83"/>
      <c r="F271" s="84" t="str">
        <f>IFERROR(VLOOKUP($E271,設定!$C:$G,2,0),"")</f>
        <v/>
      </c>
      <c r="G271" s="84" t="str">
        <f>IFERROR(VLOOKUP($E271,設定!$C:$G,3,0),"")</f>
        <v/>
      </c>
      <c r="H271" s="84" t="str">
        <f>IFERROR(VLOOKUP($E271,設定!$C:$G,4,0),"")</f>
        <v/>
      </c>
      <c r="I271" s="84" t="str">
        <f>IFERROR(VLOOKUP($E271,設定!$C:$G,5,0),"")</f>
        <v/>
      </c>
      <c r="J271" s="117"/>
      <c r="K271" s="85"/>
      <c r="L271" s="86"/>
      <c r="M271" s="86"/>
      <c r="N271" s="86"/>
      <c r="O271" s="86"/>
      <c r="P271" s="86"/>
      <c r="Q271" s="86"/>
      <c r="R271" s="86"/>
      <c r="S271" s="86"/>
      <c r="T271" s="86"/>
      <c r="U271" s="86"/>
      <c r="V271" s="86"/>
      <c r="W271" s="86"/>
      <c r="X271" s="86"/>
      <c r="Y271" s="86"/>
      <c r="Z271" s="86"/>
      <c r="AA271" s="86"/>
      <c r="AB271" s="86"/>
      <c r="AC271" s="86"/>
      <c r="AD271" s="86"/>
      <c r="AE271" s="86"/>
      <c r="AF271" s="86"/>
      <c r="AG271" s="86"/>
      <c r="AH271" s="86"/>
      <c r="AI271" s="86"/>
      <c r="AJ271" s="86"/>
      <c r="AK271" s="86"/>
      <c r="AL271" s="86"/>
      <c r="AM271" s="86"/>
      <c r="AN271" s="86"/>
      <c r="AO271" s="87"/>
      <c r="AP271" s="88">
        <f t="shared" si="4"/>
        <v>0</v>
      </c>
    </row>
    <row r="272" spans="2:42" s="3" customFormat="1" ht="24" customHeight="1" x14ac:dyDescent="0.2">
      <c r="B272" s="80"/>
      <c r="C272" s="81"/>
      <c r="D272" s="82"/>
      <c r="E272" s="83"/>
      <c r="F272" s="84" t="str">
        <f>IFERROR(VLOOKUP($E272,設定!$C:$G,2,0),"")</f>
        <v/>
      </c>
      <c r="G272" s="84" t="str">
        <f>IFERROR(VLOOKUP($E272,設定!$C:$G,3,0),"")</f>
        <v/>
      </c>
      <c r="H272" s="84" t="str">
        <f>IFERROR(VLOOKUP($E272,設定!$C:$G,4,0),"")</f>
        <v/>
      </c>
      <c r="I272" s="84" t="str">
        <f>IFERROR(VLOOKUP($E272,設定!$C:$G,5,0),"")</f>
        <v/>
      </c>
      <c r="J272" s="117"/>
      <c r="K272" s="85"/>
      <c r="L272" s="86"/>
      <c r="M272" s="86"/>
      <c r="N272" s="86"/>
      <c r="O272" s="86"/>
      <c r="P272" s="86"/>
      <c r="Q272" s="86"/>
      <c r="R272" s="86"/>
      <c r="S272" s="86"/>
      <c r="T272" s="86"/>
      <c r="U272" s="86"/>
      <c r="V272" s="86"/>
      <c r="W272" s="86"/>
      <c r="X272" s="86"/>
      <c r="Y272" s="86"/>
      <c r="Z272" s="86"/>
      <c r="AA272" s="86"/>
      <c r="AB272" s="86"/>
      <c r="AC272" s="86"/>
      <c r="AD272" s="86"/>
      <c r="AE272" s="86"/>
      <c r="AF272" s="86"/>
      <c r="AG272" s="86"/>
      <c r="AH272" s="86"/>
      <c r="AI272" s="86"/>
      <c r="AJ272" s="86"/>
      <c r="AK272" s="86"/>
      <c r="AL272" s="86"/>
      <c r="AM272" s="86"/>
      <c r="AN272" s="86"/>
      <c r="AO272" s="87"/>
      <c r="AP272" s="88">
        <f t="shared" si="4"/>
        <v>0</v>
      </c>
    </row>
    <row r="273" spans="2:42" s="3" customFormat="1" ht="24" customHeight="1" x14ac:dyDescent="0.2">
      <c r="B273" s="80"/>
      <c r="C273" s="81"/>
      <c r="D273" s="82"/>
      <c r="E273" s="83"/>
      <c r="F273" s="84" t="str">
        <f>IFERROR(VLOOKUP($E273,設定!$C:$G,2,0),"")</f>
        <v/>
      </c>
      <c r="G273" s="84" t="str">
        <f>IFERROR(VLOOKUP($E273,設定!$C:$G,3,0),"")</f>
        <v/>
      </c>
      <c r="H273" s="84" t="str">
        <f>IFERROR(VLOOKUP($E273,設定!$C:$G,4,0),"")</f>
        <v/>
      </c>
      <c r="I273" s="84" t="str">
        <f>IFERROR(VLOOKUP($E273,設定!$C:$G,5,0),"")</f>
        <v/>
      </c>
      <c r="J273" s="117"/>
      <c r="K273" s="85"/>
      <c r="L273" s="86"/>
      <c r="M273" s="86"/>
      <c r="N273" s="86"/>
      <c r="O273" s="86"/>
      <c r="P273" s="86"/>
      <c r="Q273" s="86"/>
      <c r="R273" s="86"/>
      <c r="S273" s="86"/>
      <c r="T273" s="86"/>
      <c r="U273" s="86"/>
      <c r="V273" s="86"/>
      <c r="W273" s="86"/>
      <c r="X273" s="86"/>
      <c r="Y273" s="86"/>
      <c r="Z273" s="86"/>
      <c r="AA273" s="86"/>
      <c r="AB273" s="86"/>
      <c r="AC273" s="86"/>
      <c r="AD273" s="86"/>
      <c r="AE273" s="86"/>
      <c r="AF273" s="86"/>
      <c r="AG273" s="86"/>
      <c r="AH273" s="86"/>
      <c r="AI273" s="86"/>
      <c r="AJ273" s="86"/>
      <c r="AK273" s="86"/>
      <c r="AL273" s="86"/>
      <c r="AM273" s="86"/>
      <c r="AN273" s="86"/>
      <c r="AO273" s="87"/>
      <c r="AP273" s="88">
        <f t="shared" si="4"/>
        <v>0</v>
      </c>
    </row>
    <row r="274" spans="2:42" s="3" customFormat="1" ht="24" customHeight="1" x14ac:dyDescent="0.2">
      <c r="B274" s="80"/>
      <c r="C274" s="81"/>
      <c r="D274" s="82"/>
      <c r="E274" s="83"/>
      <c r="F274" s="84" t="str">
        <f>IFERROR(VLOOKUP($E274,設定!$C:$G,2,0),"")</f>
        <v/>
      </c>
      <c r="G274" s="84" t="str">
        <f>IFERROR(VLOOKUP($E274,設定!$C:$G,3,0),"")</f>
        <v/>
      </c>
      <c r="H274" s="84" t="str">
        <f>IFERROR(VLOOKUP($E274,設定!$C:$G,4,0),"")</f>
        <v/>
      </c>
      <c r="I274" s="84" t="str">
        <f>IFERROR(VLOOKUP($E274,設定!$C:$G,5,0),"")</f>
        <v/>
      </c>
      <c r="J274" s="117"/>
      <c r="K274" s="85"/>
      <c r="L274" s="86"/>
      <c r="M274" s="86"/>
      <c r="N274" s="86"/>
      <c r="O274" s="86"/>
      <c r="P274" s="86"/>
      <c r="Q274" s="86"/>
      <c r="R274" s="86"/>
      <c r="S274" s="86"/>
      <c r="T274" s="86"/>
      <c r="U274" s="86"/>
      <c r="V274" s="86"/>
      <c r="W274" s="86"/>
      <c r="X274" s="86"/>
      <c r="Y274" s="86"/>
      <c r="Z274" s="86"/>
      <c r="AA274" s="86"/>
      <c r="AB274" s="86"/>
      <c r="AC274" s="86"/>
      <c r="AD274" s="86"/>
      <c r="AE274" s="86"/>
      <c r="AF274" s="86"/>
      <c r="AG274" s="86"/>
      <c r="AH274" s="86"/>
      <c r="AI274" s="86"/>
      <c r="AJ274" s="86"/>
      <c r="AK274" s="86"/>
      <c r="AL274" s="86"/>
      <c r="AM274" s="86"/>
      <c r="AN274" s="86"/>
      <c r="AO274" s="87"/>
      <c r="AP274" s="88">
        <f t="shared" si="4"/>
        <v>0</v>
      </c>
    </row>
    <row r="275" spans="2:42" s="3" customFormat="1" ht="24" customHeight="1" x14ac:dyDescent="0.2">
      <c r="B275" s="80"/>
      <c r="C275" s="81"/>
      <c r="D275" s="82"/>
      <c r="E275" s="83"/>
      <c r="F275" s="84" t="str">
        <f>IFERROR(VLOOKUP($E275,設定!$C:$G,2,0),"")</f>
        <v/>
      </c>
      <c r="G275" s="84" t="str">
        <f>IFERROR(VLOOKUP($E275,設定!$C:$G,3,0),"")</f>
        <v/>
      </c>
      <c r="H275" s="84" t="str">
        <f>IFERROR(VLOOKUP($E275,設定!$C:$G,4,0),"")</f>
        <v/>
      </c>
      <c r="I275" s="84" t="str">
        <f>IFERROR(VLOOKUP($E275,設定!$C:$G,5,0),"")</f>
        <v/>
      </c>
      <c r="J275" s="117"/>
      <c r="K275" s="85"/>
      <c r="L275" s="86"/>
      <c r="M275" s="86"/>
      <c r="N275" s="86"/>
      <c r="O275" s="86"/>
      <c r="P275" s="86"/>
      <c r="Q275" s="86"/>
      <c r="R275" s="86"/>
      <c r="S275" s="86"/>
      <c r="T275" s="86"/>
      <c r="U275" s="86"/>
      <c r="V275" s="86"/>
      <c r="W275" s="86"/>
      <c r="X275" s="86"/>
      <c r="Y275" s="86"/>
      <c r="Z275" s="86"/>
      <c r="AA275" s="86"/>
      <c r="AB275" s="86"/>
      <c r="AC275" s="86"/>
      <c r="AD275" s="86"/>
      <c r="AE275" s="86"/>
      <c r="AF275" s="86"/>
      <c r="AG275" s="86"/>
      <c r="AH275" s="86"/>
      <c r="AI275" s="86"/>
      <c r="AJ275" s="86"/>
      <c r="AK275" s="86"/>
      <c r="AL275" s="86"/>
      <c r="AM275" s="86"/>
      <c r="AN275" s="86"/>
      <c r="AO275" s="87"/>
      <c r="AP275" s="88">
        <f t="shared" si="4"/>
        <v>0</v>
      </c>
    </row>
    <row r="276" spans="2:42" s="3" customFormat="1" ht="24" customHeight="1" x14ac:dyDescent="0.2">
      <c r="B276" s="80"/>
      <c r="C276" s="81"/>
      <c r="D276" s="82"/>
      <c r="E276" s="83"/>
      <c r="F276" s="84" t="str">
        <f>IFERROR(VLOOKUP($E276,設定!$C:$G,2,0),"")</f>
        <v/>
      </c>
      <c r="G276" s="84" t="str">
        <f>IFERROR(VLOOKUP($E276,設定!$C:$G,3,0),"")</f>
        <v/>
      </c>
      <c r="H276" s="84" t="str">
        <f>IFERROR(VLOOKUP($E276,設定!$C:$G,4,0),"")</f>
        <v/>
      </c>
      <c r="I276" s="84" t="str">
        <f>IFERROR(VLOOKUP($E276,設定!$C:$G,5,0),"")</f>
        <v/>
      </c>
      <c r="J276" s="117"/>
      <c r="K276" s="85"/>
      <c r="L276" s="86"/>
      <c r="M276" s="86"/>
      <c r="N276" s="86"/>
      <c r="O276" s="86"/>
      <c r="P276" s="86"/>
      <c r="Q276" s="86"/>
      <c r="R276" s="86"/>
      <c r="S276" s="86"/>
      <c r="T276" s="86"/>
      <c r="U276" s="86"/>
      <c r="V276" s="86"/>
      <c r="W276" s="86"/>
      <c r="X276" s="86"/>
      <c r="Y276" s="86"/>
      <c r="Z276" s="86"/>
      <c r="AA276" s="86"/>
      <c r="AB276" s="86"/>
      <c r="AC276" s="86"/>
      <c r="AD276" s="86"/>
      <c r="AE276" s="86"/>
      <c r="AF276" s="86"/>
      <c r="AG276" s="86"/>
      <c r="AH276" s="86"/>
      <c r="AI276" s="86"/>
      <c r="AJ276" s="86"/>
      <c r="AK276" s="86"/>
      <c r="AL276" s="86"/>
      <c r="AM276" s="86"/>
      <c r="AN276" s="86"/>
      <c r="AO276" s="87"/>
      <c r="AP276" s="88">
        <f t="shared" si="4"/>
        <v>0</v>
      </c>
    </row>
    <row r="277" spans="2:42" s="3" customFormat="1" ht="24" customHeight="1" x14ac:dyDescent="0.2">
      <c r="B277" s="80"/>
      <c r="C277" s="81"/>
      <c r="D277" s="82"/>
      <c r="E277" s="83"/>
      <c r="F277" s="84" t="str">
        <f>IFERROR(VLOOKUP($E277,設定!$C:$G,2,0),"")</f>
        <v/>
      </c>
      <c r="G277" s="84" t="str">
        <f>IFERROR(VLOOKUP($E277,設定!$C:$G,3,0),"")</f>
        <v/>
      </c>
      <c r="H277" s="84" t="str">
        <f>IFERROR(VLOOKUP($E277,設定!$C:$G,4,0),"")</f>
        <v/>
      </c>
      <c r="I277" s="84" t="str">
        <f>IFERROR(VLOOKUP($E277,設定!$C:$G,5,0),"")</f>
        <v/>
      </c>
      <c r="J277" s="117"/>
      <c r="K277" s="85"/>
      <c r="L277" s="86"/>
      <c r="M277" s="86"/>
      <c r="N277" s="86"/>
      <c r="O277" s="86"/>
      <c r="P277" s="86"/>
      <c r="Q277" s="86"/>
      <c r="R277" s="86"/>
      <c r="S277" s="86"/>
      <c r="T277" s="86"/>
      <c r="U277" s="86"/>
      <c r="V277" s="86"/>
      <c r="W277" s="86"/>
      <c r="X277" s="86"/>
      <c r="Y277" s="86"/>
      <c r="Z277" s="86"/>
      <c r="AA277" s="86"/>
      <c r="AB277" s="86"/>
      <c r="AC277" s="86"/>
      <c r="AD277" s="86"/>
      <c r="AE277" s="86"/>
      <c r="AF277" s="86"/>
      <c r="AG277" s="86"/>
      <c r="AH277" s="86"/>
      <c r="AI277" s="86"/>
      <c r="AJ277" s="86"/>
      <c r="AK277" s="86"/>
      <c r="AL277" s="86"/>
      <c r="AM277" s="86"/>
      <c r="AN277" s="86"/>
      <c r="AO277" s="87"/>
      <c r="AP277" s="88">
        <f t="shared" si="4"/>
        <v>0</v>
      </c>
    </row>
    <row r="278" spans="2:42" s="3" customFormat="1" ht="24" customHeight="1" x14ac:dyDescent="0.2">
      <c r="B278" s="80"/>
      <c r="C278" s="81"/>
      <c r="D278" s="82"/>
      <c r="E278" s="83"/>
      <c r="F278" s="84" t="str">
        <f>IFERROR(VLOOKUP($E278,設定!$C:$G,2,0),"")</f>
        <v/>
      </c>
      <c r="G278" s="84" t="str">
        <f>IFERROR(VLOOKUP($E278,設定!$C:$G,3,0),"")</f>
        <v/>
      </c>
      <c r="H278" s="84" t="str">
        <f>IFERROR(VLOOKUP($E278,設定!$C:$G,4,0),"")</f>
        <v/>
      </c>
      <c r="I278" s="84" t="str">
        <f>IFERROR(VLOOKUP($E278,設定!$C:$G,5,0),"")</f>
        <v/>
      </c>
      <c r="J278" s="117"/>
      <c r="K278" s="85"/>
      <c r="L278" s="86"/>
      <c r="M278" s="86"/>
      <c r="N278" s="86"/>
      <c r="O278" s="86"/>
      <c r="P278" s="86"/>
      <c r="Q278" s="86"/>
      <c r="R278" s="86"/>
      <c r="S278" s="86"/>
      <c r="T278" s="86"/>
      <c r="U278" s="86"/>
      <c r="V278" s="86"/>
      <c r="W278" s="86"/>
      <c r="X278" s="86"/>
      <c r="Y278" s="86"/>
      <c r="Z278" s="86"/>
      <c r="AA278" s="86"/>
      <c r="AB278" s="86"/>
      <c r="AC278" s="86"/>
      <c r="AD278" s="86"/>
      <c r="AE278" s="86"/>
      <c r="AF278" s="86"/>
      <c r="AG278" s="86"/>
      <c r="AH278" s="86"/>
      <c r="AI278" s="86"/>
      <c r="AJ278" s="86"/>
      <c r="AK278" s="86"/>
      <c r="AL278" s="86"/>
      <c r="AM278" s="86"/>
      <c r="AN278" s="86"/>
      <c r="AO278" s="87"/>
      <c r="AP278" s="88">
        <f t="shared" si="4"/>
        <v>0</v>
      </c>
    </row>
    <row r="279" spans="2:42" s="3" customFormat="1" ht="24" customHeight="1" x14ac:dyDescent="0.2">
      <c r="B279" s="80"/>
      <c r="C279" s="81"/>
      <c r="D279" s="82"/>
      <c r="E279" s="83"/>
      <c r="F279" s="84" t="str">
        <f>IFERROR(VLOOKUP($E279,設定!$C:$G,2,0),"")</f>
        <v/>
      </c>
      <c r="G279" s="84" t="str">
        <f>IFERROR(VLOOKUP($E279,設定!$C:$G,3,0),"")</f>
        <v/>
      </c>
      <c r="H279" s="84" t="str">
        <f>IFERROR(VLOOKUP($E279,設定!$C:$G,4,0),"")</f>
        <v/>
      </c>
      <c r="I279" s="84" t="str">
        <f>IFERROR(VLOOKUP($E279,設定!$C:$G,5,0),"")</f>
        <v/>
      </c>
      <c r="J279" s="117"/>
      <c r="K279" s="85"/>
      <c r="L279" s="86"/>
      <c r="M279" s="86"/>
      <c r="N279" s="86"/>
      <c r="O279" s="86"/>
      <c r="P279" s="86"/>
      <c r="Q279" s="86"/>
      <c r="R279" s="86"/>
      <c r="S279" s="86"/>
      <c r="T279" s="86"/>
      <c r="U279" s="86"/>
      <c r="V279" s="86"/>
      <c r="W279" s="86"/>
      <c r="X279" s="86"/>
      <c r="Y279" s="86"/>
      <c r="Z279" s="86"/>
      <c r="AA279" s="86"/>
      <c r="AB279" s="86"/>
      <c r="AC279" s="86"/>
      <c r="AD279" s="86"/>
      <c r="AE279" s="86"/>
      <c r="AF279" s="86"/>
      <c r="AG279" s="86"/>
      <c r="AH279" s="86"/>
      <c r="AI279" s="86"/>
      <c r="AJ279" s="86"/>
      <c r="AK279" s="86"/>
      <c r="AL279" s="86"/>
      <c r="AM279" s="86"/>
      <c r="AN279" s="86"/>
      <c r="AO279" s="87"/>
      <c r="AP279" s="88">
        <f t="shared" si="4"/>
        <v>0</v>
      </c>
    </row>
    <row r="280" spans="2:42" s="3" customFormat="1" ht="24" customHeight="1" x14ac:dyDescent="0.2">
      <c r="B280" s="80"/>
      <c r="C280" s="81"/>
      <c r="D280" s="82"/>
      <c r="E280" s="83"/>
      <c r="F280" s="84" t="str">
        <f>IFERROR(VLOOKUP($E280,設定!$C:$G,2,0),"")</f>
        <v/>
      </c>
      <c r="G280" s="84" t="str">
        <f>IFERROR(VLOOKUP($E280,設定!$C:$G,3,0),"")</f>
        <v/>
      </c>
      <c r="H280" s="84" t="str">
        <f>IFERROR(VLOOKUP($E280,設定!$C:$G,4,0),"")</f>
        <v/>
      </c>
      <c r="I280" s="84" t="str">
        <f>IFERROR(VLOOKUP($E280,設定!$C:$G,5,0),"")</f>
        <v/>
      </c>
      <c r="J280" s="117"/>
      <c r="K280" s="85"/>
      <c r="L280" s="86"/>
      <c r="M280" s="86"/>
      <c r="N280" s="86"/>
      <c r="O280" s="86"/>
      <c r="P280" s="86"/>
      <c r="Q280" s="86"/>
      <c r="R280" s="86"/>
      <c r="S280" s="86"/>
      <c r="T280" s="86"/>
      <c r="U280" s="86"/>
      <c r="V280" s="86"/>
      <c r="W280" s="86"/>
      <c r="X280" s="86"/>
      <c r="Y280" s="86"/>
      <c r="Z280" s="86"/>
      <c r="AA280" s="86"/>
      <c r="AB280" s="86"/>
      <c r="AC280" s="86"/>
      <c r="AD280" s="86"/>
      <c r="AE280" s="86"/>
      <c r="AF280" s="86"/>
      <c r="AG280" s="86"/>
      <c r="AH280" s="86"/>
      <c r="AI280" s="86"/>
      <c r="AJ280" s="86"/>
      <c r="AK280" s="86"/>
      <c r="AL280" s="86"/>
      <c r="AM280" s="86"/>
      <c r="AN280" s="86"/>
      <c r="AO280" s="87"/>
      <c r="AP280" s="88">
        <f t="shared" si="4"/>
        <v>0</v>
      </c>
    </row>
    <row r="281" spans="2:42" s="3" customFormat="1" ht="24" customHeight="1" x14ac:dyDescent="0.2">
      <c r="B281" s="80"/>
      <c r="C281" s="81"/>
      <c r="D281" s="82"/>
      <c r="E281" s="83"/>
      <c r="F281" s="84" t="str">
        <f>IFERROR(VLOOKUP($E281,設定!$C:$G,2,0),"")</f>
        <v/>
      </c>
      <c r="G281" s="84" t="str">
        <f>IFERROR(VLOOKUP($E281,設定!$C:$G,3,0),"")</f>
        <v/>
      </c>
      <c r="H281" s="84" t="str">
        <f>IFERROR(VLOOKUP($E281,設定!$C:$G,4,0),"")</f>
        <v/>
      </c>
      <c r="I281" s="84" t="str">
        <f>IFERROR(VLOOKUP($E281,設定!$C:$G,5,0),"")</f>
        <v/>
      </c>
      <c r="J281" s="117"/>
      <c r="K281" s="85"/>
      <c r="L281" s="86"/>
      <c r="M281" s="86"/>
      <c r="N281" s="86"/>
      <c r="O281" s="86"/>
      <c r="P281" s="86"/>
      <c r="Q281" s="86"/>
      <c r="R281" s="86"/>
      <c r="S281" s="86"/>
      <c r="T281" s="86"/>
      <c r="U281" s="86"/>
      <c r="V281" s="86"/>
      <c r="W281" s="86"/>
      <c r="X281" s="86"/>
      <c r="Y281" s="86"/>
      <c r="Z281" s="86"/>
      <c r="AA281" s="86"/>
      <c r="AB281" s="86"/>
      <c r="AC281" s="86"/>
      <c r="AD281" s="86"/>
      <c r="AE281" s="86"/>
      <c r="AF281" s="86"/>
      <c r="AG281" s="86"/>
      <c r="AH281" s="86"/>
      <c r="AI281" s="86"/>
      <c r="AJ281" s="86"/>
      <c r="AK281" s="86"/>
      <c r="AL281" s="86"/>
      <c r="AM281" s="86"/>
      <c r="AN281" s="86"/>
      <c r="AO281" s="87"/>
      <c r="AP281" s="88">
        <f t="shared" si="4"/>
        <v>0</v>
      </c>
    </row>
    <row r="282" spans="2:42" s="3" customFormat="1" ht="24" customHeight="1" x14ac:dyDescent="0.2">
      <c r="B282" s="80"/>
      <c r="C282" s="81"/>
      <c r="D282" s="82"/>
      <c r="E282" s="83"/>
      <c r="F282" s="84" t="str">
        <f>IFERROR(VLOOKUP($E282,設定!$C:$G,2,0),"")</f>
        <v/>
      </c>
      <c r="G282" s="84" t="str">
        <f>IFERROR(VLOOKUP($E282,設定!$C:$G,3,0),"")</f>
        <v/>
      </c>
      <c r="H282" s="84" t="str">
        <f>IFERROR(VLOOKUP($E282,設定!$C:$G,4,0),"")</f>
        <v/>
      </c>
      <c r="I282" s="84" t="str">
        <f>IFERROR(VLOOKUP($E282,設定!$C:$G,5,0),"")</f>
        <v/>
      </c>
      <c r="J282" s="117"/>
      <c r="K282" s="85"/>
      <c r="L282" s="86"/>
      <c r="M282" s="86"/>
      <c r="N282" s="86"/>
      <c r="O282" s="86"/>
      <c r="P282" s="86"/>
      <c r="Q282" s="86"/>
      <c r="R282" s="86"/>
      <c r="S282" s="86"/>
      <c r="T282" s="86"/>
      <c r="U282" s="86"/>
      <c r="V282" s="86"/>
      <c r="W282" s="86"/>
      <c r="X282" s="86"/>
      <c r="Y282" s="86"/>
      <c r="Z282" s="86"/>
      <c r="AA282" s="86"/>
      <c r="AB282" s="86"/>
      <c r="AC282" s="86"/>
      <c r="AD282" s="86"/>
      <c r="AE282" s="86"/>
      <c r="AF282" s="86"/>
      <c r="AG282" s="86"/>
      <c r="AH282" s="86"/>
      <c r="AI282" s="86"/>
      <c r="AJ282" s="86"/>
      <c r="AK282" s="86"/>
      <c r="AL282" s="86"/>
      <c r="AM282" s="86"/>
      <c r="AN282" s="86"/>
      <c r="AO282" s="87"/>
      <c r="AP282" s="88">
        <f t="shared" si="4"/>
        <v>0</v>
      </c>
    </row>
    <row r="283" spans="2:42" s="3" customFormat="1" ht="24" customHeight="1" x14ac:dyDescent="0.2">
      <c r="B283" s="80"/>
      <c r="C283" s="81"/>
      <c r="D283" s="82"/>
      <c r="E283" s="83"/>
      <c r="F283" s="84" t="str">
        <f>IFERROR(VLOOKUP($E283,設定!$C:$G,2,0),"")</f>
        <v/>
      </c>
      <c r="G283" s="84" t="str">
        <f>IFERROR(VLOOKUP($E283,設定!$C:$G,3,0),"")</f>
        <v/>
      </c>
      <c r="H283" s="84" t="str">
        <f>IFERROR(VLOOKUP($E283,設定!$C:$G,4,0),"")</f>
        <v/>
      </c>
      <c r="I283" s="84" t="str">
        <f>IFERROR(VLOOKUP($E283,設定!$C:$G,5,0),"")</f>
        <v/>
      </c>
      <c r="J283" s="117"/>
      <c r="K283" s="85"/>
      <c r="L283" s="86"/>
      <c r="M283" s="86"/>
      <c r="N283" s="86"/>
      <c r="O283" s="86"/>
      <c r="P283" s="86"/>
      <c r="Q283" s="86"/>
      <c r="R283" s="86"/>
      <c r="S283" s="86"/>
      <c r="T283" s="86"/>
      <c r="U283" s="86"/>
      <c r="V283" s="86"/>
      <c r="W283" s="86"/>
      <c r="X283" s="86"/>
      <c r="Y283" s="86"/>
      <c r="Z283" s="86"/>
      <c r="AA283" s="86"/>
      <c r="AB283" s="86"/>
      <c r="AC283" s="86"/>
      <c r="AD283" s="86"/>
      <c r="AE283" s="86"/>
      <c r="AF283" s="86"/>
      <c r="AG283" s="86"/>
      <c r="AH283" s="86"/>
      <c r="AI283" s="86"/>
      <c r="AJ283" s="86"/>
      <c r="AK283" s="86"/>
      <c r="AL283" s="86"/>
      <c r="AM283" s="86"/>
      <c r="AN283" s="86"/>
      <c r="AO283" s="87"/>
      <c r="AP283" s="88">
        <f t="shared" si="4"/>
        <v>0</v>
      </c>
    </row>
    <row r="284" spans="2:42" s="3" customFormat="1" ht="24" customHeight="1" x14ac:dyDescent="0.2">
      <c r="B284" s="80"/>
      <c r="C284" s="81"/>
      <c r="D284" s="82"/>
      <c r="E284" s="83"/>
      <c r="F284" s="84" t="str">
        <f>IFERROR(VLOOKUP($E284,設定!$C:$G,2,0),"")</f>
        <v/>
      </c>
      <c r="G284" s="84" t="str">
        <f>IFERROR(VLOOKUP($E284,設定!$C:$G,3,0),"")</f>
        <v/>
      </c>
      <c r="H284" s="84" t="str">
        <f>IFERROR(VLOOKUP($E284,設定!$C:$G,4,0),"")</f>
        <v/>
      </c>
      <c r="I284" s="84" t="str">
        <f>IFERROR(VLOOKUP($E284,設定!$C:$G,5,0),"")</f>
        <v/>
      </c>
      <c r="J284" s="117"/>
      <c r="K284" s="85"/>
      <c r="L284" s="86"/>
      <c r="M284" s="86"/>
      <c r="N284" s="86"/>
      <c r="O284" s="86"/>
      <c r="P284" s="86"/>
      <c r="Q284" s="86"/>
      <c r="R284" s="86"/>
      <c r="S284" s="86"/>
      <c r="T284" s="86"/>
      <c r="U284" s="86"/>
      <c r="V284" s="86"/>
      <c r="W284" s="86"/>
      <c r="X284" s="86"/>
      <c r="Y284" s="86"/>
      <c r="Z284" s="86"/>
      <c r="AA284" s="86"/>
      <c r="AB284" s="86"/>
      <c r="AC284" s="86"/>
      <c r="AD284" s="86"/>
      <c r="AE284" s="86"/>
      <c r="AF284" s="86"/>
      <c r="AG284" s="86"/>
      <c r="AH284" s="86"/>
      <c r="AI284" s="86"/>
      <c r="AJ284" s="86"/>
      <c r="AK284" s="86"/>
      <c r="AL284" s="86"/>
      <c r="AM284" s="86"/>
      <c r="AN284" s="86"/>
      <c r="AO284" s="87"/>
      <c r="AP284" s="88">
        <f t="shared" si="4"/>
        <v>0</v>
      </c>
    </row>
    <row r="285" spans="2:42" s="3" customFormat="1" ht="24" customHeight="1" x14ac:dyDescent="0.2">
      <c r="B285" s="80"/>
      <c r="C285" s="81"/>
      <c r="D285" s="82"/>
      <c r="E285" s="83"/>
      <c r="F285" s="84" t="str">
        <f>IFERROR(VLOOKUP($E285,設定!$C:$G,2,0),"")</f>
        <v/>
      </c>
      <c r="G285" s="84" t="str">
        <f>IFERROR(VLOOKUP($E285,設定!$C:$G,3,0),"")</f>
        <v/>
      </c>
      <c r="H285" s="84" t="str">
        <f>IFERROR(VLOOKUP($E285,設定!$C:$G,4,0),"")</f>
        <v/>
      </c>
      <c r="I285" s="84" t="str">
        <f>IFERROR(VLOOKUP($E285,設定!$C:$G,5,0),"")</f>
        <v/>
      </c>
      <c r="J285" s="117"/>
      <c r="K285" s="85"/>
      <c r="L285" s="86"/>
      <c r="M285" s="86"/>
      <c r="N285" s="86"/>
      <c r="O285" s="86"/>
      <c r="P285" s="86"/>
      <c r="Q285" s="86"/>
      <c r="R285" s="86"/>
      <c r="S285" s="86"/>
      <c r="T285" s="86"/>
      <c r="U285" s="86"/>
      <c r="V285" s="86"/>
      <c r="W285" s="86"/>
      <c r="X285" s="86"/>
      <c r="Y285" s="86"/>
      <c r="Z285" s="86"/>
      <c r="AA285" s="86"/>
      <c r="AB285" s="86"/>
      <c r="AC285" s="86"/>
      <c r="AD285" s="86"/>
      <c r="AE285" s="86"/>
      <c r="AF285" s="86"/>
      <c r="AG285" s="86"/>
      <c r="AH285" s="86"/>
      <c r="AI285" s="86"/>
      <c r="AJ285" s="86"/>
      <c r="AK285" s="86"/>
      <c r="AL285" s="86"/>
      <c r="AM285" s="86"/>
      <c r="AN285" s="86"/>
      <c r="AO285" s="87"/>
      <c r="AP285" s="88">
        <f t="shared" si="4"/>
        <v>0</v>
      </c>
    </row>
    <row r="286" spans="2:42" s="3" customFormat="1" ht="24" customHeight="1" x14ac:dyDescent="0.2">
      <c r="B286" s="80"/>
      <c r="C286" s="81"/>
      <c r="D286" s="82"/>
      <c r="E286" s="83"/>
      <c r="F286" s="84" t="str">
        <f>IFERROR(VLOOKUP($E286,設定!$C:$G,2,0),"")</f>
        <v/>
      </c>
      <c r="G286" s="84" t="str">
        <f>IFERROR(VLOOKUP($E286,設定!$C:$G,3,0),"")</f>
        <v/>
      </c>
      <c r="H286" s="84" t="str">
        <f>IFERROR(VLOOKUP($E286,設定!$C:$G,4,0),"")</f>
        <v/>
      </c>
      <c r="I286" s="84" t="str">
        <f>IFERROR(VLOOKUP($E286,設定!$C:$G,5,0),"")</f>
        <v/>
      </c>
      <c r="J286" s="117"/>
      <c r="K286" s="85"/>
      <c r="L286" s="86"/>
      <c r="M286" s="86"/>
      <c r="N286" s="86"/>
      <c r="O286" s="86"/>
      <c r="P286" s="86"/>
      <c r="Q286" s="86"/>
      <c r="R286" s="86"/>
      <c r="S286" s="86"/>
      <c r="T286" s="86"/>
      <c r="U286" s="86"/>
      <c r="V286" s="86"/>
      <c r="W286" s="86"/>
      <c r="X286" s="86"/>
      <c r="Y286" s="86"/>
      <c r="Z286" s="86"/>
      <c r="AA286" s="86"/>
      <c r="AB286" s="86"/>
      <c r="AC286" s="86"/>
      <c r="AD286" s="86"/>
      <c r="AE286" s="86"/>
      <c r="AF286" s="86"/>
      <c r="AG286" s="86"/>
      <c r="AH286" s="86"/>
      <c r="AI286" s="86"/>
      <c r="AJ286" s="86"/>
      <c r="AK286" s="86"/>
      <c r="AL286" s="86"/>
      <c r="AM286" s="86"/>
      <c r="AN286" s="86"/>
      <c r="AO286" s="87"/>
      <c r="AP286" s="88">
        <f t="shared" si="4"/>
        <v>0</v>
      </c>
    </row>
    <row r="287" spans="2:42" s="3" customFormat="1" ht="24" customHeight="1" x14ac:dyDescent="0.2">
      <c r="B287" s="80"/>
      <c r="C287" s="81"/>
      <c r="D287" s="82"/>
      <c r="E287" s="83"/>
      <c r="F287" s="84" t="str">
        <f>IFERROR(VLOOKUP($E287,設定!$C:$G,2,0),"")</f>
        <v/>
      </c>
      <c r="G287" s="84" t="str">
        <f>IFERROR(VLOOKUP($E287,設定!$C:$G,3,0),"")</f>
        <v/>
      </c>
      <c r="H287" s="84" t="str">
        <f>IFERROR(VLOOKUP($E287,設定!$C:$G,4,0),"")</f>
        <v/>
      </c>
      <c r="I287" s="84" t="str">
        <f>IFERROR(VLOOKUP($E287,設定!$C:$G,5,0),"")</f>
        <v/>
      </c>
      <c r="J287" s="117"/>
      <c r="K287" s="85"/>
      <c r="L287" s="86"/>
      <c r="M287" s="86"/>
      <c r="N287" s="86"/>
      <c r="O287" s="86"/>
      <c r="P287" s="86"/>
      <c r="Q287" s="86"/>
      <c r="R287" s="86"/>
      <c r="S287" s="86"/>
      <c r="T287" s="86"/>
      <c r="U287" s="86"/>
      <c r="V287" s="86"/>
      <c r="W287" s="86"/>
      <c r="X287" s="86"/>
      <c r="Y287" s="86"/>
      <c r="Z287" s="86"/>
      <c r="AA287" s="86"/>
      <c r="AB287" s="86"/>
      <c r="AC287" s="86"/>
      <c r="AD287" s="86"/>
      <c r="AE287" s="86"/>
      <c r="AF287" s="86"/>
      <c r="AG287" s="86"/>
      <c r="AH287" s="86"/>
      <c r="AI287" s="86"/>
      <c r="AJ287" s="86"/>
      <c r="AK287" s="86"/>
      <c r="AL287" s="86"/>
      <c r="AM287" s="86"/>
      <c r="AN287" s="86"/>
      <c r="AO287" s="87"/>
      <c r="AP287" s="88">
        <f t="shared" si="4"/>
        <v>0</v>
      </c>
    </row>
    <row r="288" spans="2:42" s="3" customFormat="1" ht="24" customHeight="1" x14ac:dyDescent="0.2">
      <c r="B288" s="80"/>
      <c r="C288" s="81"/>
      <c r="D288" s="82"/>
      <c r="E288" s="83"/>
      <c r="F288" s="84" t="str">
        <f>IFERROR(VLOOKUP($E288,設定!$C:$G,2,0),"")</f>
        <v/>
      </c>
      <c r="G288" s="84" t="str">
        <f>IFERROR(VLOOKUP($E288,設定!$C:$G,3,0),"")</f>
        <v/>
      </c>
      <c r="H288" s="84" t="str">
        <f>IFERROR(VLOOKUP($E288,設定!$C:$G,4,0),"")</f>
        <v/>
      </c>
      <c r="I288" s="84" t="str">
        <f>IFERROR(VLOOKUP($E288,設定!$C:$G,5,0),"")</f>
        <v/>
      </c>
      <c r="J288" s="117"/>
      <c r="K288" s="85"/>
      <c r="L288" s="86"/>
      <c r="M288" s="86"/>
      <c r="N288" s="86"/>
      <c r="O288" s="86"/>
      <c r="P288" s="86"/>
      <c r="Q288" s="86"/>
      <c r="R288" s="86"/>
      <c r="S288" s="86"/>
      <c r="T288" s="86"/>
      <c r="U288" s="86"/>
      <c r="V288" s="86"/>
      <c r="W288" s="86"/>
      <c r="X288" s="86"/>
      <c r="Y288" s="86"/>
      <c r="Z288" s="86"/>
      <c r="AA288" s="86"/>
      <c r="AB288" s="86"/>
      <c r="AC288" s="86"/>
      <c r="AD288" s="86"/>
      <c r="AE288" s="86"/>
      <c r="AF288" s="86"/>
      <c r="AG288" s="86"/>
      <c r="AH288" s="86"/>
      <c r="AI288" s="86"/>
      <c r="AJ288" s="86"/>
      <c r="AK288" s="86"/>
      <c r="AL288" s="86"/>
      <c r="AM288" s="86"/>
      <c r="AN288" s="86"/>
      <c r="AO288" s="87"/>
      <c r="AP288" s="88">
        <f t="shared" si="4"/>
        <v>0</v>
      </c>
    </row>
    <row r="289" spans="2:42" s="3" customFormat="1" ht="24" customHeight="1" x14ac:dyDescent="0.2">
      <c r="B289" s="80"/>
      <c r="C289" s="81"/>
      <c r="D289" s="82"/>
      <c r="E289" s="83"/>
      <c r="F289" s="84" t="str">
        <f>IFERROR(VLOOKUP($E289,設定!$C:$G,2,0),"")</f>
        <v/>
      </c>
      <c r="G289" s="84" t="str">
        <f>IFERROR(VLOOKUP($E289,設定!$C:$G,3,0),"")</f>
        <v/>
      </c>
      <c r="H289" s="84" t="str">
        <f>IFERROR(VLOOKUP($E289,設定!$C:$G,4,0),"")</f>
        <v/>
      </c>
      <c r="I289" s="84" t="str">
        <f>IFERROR(VLOOKUP($E289,設定!$C:$G,5,0),"")</f>
        <v/>
      </c>
      <c r="J289" s="117"/>
      <c r="K289" s="85"/>
      <c r="L289" s="86"/>
      <c r="M289" s="86"/>
      <c r="N289" s="86"/>
      <c r="O289" s="86"/>
      <c r="P289" s="86"/>
      <c r="Q289" s="86"/>
      <c r="R289" s="86"/>
      <c r="S289" s="86"/>
      <c r="T289" s="86"/>
      <c r="U289" s="86"/>
      <c r="V289" s="86"/>
      <c r="W289" s="86"/>
      <c r="X289" s="86"/>
      <c r="Y289" s="86"/>
      <c r="Z289" s="86"/>
      <c r="AA289" s="86"/>
      <c r="AB289" s="86"/>
      <c r="AC289" s="86"/>
      <c r="AD289" s="86"/>
      <c r="AE289" s="86"/>
      <c r="AF289" s="86"/>
      <c r="AG289" s="86"/>
      <c r="AH289" s="86"/>
      <c r="AI289" s="86"/>
      <c r="AJ289" s="86"/>
      <c r="AK289" s="86"/>
      <c r="AL289" s="86"/>
      <c r="AM289" s="86"/>
      <c r="AN289" s="86"/>
      <c r="AO289" s="87"/>
      <c r="AP289" s="88">
        <f t="shared" si="4"/>
        <v>0</v>
      </c>
    </row>
    <row r="290" spans="2:42" s="3" customFormat="1" ht="24" customHeight="1" x14ac:dyDescent="0.2">
      <c r="B290" s="80"/>
      <c r="C290" s="81"/>
      <c r="D290" s="82"/>
      <c r="E290" s="83"/>
      <c r="F290" s="84" t="str">
        <f>IFERROR(VLOOKUP($E290,設定!$C:$G,2,0),"")</f>
        <v/>
      </c>
      <c r="G290" s="84" t="str">
        <f>IFERROR(VLOOKUP($E290,設定!$C:$G,3,0),"")</f>
        <v/>
      </c>
      <c r="H290" s="84" t="str">
        <f>IFERROR(VLOOKUP($E290,設定!$C:$G,4,0),"")</f>
        <v/>
      </c>
      <c r="I290" s="84" t="str">
        <f>IFERROR(VLOOKUP($E290,設定!$C:$G,5,0),"")</f>
        <v/>
      </c>
      <c r="J290" s="117"/>
      <c r="K290" s="85"/>
      <c r="L290" s="86"/>
      <c r="M290" s="86"/>
      <c r="N290" s="86"/>
      <c r="O290" s="86"/>
      <c r="P290" s="86"/>
      <c r="Q290" s="86"/>
      <c r="R290" s="86"/>
      <c r="S290" s="86"/>
      <c r="T290" s="86"/>
      <c r="U290" s="86"/>
      <c r="V290" s="86"/>
      <c r="W290" s="86"/>
      <c r="X290" s="86"/>
      <c r="Y290" s="86"/>
      <c r="Z290" s="86"/>
      <c r="AA290" s="86"/>
      <c r="AB290" s="86"/>
      <c r="AC290" s="86"/>
      <c r="AD290" s="86"/>
      <c r="AE290" s="86"/>
      <c r="AF290" s="86"/>
      <c r="AG290" s="86"/>
      <c r="AH290" s="86"/>
      <c r="AI290" s="86"/>
      <c r="AJ290" s="86"/>
      <c r="AK290" s="86"/>
      <c r="AL290" s="86"/>
      <c r="AM290" s="86"/>
      <c r="AN290" s="86"/>
      <c r="AO290" s="87"/>
      <c r="AP290" s="88">
        <f t="shared" si="4"/>
        <v>0</v>
      </c>
    </row>
    <row r="291" spans="2:42" s="3" customFormat="1" ht="24" customHeight="1" x14ac:dyDescent="0.2">
      <c r="B291" s="80"/>
      <c r="C291" s="81"/>
      <c r="D291" s="82"/>
      <c r="E291" s="83"/>
      <c r="F291" s="84" t="str">
        <f>IFERROR(VLOOKUP($E291,設定!$C:$G,2,0),"")</f>
        <v/>
      </c>
      <c r="G291" s="84" t="str">
        <f>IFERROR(VLOOKUP($E291,設定!$C:$G,3,0),"")</f>
        <v/>
      </c>
      <c r="H291" s="84" t="str">
        <f>IFERROR(VLOOKUP($E291,設定!$C:$G,4,0),"")</f>
        <v/>
      </c>
      <c r="I291" s="84" t="str">
        <f>IFERROR(VLOOKUP($E291,設定!$C:$G,5,0),"")</f>
        <v/>
      </c>
      <c r="J291" s="117"/>
      <c r="K291" s="85"/>
      <c r="L291" s="86"/>
      <c r="M291" s="86"/>
      <c r="N291" s="86"/>
      <c r="O291" s="86"/>
      <c r="P291" s="86"/>
      <c r="Q291" s="86"/>
      <c r="R291" s="86"/>
      <c r="S291" s="86"/>
      <c r="T291" s="86"/>
      <c r="U291" s="86"/>
      <c r="V291" s="86"/>
      <c r="W291" s="86"/>
      <c r="X291" s="86"/>
      <c r="Y291" s="86"/>
      <c r="Z291" s="86"/>
      <c r="AA291" s="86"/>
      <c r="AB291" s="86"/>
      <c r="AC291" s="86"/>
      <c r="AD291" s="86"/>
      <c r="AE291" s="86"/>
      <c r="AF291" s="86"/>
      <c r="AG291" s="86"/>
      <c r="AH291" s="86"/>
      <c r="AI291" s="86"/>
      <c r="AJ291" s="86"/>
      <c r="AK291" s="86"/>
      <c r="AL291" s="86"/>
      <c r="AM291" s="86"/>
      <c r="AN291" s="86"/>
      <c r="AO291" s="87"/>
      <c r="AP291" s="88">
        <f t="shared" si="4"/>
        <v>0</v>
      </c>
    </row>
    <row r="292" spans="2:42" s="3" customFormat="1" ht="24" customHeight="1" x14ac:dyDescent="0.2">
      <c r="B292" s="80"/>
      <c r="C292" s="81"/>
      <c r="D292" s="82"/>
      <c r="E292" s="83"/>
      <c r="F292" s="84" t="str">
        <f>IFERROR(VLOOKUP($E292,設定!$C:$G,2,0),"")</f>
        <v/>
      </c>
      <c r="G292" s="84" t="str">
        <f>IFERROR(VLOOKUP($E292,設定!$C:$G,3,0),"")</f>
        <v/>
      </c>
      <c r="H292" s="84" t="str">
        <f>IFERROR(VLOOKUP($E292,設定!$C:$G,4,0),"")</f>
        <v/>
      </c>
      <c r="I292" s="84" t="str">
        <f>IFERROR(VLOOKUP($E292,設定!$C:$G,5,0),"")</f>
        <v/>
      </c>
      <c r="J292" s="117"/>
      <c r="K292" s="85"/>
      <c r="L292" s="86"/>
      <c r="M292" s="86"/>
      <c r="N292" s="86"/>
      <c r="O292" s="86"/>
      <c r="P292" s="86"/>
      <c r="Q292" s="86"/>
      <c r="R292" s="86"/>
      <c r="S292" s="86"/>
      <c r="T292" s="86"/>
      <c r="U292" s="86"/>
      <c r="V292" s="86"/>
      <c r="W292" s="86"/>
      <c r="X292" s="86"/>
      <c r="Y292" s="86"/>
      <c r="Z292" s="86"/>
      <c r="AA292" s="86"/>
      <c r="AB292" s="86"/>
      <c r="AC292" s="86"/>
      <c r="AD292" s="86"/>
      <c r="AE292" s="86"/>
      <c r="AF292" s="86"/>
      <c r="AG292" s="86"/>
      <c r="AH292" s="86"/>
      <c r="AI292" s="86"/>
      <c r="AJ292" s="86"/>
      <c r="AK292" s="86"/>
      <c r="AL292" s="86"/>
      <c r="AM292" s="86"/>
      <c r="AN292" s="86"/>
      <c r="AO292" s="87"/>
      <c r="AP292" s="88">
        <f t="shared" si="4"/>
        <v>0</v>
      </c>
    </row>
    <row r="293" spans="2:42" s="3" customFormat="1" ht="24" customHeight="1" x14ac:dyDescent="0.2">
      <c r="B293" s="80"/>
      <c r="C293" s="81"/>
      <c r="D293" s="82"/>
      <c r="E293" s="83"/>
      <c r="F293" s="84" t="str">
        <f>IFERROR(VLOOKUP($E293,設定!$C:$G,2,0),"")</f>
        <v/>
      </c>
      <c r="G293" s="84" t="str">
        <f>IFERROR(VLOOKUP($E293,設定!$C:$G,3,0),"")</f>
        <v/>
      </c>
      <c r="H293" s="84" t="str">
        <f>IFERROR(VLOOKUP($E293,設定!$C:$G,4,0),"")</f>
        <v/>
      </c>
      <c r="I293" s="84" t="str">
        <f>IFERROR(VLOOKUP($E293,設定!$C:$G,5,0),"")</f>
        <v/>
      </c>
      <c r="J293" s="117"/>
      <c r="K293" s="85"/>
      <c r="L293" s="86"/>
      <c r="M293" s="86"/>
      <c r="N293" s="86"/>
      <c r="O293" s="86"/>
      <c r="P293" s="86"/>
      <c r="Q293" s="86"/>
      <c r="R293" s="86"/>
      <c r="S293" s="86"/>
      <c r="T293" s="86"/>
      <c r="U293" s="86"/>
      <c r="V293" s="86"/>
      <c r="W293" s="86"/>
      <c r="X293" s="86"/>
      <c r="Y293" s="86"/>
      <c r="Z293" s="86"/>
      <c r="AA293" s="86"/>
      <c r="AB293" s="86"/>
      <c r="AC293" s="86"/>
      <c r="AD293" s="86"/>
      <c r="AE293" s="86"/>
      <c r="AF293" s="86"/>
      <c r="AG293" s="86"/>
      <c r="AH293" s="86"/>
      <c r="AI293" s="86"/>
      <c r="AJ293" s="86"/>
      <c r="AK293" s="86"/>
      <c r="AL293" s="86"/>
      <c r="AM293" s="86"/>
      <c r="AN293" s="86"/>
      <c r="AO293" s="87"/>
      <c r="AP293" s="88">
        <f t="shared" si="4"/>
        <v>0</v>
      </c>
    </row>
    <row r="294" spans="2:42" s="3" customFormat="1" ht="24" customHeight="1" x14ac:dyDescent="0.2">
      <c r="B294" s="80"/>
      <c r="C294" s="81"/>
      <c r="D294" s="82"/>
      <c r="E294" s="83"/>
      <c r="F294" s="84" t="str">
        <f>IFERROR(VLOOKUP($E294,設定!$C:$G,2,0),"")</f>
        <v/>
      </c>
      <c r="G294" s="84" t="str">
        <f>IFERROR(VLOOKUP($E294,設定!$C:$G,3,0),"")</f>
        <v/>
      </c>
      <c r="H294" s="84" t="str">
        <f>IFERROR(VLOOKUP($E294,設定!$C:$G,4,0),"")</f>
        <v/>
      </c>
      <c r="I294" s="84" t="str">
        <f>IFERROR(VLOOKUP($E294,設定!$C:$G,5,0),"")</f>
        <v/>
      </c>
      <c r="J294" s="117"/>
      <c r="K294" s="85"/>
      <c r="L294" s="86"/>
      <c r="M294" s="86"/>
      <c r="N294" s="86"/>
      <c r="O294" s="86"/>
      <c r="P294" s="86"/>
      <c r="Q294" s="86"/>
      <c r="R294" s="86"/>
      <c r="S294" s="86"/>
      <c r="T294" s="86"/>
      <c r="U294" s="86"/>
      <c r="V294" s="86"/>
      <c r="W294" s="86"/>
      <c r="X294" s="86"/>
      <c r="Y294" s="86"/>
      <c r="Z294" s="86"/>
      <c r="AA294" s="86"/>
      <c r="AB294" s="86"/>
      <c r="AC294" s="86"/>
      <c r="AD294" s="86"/>
      <c r="AE294" s="86"/>
      <c r="AF294" s="86"/>
      <c r="AG294" s="86"/>
      <c r="AH294" s="86"/>
      <c r="AI294" s="86"/>
      <c r="AJ294" s="86"/>
      <c r="AK294" s="86"/>
      <c r="AL294" s="86"/>
      <c r="AM294" s="86"/>
      <c r="AN294" s="86"/>
      <c r="AO294" s="87"/>
      <c r="AP294" s="88">
        <f t="shared" si="4"/>
        <v>0</v>
      </c>
    </row>
    <row r="295" spans="2:42" s="3" customFormat="1" ht="24" customHeight="1" x14ac:dyDescent="0.2">
      <c r="B295" s="80"/>
      <c r="C295" s="81"/>
      <c r="D295" s="82"/>
      <c r="E295" s="83"/>
      <c r="F295" s="84" t="str">
        <f>IFERROR(VLOOKUP($E295,設定!$C:$G,2,0),"")</f>
        <v/>
      </c>
      <c r="G295" s="84" t="str">
        <f>IFERROR(VLOOKUP($E295,設定!$C:$G,3,0),"")</f>
        <v/>
      </c>
      <c r="H295" s="84" t="str">
        <f>IFERROR(VLOOKUP($E295,設定!$C:$G,4,0),"")</f>
        <v/>
      </c>
      <c r="I295" s="84" t="str">
        <f>IFERROR(VLOOKUP($E295,設定!$C:$G,5,0),"")</f>
        <v/>
      </c>
      <c r="J295" s="117"/>
      <c r="K295" s="85"/>
      <c r="L295" s="86"/>
      <c r="M295" s="86"/>
      <c r="N295" s="86"/>
      <c r="O295" s="86"/>
      <c r="P295" s="86"/>
      <c r="Q295" s="86"/>
      <c r="R295" s="86"/>
      <c r="S295" s="86"/>
      <c r="T295" s="86"/>
      <c r="U295" s="86"/>
      <c r="V295" s="86"/>
      <c r="W295" s="86"/>
      <c r="X295" s="86"/>
      <c r="Y295" s="86"/>
      <c r="Z295" s="86"/>
      <c r="AA295" s="86"/>
      <c r="AB295" s="86"/>
      <c r="AC295" s="86"/>
      <c r="AD295" s="86"/>
      <c r="AE295" s="86"/>
      <c r="AF295" s="86"/>
      <c r="AG295" s="86"/>
      <c r="AH295" s="86"/>
      <c r="AI295" s="86"/>
      <c r="AJ295" s="86"/>
      <c r="AK295" s="86"/>
      <c r="AL295" s="86"/>
      <c r="AM295" s="86"/>
      <c r="AN295" s="86"/>
      <c r="AO295" s="87"/>
      <c r="AP295" s="88">
        <f t="shared" si="4"/>
        <v>0</v>
      </c>
    </row>
    <row r="296" spans="2:42" s="3" customFormat="1" ht="24" customHeight="1" x14ac:dyDescent="0.2">
      <c r="B296" s="80"/>
      <c r="C296" s="81"/>
      <c r="D296" s="82"/>
      <c r="E296" s="83"/>
      <c r="F296" s="84" t="str">
        <f>IFERROR(VLOOKUP($E296,設定!$C:$G,2,0),"")</f>
        <v/>
      </c>
      <c r="G296" s="84" t="str">
        <f>IFERROR(VLOOKUP($E296,設定!$C:$G,3,0),"")</f>
        <v/>
      </c>
      <c r="H296" s="84" t="str">
        <f>IFERROR(VLOOKUP($E296,設定!$C:$G,4,0),"")</f>
        <v/>
      </c>
      <c r="I296" s="84" t="str">
        <f>IFERROR(VLOOKUP($E296,設定!$C:$G,5,0),"")</f>
        <v/>
      </c>
      <c r="J296" s="117"/>
      <c r="K296" s="85"/>
      <c r="L296" s="86"/>
      <c r="M296" s="86"/>
      <c r="N296" s="86"/>
      <c r="O296" s="86"/>
      <c r="P296" s="86"/>
      <c r="Q296" s="86"/>
      <c r="R296" s="86"/>
      <c r="S296" s="86"/>
      <c r="T296" s="86"/>
      <c r="U296" s="86"/>
      <c r="V296" s="86"/>
      <c r="W296" s="86"/>
      <c r="X296" s="86"/>
      <c r="Y296" s="86"/>
      <c r="Z296" s="86"/>
      <c r="AA296" s="86"/>
      <c r="AB296" s="86"/>
      <c r="AC296" s="86"/>
      <c r="AD296" s="86"/>
      <c r="AE296" s="86"/>
      <c r="AF296" s="86"/>
      <c r="AG296" s="86"/>
      <c r="AH296" s="86"/>
      <c r="AI296" s="86"/>
      <c r="AJ296" s="86"/>
      <c r="AK296" s="86"/>
      <c r="AL296" s="86"/>
      <c r="AM296" s="86"/>
      <c r="AN296" s="86"/>
      <c r="AO296" s="87"/>
      <c r="AP296" s="88">
        <f t="shared" si="4"/>
        <v>0</v>
      </c>
    </row>
    <row r="297" spans="2:42" s="3" customFormat="1" ht="24" customHeight="1" x14ac:dyDescent="0.2">
      <c r="B297" s="80"/>
      <c r="C297" s="81"/>
      <c r="D297" s="82"/>
      <c r="E297" s="83"/>
      <c r="F297" s="84" t="str">
        <f>IFERROR(VLOOKUP($E297,設定!$C:$G,2,0),"")</f>
        <v/>
      </c>
      <c r="G297" s="84" t="str">
        <f>IFERROR(VLOOKUP($E297,設定!$C:$G,3,0),"")</f>
        <v/>
      </c>
      <c r="H297" s="84" t="str">
        <f>IFERROR(VLOOKUP($E297,設定!$C:$G,4,0),"")</f>
        <v/>
      </c>
      <c r="I297" s="84" t="str">
        <f>IFERROR(VLOOKUP($E297,設定!$C:$G,5,0),"")</f>
        <v/>
      </c>
      <c r="J297" s="117"/>
      <c r="K297" s="85"/>
      <c r="L297" s="86"/>
      <c r="M297" s="86"/>
      <c r="N297" s="86"/>
      <c r="O297" s="86"/>
      <c r="P297" s="86"/>
      <c r="Q297" s="86"/>
      <c r="R297" s="86"/>
      <c r="S297" s="86"/>
      <c r="T297" s="86"/>
      <c r="U297" s="86"/>
      <c r="V297" s="86"/>
      <c r="W297" s="86"/>
      <c r="X297" s="86"/>
      <c r="Y297" s="86"/>
      <c r="Z297" s="86"/>
      <c r="AA297" s="86"/>
      <c r="AB297" s="86"/>
      <c r="AC297" s="86"/>
      <c r="AD297" s="86"/>
      <c r="AE297" s="86"/>
      <c r="AF297" s="86"/>
      <c r="AG297" s="86"/>
      <c r="AH297" s="86"/>
      <c r="AI297" s="86"/>
      <c r="AJ297" s="86"/>
      <c r="AK297" s="86"/>
      <c r="AL297" s="86"/>
      <c r="AM297" s="86"/>
      <c r="AN297" s="86"/>
      <c r="AO297" s="87"/>
      <c r="AP297" s="88">
        <f t="shared" si="4"/>
        <v>0</v>
      </c>
    </row>
    <row r="298" spans="2:42" s="3" customFormat="1" ht="24" customHeight="1" x14ac:dyDescent="0.2">
      <c r="B298" s="80"/>
      <c r="C298" s="81"/>
      <c r="D298" s="82"/>
      <c r="E298" s="83"/>
      <c r="F298" s="84" t="str">
        <f>IFERROR(VLOOKUP($E298,設定!$C:$G,2,0),"")</f>
        <v/>
      </c>
      <c r="G298" s="84" t="str">
        <f>IFERROR(VLOOKUP($E298,設定!$C:$G,3,0),"")</f>
        <v/>
      </c>
      <c r="H298" s="84" t="str">
        <f>IFERROR(VLOOKUP($E298,設定!$C:$G,4,0),"")</f>
        <v/>
      </c>
      <c r="I298" s="84" t="str">
        <f>IFERROR(VLOOKUP($E298,設定!$C:$G,5,0),"")</f>
        <v/>
      </c>
      <c r="J298" s="117"/>
      <c r="K298" s="85"/>
      <c r="L298" s="86"/>
      <c r="M298" s="86"/>
      <c r="N298" s="86"/>
      <c r="O298" s="86"/>
      <c r="P298" s="86"/>
      <c r="Q298" s="86"/>
      <c r="R298" s="86"/>
      <c r="S298" s="86"/>
      <c r="T298" s="86"/>
      <c r="U298" s="86"/>
      <c r="V298" s="86"/>
      <c r="W298" s="86"/>
      <c r="X298" s="86"/>
      <c r="Y298" s="86"/>
      <c r="Z298" s="86"/>
      <c r="AA298" s="86"/>
      <c r="AB298" s="86"/>
      <c r="AC298" s="86"/>
      <c r="AD298" s="86"/>
      <c r="AE298" s="86"/>
      <c r="AF298" s="86"/>
      <c r="AG298" s="86"/>
      <c r="AH298" s="86"/>
      <c r="AI298" s="86"/>
      <c r="AJ298" s="86"/>
      <c r="AK298" s="86"/>
      <c r="AL298" s="86"/>
      <c r="AM298" s="86"/>
      <c r="AN298" s="86"/>
      <c r="AO298" s="87"/>
      <c r="AP298" s="88">
        <f t="shared" si="4"/>
        <v>0</v>
      </c>
    </row>
    <row r="299" spans="2:42" s="3" customFormat="1" ht="24" customHeight="1" x14ac:dyDescent="0.2">
      <c r="B299" s="80"/>
      <c r="C299" s="81"/>
      <c r="D299" s="82"/>
      <c r="E299" s="83"/>
      <c r="F299" s="84" t="str">
        <f>IFERROR(VLOOKUP($E299,設定!$C:$G,2,0),"")</f>
        <v/>
      </c>
      <c r="G299" s="84" t="str">
        <f>IFERROR(VLOOKUP($E299,設定!$C:$G,3,0),"")</f>
        <v/>
      </c>
      <c r="H299" s="84" t="str">
        <f>IFERROR(VLOOKUP($E299,設定!$C:$G,4,0),"")</f>
        <v/>
      </c>
      <c r="I299" s="84" t="str">
        <f>IFERROR(VLOOKUP($E299,設定!$C:$G,5,0),"")</f>
        <v/>
      </c>
      <c r="J299" s="117"/>
      <c r="K299" s="85"/>
      <c r="L299" s="86"/>
      <c r="M299" s="86"/>
      <c r="N299" s="86"/>
      <c r="O299" s="86"/>
      <c r="P299" s="86"/>
      <c r="Q299" s="86"/>
      <c r="R299" s="86"/>
      <c r="S299" s="86"/>
      <c r="T299" s="86"/>
      <c r="U299" s="86"/>
      <c r="V299" s="86"/>
      <c r="W299" s="86"/>
      <c r="X299" s="86"/>
      <c r="Y299" s="86"/>
      <c r="Z299" s="86"/>
      <c r="AA299" s="86"/>
      <c r="AB299" s="86"/>
      <c r="AC299" s="86"/>
      <c r="AD299" s="86"/>
      <c r="AE299" s="86"/>
      <c r="AF299" s="86"/>
      <c r="AG299" s="86"/>
      <c r="AH299" s="86"/>
      <c r="AI299" s="86"/>
      <c r="AJ299" s="86"/>
      <c r="AK299" s="86"/>
      <c r="AL299" s="86"/>
      <c r="AM299" s="86"/>
      <c r="AN299" s="86"/>
      <c r="AO299" s="87"/>
      <c r="AP299" s="88">
        <f t="shared" si="4"/>
        <v>0</v>
      </c>
    </row>
    <row r="300" spans="2:42" s="3" customFormat="1" ht="24" customHeight="1" x14ac:dyDescent="0.2">
      <c r="B300" s="80"/>
      <c r="C300" s="81"/>
      <c r="D300" s="82"/>
      <c r="E300" s="83"/>
      <c r="F300" s="84" t="str">
        <f>IFERROR(VLOOKUP($E300,設定!$C:$G,2,0),"")</f>
        <v/>
      </c>
      <c r="G300" s="84" t="str">
        <f>IFERROR(VLOOKUP($E300,設定!$C:$G,3,0),"")</f>
        <v/>
      </c>
      <c r="H300" s="84" t="str">
        <f>IFERROR(VLOOKUP($E300,設定!$C:$G,4,0),"")</f>
        <v/>
      </c>
      <c r="I300" s="84" t="str">
        <f>IFERROR(VLOOKUP($E300,設定!$C:$G,5,0),"")</f>
        <v/>
      </c>
      <c r="J300" s="117"/>
      <c r="K300" s="85"/>
      <c r="L300" s="86"/>
      <c r="M300" s="86"/>
      <c r="N300" s="86"/>
      <c r="O300" s="86"/>
      <c r="P300" s="86"/>
      <c r="Q300" s="86"/>
      <c r="R300" s="86"/>
      <c r="S300" s="86"/>
      <c r="T300" s="86"/>
      <c r="U300" s="86"/>
      <c r="V300" s="86"/>
      <c r="W300" s="86"/>
      <c r="X300" s="86"/>
      <c r="Y300" s="86"/>
      <c r="Z300" s="86"/>
      <c r="AA300" s="86"/>
      <c r="AB300" s="86"/>
      <c r="AC300" s="86"/>
      <c r="AD300" s="86"/>
      <c r="AE300" s="86"/>
      <c r="AF300" s="86"/>
      <c r="AG300" s="86"/>
      <c r="AH300" s="86"/>
      <c r="AI300" s="86"/>
      <c r="AJ300" s="86"/>
      <c r="AK300" s="86"/>
      <c r="AL300" s="86"/>
      <c r="AM300" s="86"/>
      <c r="AN300" s="86"/>
      <c r="AO300" s="87"/>
      <c r="AP300" s="88">
        <f t="shared" si="4"/>
        <v>0</v>
      </c>
    </row>
    <row r="301" spans="2:42" s="3" customFormat="1" ht="24" customHeight="1" x14ac:dyDescent="0.2">
      <c r="B301" s="80"/>
      <c r="C301" s="81"/>
      <c r="D301" s="82"/>
      <c r="E301" s="83"/>
      <c r="F301" s="84" t="str">
        <f>IFERROR(VLOOKUP($E301,設定!$C:$G,2,0),"")</f>
        <v/>
      </c>
      <c r="G301" s="84" t="str">
        <f>IFERROR(VLOOKUP($E301,設定!$C:$G,3,0),"")</f>
        <v/>
      </c>
      <c r="H301" s="84" t="str">
        <f>IFERROR(VLOOKUP($E301,設定!$C:$G,4,0),"")</f>
        <v/>
      </c>
      <c r="I301" s="84" t="str">
        <f>IFERROR(VLOOKUP($E301,設定!$C:$G,5,0),"")</f>
        <v/>
      </c>
      <c r="J301" s="117"/>
      <c r="K301" s="85"/>
      <c r="L301" s="86"/>
      <c r="M301" s="86"/>
      <c r="N301" s="86"/>
      <c r="O301" s="86"/>
      <c r="P301" s="86"/>
      <c r="Q301" s="86"/>
      <c r="R301" s="86"/>
      <c r="S301" s="86"/>
      <c r="T301" s="86"/>
      <c r="U301" s="86"/>
      <c r="V301" s="86"/>
      <c r="W301" s="86"/>
      <c r="X301" s="86"/>
      <c r="Y301" s="86"/>
      <c r="Z301" s="86"/>
      <c r="AA301" s="86"/>
      <c r="AB301" s="86"/>
      <c r="AC301" s="86"/>
      <c r="AD301" s="86"/>
      <c r="AE301" s="86"/>
      <c r="AF301" s="86"/>
      <c r="AG301" s="86"/>
      <c r="AH301" s="86"/>
      <c r="AI301" s="86"/>
      <c r="AJ301" s="86"/>
      <c r="AK301" s="86"/>
      <c r="AL301" s="86"/>
      <c r="AM301" s="86"/>
      <c r="AN301" s="86"/>
      <c r="AO301" s="87"/>
      <c r="AP301" s="88">
        <f t="shared" si="4"/>
        <v>0</v>
      </c>
    </row>
    <row r="302" spans="2:42" s="3" customFormat="1" ht="24" customHeight="1" x14ac:dyDescent="0.2">
      <c r="B302" s="80"/>
      <c r="C302" s="81"/>
      <c r="D302" s="82"/>
      <c r="E302" s="83"/>
      <c r="F302" s="84" t="str">
        <f>IFERROR(VLOOKUP($E302,設定!$C:$G,2,0),"")</f>
        <v/>
      </c>
      <c r="G302" s="84" t="str">
        <f>IFERROR(VLOOKUP($E302,設定!$C:$G,3,0),"")</f>
        <v/>
      </c>
      <c r="H302" s="84" t="str">
        <f>IFERROR(VLOOKUP($E302,設定!$C:$G,4,0),"")</f>
        <v/>
      </c>
      <c r="I302" s="84" t="str">
        <f>IFERROR(VLOOKUP($E302,設定!$C:$G,5,0),"")</f>
        <v/>
      </c>
      <c r="J302" s="117"/>
      <c r="K302" s="85"/>
      <c r="L302" s="86"/>
      <c r="M302" s="86"/>
      <c r="N302" s="86"/>
      <c r="O302" s="86"/>
      <c r="P302" s="86"/>
      <c r="Q302" s="86"/>
      <c r="R302" s="86"/>
      <c r="S302" s="86"/>
      <c r="T302" s="86"/>
      <c r="U302" s="86"/>
      <c r="V302" s="86"/>
      <c r="W302" s="86"/>
      <c r="X302" s="86"/>
      <c r="Y302" s="86"/>
      <c r="Z302" s="86"/>
      <c r="AA302" s="86"/>
      <c r="AB302" s="86"/>
      <c r="AC302" s="86"/>
      <c r="AD302" s="86"/>
      <c r="AE302" s="86"/>
      <c r="AF302" s="86"/>
      <c r="AG302" s="86"/>
      <c r="AH302" s="86"/>
      <c r="AI302" s="86"/>
      <c r="AJ302" s="86"/>
      <c r="AK302" s="86"/>
      <c r="AL302" s="86"/>
      <c r="AM302" s="86"/>
      <c r="AN302" s="86"/>
      <c r="AO302" s="87"/>
      <c r="AP302" s="88">
        <f t="shared" si="4"/>
        <v>0</v>
      </c>
    </row>
    <row r="303" spans="2:42" s="3" customFormat="1" ht="24" customHeight="1" x14ac:dyDescent="0.2">
      <c r="B303" s="80"/>
      <c r="C303" s="81"/>
      <c r="D303" s="82"/>
      <c r="E303" s="83"/>
      <c r="F303" s="84" t="str">
        <f>IFERROR(VLOOKUP($E303,設定!$C:$G,2,0),"")</f>
        <v/>
      </c>
      <c r="G303" s="84" t="str">
        <f>IFERROR(VLOOKUP($E303,設定!$C:$G,3,0),"")</f>
        <v/>
      </c>
      <c r="H303" s="84" t="str">
        <f>IFERROR(VLOOKUP($E303,設定!$C:$G,4,0),"")</f>
        <v/>
      </c>
      <c r="I303" s="84" t="str">
        <f>IFERROR(VLOOKUP($E303,設定!$C:$G,5,0),"")</f>
        <v/>
      </c>
      <c r="J303" s="117"/>
      <c r="K303" s="85"/>
      <c r="L303" s="86"/>
      <c r="M303" s="86"/>
      <c r="N303" s="86"/>
      <c r="O303" s="86"/>
      <c r="P303" s="86"/>
      <c r="Q303" s="86"/>
      <c r="R303" s="86"/>
      <c r="S303" s="86"/>
      <c r="T303" s="86"/>
      <c r="U303" s="86"/>
      <c r="V303" s="86"/>
      <c r="W303" s="86"/>
      <c r="X303" s="86"/>
      <c r="Y303" s="86"/>
      <c r="Z303" s="86"/>
      <c r="AA303" s="86"/>
      <c r="AB303" s="86"/>
      <c r="AC303" s="86"/>
      <c r="AD303" s="86"/>
      <c r="AE303" s="86"/>
      <c r="AF303" s="86"/>
      <c r="AG303" s="86"/>
      <c r="AH303" s="86"/>
      <c r="AI303" s="86"/>
      <c r="AJ303" s="86"/>
      <c r="AK303" s="86"/>
      <c r="AL303" s="86"/>
      <c r="AM303" s="86"/>
      <c r="AN303" s="86"/>
      <c r="AO303" s="87"/>
      <c r="AP303" s="88">
        <f t="shared" si="4"/>
        <v>0</v>
      </c>
    </row>
    <row r="304" spans="2:42" s="3" customFormat="1" ht="24" customHeight="1" x14ac:dyDescent="0.2">
      <c r="B304" s="80"/>
      <c r="C304" s="81"/>
      <c r="D304" s="82"/>
      <c r="E304" s="83"/>
      <c r="F304" s="84" t="str">
        <f>IFERROR(VLOOKUP($E304,設定!$C:$G,2,0),"")</f>
        <v/>
      </c>
      <c r="G304" s="84" t="str">
        <f>IFERROR(VLOOKUP($E304,設定!$C:$G,3,0),"")</f>
        <v/>
      </c>
      <c r="H304" s="84" t="str">
        <f>IFERROR(VLOOKUP($E304,設定!$C:$G,4,0),"")</f>
        <v/>
      </c>
      <c r="I304" s="84" t="str">
        <f>IFERROR(VLOOKUP($E304,設定!$C:$G,5,0),"")</f>
        <v/>
      </c>
      <c r="J304" s="117"/>
      <c r="K304" s="85"/>
      <c r="L304" s="86"/>
      <c r="M304" s="86"/>
      <c r="N304" s="86"/>
      <c r="O304" s="86"/>
      <c r="P304" s="86"/>
      <c r="Q304" s="86"/>
      <c r="R304" s="86"/>
      <c r="S304" s="86"/>
      <c r="T304" s="86"/>
      <c r="U304" s="86"/>
      <c r="V304" s="86"/>
      <c r="W304" s="86"/>
      <c r="X304" s="86"/>
      <c r="Y304" s="86"/>
      <c r="Z304" s="86"/>
      <c r="AA304" s="86"/>
      <c r="AB304" s="86"/>
      <c r="AC304" s="86"/>
      <c r="AD304" s="86"/>
      <c r="AE304" s="86"/>
      <c r="AF304" s="86"/>
      <c r="AG304" s="86"/>
      <c r="AH304" s="86"/>
      <c r="AI304" s="86"/>
      <c r="AJ304" s="86"/>
      <c r="AK304" s="86"/>
      <c r="AL304" s="86"/>
      <c r="AM304" s="86"/>
      <c r="AN304" s="86"/>
      <c r="AO304" s="87"/>
      <c r="AP304" s="88">
        <f t="shared" si="4"/>
        <v>0</v>
      </c>
    </row>
    <row r="305" spans="2:42" s="3" customFormat="1" ht="24" customHeight="1" x14ac:dyDescent="0.2">
      <c r="B305" s="80"/>
      <c r="C305" s="81"/>
      <c r="D305" s="82"/>
      <c r="E305" s="83"/>
      <c r="F305" s="84" t="str">
        <f>IFERROR(VLOOKUP($E305,設定!$C:$G,2,0),"")</f>
        <v/>
      </c>
      <c r="G305" s="84" t="str">
        <f>IFERROR(VLOOKUP($E305,設定!$C:$G,3,0),"")</f>
        <v/>
      </c>
      <c r="H305" s="84" t="str">
        <f>IFERROR(VLOOKUP($E305,設定!$C:$G,4,0),"")</f>
        <v/>
      </c>
      <c r="I305" s="84" t="str">
        <f>IFERROR(VLOOKUP($E305,設定!$C:$G,5,0),"")</f>
        <v/>
      </c>
      <c r="J305" s="117"/>
      <c r="K305" s="85"/>
      <c r="L305" s="86"/>
      <c r="M305" s="86"/>
      <c r="N305" s="86"/>
      <c r="O305" s="86"/>
      <c r="P305" s="86"/>
      <c r="Q305" s="86"/>
      <c r="R305" s="86"/>
      <c r="S305" s="86"/>
      <c r="T305" s="86"/>
      <c r="U305" s="86"/>
      <c r="V305" s="86"/>
      <c r="W305" s="86"/>
      <c r="X305" s="86"/>
      <c r="Y305" s="86"/>
      <c r="Z305" s="86"/>
      <c r="AA305" s="86"/>
      <c r="AB305" s="86"/>
      <c r="AC305" s="86"/>
      <c r="AD305" s="86"/>
      <c r="AE305" s="86"/>
      <c r="AF305" s="86"/>
      <c r="AG305" s="86"/>
      <c r="AH305" s="86"/>
      <c r="AI305" s="86"/>
      <c r="AJ305" s="86"/>
      <c r="AK305" s="86"/>
      <c r="AL305" s="86"/>
      <c r="AM305" s="86"/>
      <c r="AN305" s="86"/>
      <c r="AO305" s="87"/>
      <c r="AP305" s="88">
        <f t="shared" si="4"/>
        <v>0</v>
      </c>
    </row>
    <row r="306" spans="2:42" s="3" customFormat="1" ht="24" customHeight="1" x14ac:dyDescent="0.2">
      <c r="B306" s="80"/>
      <c r="C306" s="81"/>
      <c r="D306" s="82"/>
      <c r="E306" s="83"/>
      <c r="F306" s="84" t="str">
        <f>IFERROR(VLOOKUP($E306,設定!$C:$G,2,0),"")</f>
        <v/>
      </c>
      <c r="G306" s="84" t="str">
        <f>IFERROR(VLOOKUP($E306,設定!$C:$G,3,0),"")</f>
        <v/>
      </c>
      <c r="H306" s="84" t="str">
        <f>IFERROR(VLOOKUP($E306,設定!$C:$G,4,0),"")</f>
        <v/>
      </c>
      <c r="I306" s="84" t="str">
        <f>IFERROR(VLOOKUP($E306,設定!$C:$G,5,0),"")</f>
        <v/>
      </c>
      <c r="J306" s="117"/>
      <c r="K306" s="85"/>
      <c r="L306" s="86"/>
      <c r="M306" s="86"/>
      <c r="N306" s="86"/>
      <c r="O306" s="86"/>
      <c r="P306" s="86"/>
      <c r="Q306" s="86"/>
      <c r="R306" s="86"/>
      <c r="S306" s="86"/>
      <c r="T306" s="86"/>
      <c r="U306" s="86"/>
      <c r="V306" s="86"/>
      <c r="W306" s="86"/>
      <c r="X306" s="86"/>
      <c r="Y306" s="86"/>
      <c r="Z306" s="86"/>
      <c r="AA306" s="86"/>
      <c r="AB306" s="86"/>
      <c r="AC306" s="86"/>
      <c r="AD306" s="86"/>
      <c r="AE306" s="86"/>
      <c r="AF306" s="86"/>
      <c r="AG306" s="86"/>
      <c r="AH306" s="86"/>
      <c r="AI306" s="86"/>
      <c r="AJ306" s="86"/>
      <c r="AK306" s="86"/>
      <c r="AL306" s="86"/>
      <c r="AM306" s="86"/>
      <c r="AN306" s="86"/>
      <c r="AO306" s="87"/>
      <c r="AP306" s="88">
        <f t="shared" si="4"/>
        <v>0</v>
      </c>
    </row>
    <row r="307" spans="2:42" s="3" customFormat="1" ht="24" customHeight="1" x14ac:dyDescent="0.2">
      <c r="B307" s="80"/>
      <c r="C307" s="81"/>
      <c r="D307" s="82"/>
      <c r="E307" s="83"/>
      <c r="F307" s="84" t="str">
        <f>IFERROR(VLOOKUP($E307,設定!$C:$G,2,0),"")</f>
        <v/>
      </c>
      <c r="G307" s="84" t="str">
        <f>IFERROR(VLOOKUP($E307,設定!$C:$G,3,0),"")</f>
        <v/>
      </c>
      <c r="H307" s="84" t="str">
        <f>IFERROR(VLOOKUP($E307,設定!$C:$G,4,0),"")</f>
        <v/>
      </c>
      <c r="I307" s="84" t="str">
        <f>IFERROR(VLOOKUP($E307,設定!$C:$G,5,0),"")</f>
        <v/>
      </c>
      <c r="J307" s="117"/>
      <c r="K307" s="85"/>
      <c r="L307" s="86"/>
      <c r="M307" s="86"/>
      <c r="N307" s="86"/>
      <c r="O307" s="86"/>
      <c r="P307" s="86"/>
      <c r="Q307" s="86"/>
      <c r="R307" s="86"/>
      <c r="S307" s="86"/>
      <c r="T307" s="86"/>
      <c r="U307" s="86"/>
      <c r="V307" s="86"/>
      <c r="W307" s="86"/>
      <c r="X307" s="86"/>
      <c r="Y307" s="86"/>
      <c r="Z307" s="86"/>
      <c r="AA307" s="86"/>
      <c r="AB307" s="86"/>
      <c r="AC307" s="86"/>
      <c r="AD307" s="86"/>
      <c r="AE307" s="86"/>
      <c r="AF307" s="86"/>
      <c r="AG307" s="86"/>
      <c r="AH307" s="86"/>
      <c r="AI307" s="86"/>
      <c r="AJ307" s="86"/>
      <c r="AK307" s="86"/>
      <c r="AL307" s="86"/>
      <c r="AM307" s="86"/>
      <c r="AN307" s="86"/>
      <c r="AO307" s="87"/>
      <c r="AP307" s="88">
        <f t="shared" si="4"/>
        <v>0</v>
      </c>
    </row>
    <row r="308" spans="2:42" s="3" customFormat="1" ht="24" customHeight="1" x14ac:dyDescent="0.2">
      <c r="B308" s="80"/>
      <c r="C308" s="81"/>
      <c r="D308" s="82"/>
      <c r="E308" s="83"/>
      <c r="F308" s="84" t="str">
        <f>IFERROR(VLOOKUP($E308,設定!$C:$G,2,0),"")</f>
        <v/>
      </c>
      <c r="G308" s="84" t="str">
        <f>IFERROR(VLOOKUP($E308,設定!$C:$G,3,0),"")</f>
        <v/>
      </c>
      <c r="H308" s="84" t="str">
        <f>IFERROR(VLOOKUP($E308,設定!$C:$G,4,0),"")</f>
        <v/>
      </c>
      <c r="I308" s="84" t="str">
        <f>IFERROR(VLOOKUP($E308,設定!$C:$G,5,0),"")</f>
        <v/>
      </c>
      <c r="J308" s="117"/>
      <c r="K308" s="85"/>
      <c r="L308" s="86"/>
      <c r="M308" s="86"/>
      <c r="N308" s="86"/>
      <c r="O308" s="86"/>
      <c r="P308" s="86"/>
      <c r="Q308" s="86"/>
      <c r="R308" s="86"/>
      <c r="S308" s="86"/>
      <c r="T308" s="86"/>
      <c r="U308" s="86"/>
      <c r="V308" s="86"/>
      <c r="W308" s="86"/>
      <c r="X308" s="86"/>
      <c r="Y308" s="86"/>
      <c r="Z308" s="86"/>
      <c r="AA308" s="86"/>
      <c r="AB308" s="86"/>
      <c r="AC308" s="86"/>
      <c r="AD308" s="86"/>
      <c r="AE308" s="86"/>
      <c r="AF308" s="86"/>
      <c r="AG308" s="86"/>
      <c r="AH308" s="86"/>
      <c r="AI308" s="86"/>
      <c r="AJ308" s="86"/>
      <c r="AK308" s="86"/>
      <c r="AL308" s="86"/>
      <c r="AM308" s="86"/>
      <c r="AN308" s="86"/>
      <c r="AO308" s="87"/>
      <c r="AP308" s="88">
        <f t="shared" si="4"/>
        <v>0</v>
      </c>
    </row>
    <row r="309" spans="2:42" s="3" customFormat="1" ht="24" customHeight="1" x14ac:dyDescent="0.2">
      <c r="B309" s="80"/>
      <c r="C309" s="81"/>
      <c r="D309" s="82"/>
      <c r="E309" s="83"/>
      <c r="F309" s="84" t="str">
        <f>IFERROR(VLOOKUP($E309,設定!$C:$G,2,0),"")</f>
        <v/>
      </c>
      <c r="G309" s="84" t="str">
        <f>IFERROR(VLOOKUP($E309,設定!$C:$G,3,0),"")</f>
        <v/>
      </c>
      <c r="H309" s="84" t="str">
        <f>IFERROR(VLOOKUP($E309,設定!$C:$G,4,0),"")</f>
        <v/>
      </c>
      <c r="I309" s="84" t="str">
        <f>IFERROR(VLOOKUP($E309,設定!$C:$G,5,0),"")</f>
        <v/>
      </c>
      <c r="J309" s="117"/>
      <c r="K309" s="85"/>
      <c r="L309" s="86"/>
      <c r="M309" s="86"/>
      <c r="N309" s="86"/>
      <c r="O309" s="86"/>
      <c r="P309" s="86"/>
      <c r="Q309" s="86"/>
      <c r="R309" s="86"/>
      <c r="S309" s="86"/>
      <c r="T309" s="86"/>
      <c r="U309" s="86"/>
      <c r="V309" s="86"/>
      <c r="W309" s="86"/>
      <c r="X309" s="86"/>
      <c r="Y309" s="86"/>
      <c r="Z309" s="86"/>
      <c r="AA309" s="86"/>
      <c r="AB309" s="86"/>
      <c r="AC309" s="86"/>
      <c r="AD309" s="86"/>
      <c r="AE309" s="86"/>
      <c r="AF309" s="86"/>
      <c r="AG309" s="86"/>
      <c r="AH309" s="86"/>
      <c r="AI309" s="86"/>
      <c r="AJ309" s="86"/>
      <c r="AK309" s="86"/>
      <c r="AL309" s="86"/>
      <c r="AM309" s="86"/>
      <c r="AN309" s="86"/>
      <c r="AO309" s="87"/>
      <c r="AP309" s="88">
        <f t="shared" si="4"/>
        <v>0</v>
      </c>
    </row>
    <row r="310" spans="2:42" s="3" customFormat="1" ht="24" customHeight="1" x14ac:dyDescent="0.2">
      <c r="B310" s="80"/>
      <c r="C310" s="81"/>
      <c r="D310" s="82"/>
      <c r="E310" s="83"/>
      <c r="F310" s="84" t="str">
        <f>IFERROR(VLOOKUP($E310,設定!$C:$G,2,0),"")</f>
        <v/>
      </c>
      <c r="G310" s="84" t="str">
        <f>IFERROR(VLOOKUP($E310,設定!$C:$G,3,0),"")</f>
        <v/>
      </c>
      <c r="H310" s="84" t="str">
        <f>IFERROR(VLOOKUP($E310,設定!$C:$G,4,0),"")</f>
        <v/>
      </c>
      <c r="I310" s="84" t="str">
        <f>IFERROR(VLOOKUP($E310,設定!$C:$G,5,0),"")</f>
        <v/>
      </c>
      <c r="J310" s="117"/>
      <c r="K310" s="85"/>
      <c r="L310" s="86"/>
      <c r="M310" s="86"/>
      <c r="N310" s="86"/>
      <c r="O310" s="86"/>
      <c r="P310" s="86"/>
      <c r="Q310" s="86"/>
      <c r="R310" s="86"/>
      <c r="S310" s="86"/>
      <c r="T310" s="86"/>
      <c r="U310" s="86"/>
      <c r="V310" s="86"/>
      <c r="W310" s="86"/>
      <c r="X310" s="86"/>
      <c r="Y310" s="86"/>
      <c r="Z310" s="86"/>
      <c r="AA310" s="86"/>
      <c r="AB310" s="86"/>
      <c r="AC310" s="86"/>
      <c r="AD310" s="86"/>
      <c r="AE310" s="86"/>
      <c r="AF310" s="86"/>
      <c r="AG310" s="86"/>
      <c r="AH310" s="86"/>
      <c r="AI310" s="86"/>
      <c r="AJ310" s="86"/>
      <c r="AK310" s="86"/>
      <c r="AL310" s="86"/>
      <c r="AM310" s="86"/>
      <c r="AN310" s="86"/>
      <c r="AO310" s="87"/>
      <c r="AP310" s="88">
        <f t="shared" si="4"/>
        <v>0</v>
      </c>
    </row>
    <row r="311" spans="2:42" s="3" customFormat="1" ht="24" customHeight="1" x14ac:dyDescent="0.2">
      <c r="B311" s="80"/>
      <c r="C311" s="81"/>
      <c r="D311" s="82"/>
      <c r="E311" s="83"/>
      <c r="F311" s="84" t="str">
        <f>IFERROR(VLOOKUP($E311,設定!$C:$G,2,0),"")</f>
        <v/>
      </c>
      <c r="G311" s="84" t="str">
        <f>IFERROR(VLOOKUP($E311,設定!$C:$G,3,0),"")</f>
        <v/>
      </c>
      <c r="H311" s="84" t="str">
        <f>IFERROR(VLOOKUP($E311,設定!$C:$G,4,0),"")</f>
        <v/>
      </c>
      <c r="I311" s="84" t="str">
        <f>IFERROR(VLOOKUP($E311,設定!$C:$G,5,0),"")</f>
        <v/>
      </c>
      <c r="J311" s="117"/>
      <c r="K311" s="85"/>
      <c r="L311" s="86"/>
      <c r="M311" s="86"/>
      <c r="N311" s="86"/>
      <c r="O311" s="86"/>
      <c r="P311" s="86"/>
      <c r="Q311" s="86"/>
      <c r="R311" s="86"/>
      <c r="S311" s="86"/>
      <c r="T311" s="86"/>
      <c r="U311" s="86"/>
      <c r="V311" s="86"/>
      <c r="W311" s="86"/>
      <c r="X311" s="86"/>
      <c r="Y311" s="86"/>
      <c r="Z311" s="86"/>
      <c r="AA311" s="86"/>
      <c r="AB311" s="86"/>
      <c r="AC311" s="86"/>
      <c r="AD311" s="86"/>
      <c r="AE311" s="86"/>
      <c r="AF311" s="86"/>
      <c r="AG311" s="86"/>
      <c r="AH311" s="86"/>
      <c r="AI311" s="86"/>
      <c r="AJ311" s="86"/>
      <c r="AK311" s="86"/>
      <c r="AL311" s="86"/>
      <c r="AM311" s="86"/>
      <c r="AN311" s="86"/>
      <c r="AO311" s="87"/>
      <c r="AP311" s="88">
        <f t="shared" si="4"/>
        <v>0</v>
      </c>
    </row>
    <row r="312" spans="2:42" s="3" customFormat="1" ht="24" customHeight="1" x14ac:dyDescent="0.2">
      <c r="B312" s="80"/>
      <c r="C312" s="81"/>
      <c r="D312" s="82"/>
      <c r="E312" s="83"/>
      <c r="F312" s="84" t="str">
        <f>IFERROR(VLOOKUP($E312,設定!$C:$G,2,0),"")</f>
        <v/>
      </c>
      <c r="G312" s="84" t="str">
        <f>IFERROR(VLOOKUP($E312,設定!$C:$G,3,0),"")</f>
        <v/>
      </c>
      <c r="H312" s="84" t="str">
        <f>IFERROR(VLOOKUP($E312,設定!$C:$G,4,0),"")</f>
        <v/>
      </c>
      <c r="I312" s="84" t="str">
        <f>IFERROR(VLOOKUP($E312,設定!$C:$G,5,0),"")</f>
        <v/>
      </c>
      <c r="J312" s="117"/>
      <c r="K312" s="85"/>
      <c r="L312" s="86"/>
      <c r="M312" s="86"/>
      <c r="N312" s="86"/>
      <c r="O312" s="86"/>
      <c r="P312" s="86"/>
      <c r="Q312" s="86"/>
      <c r="R312" s="86"/>
      <c r="S312" s="86"/>
      <c r="T312" s="86"/>
      <c r="U312" s="86"/>
      <c r="V312" s="86"/>
      <c r="W312" s="86"/>
      <c r="X312" s="86"/>
      <c r="Y312" s="86"/>
      <c r="Z312" s="86"/>
      <c r="AA312" s="86"/>
      <c r="AB312" s="86"/>
      <c r="AC312" s="86"/>
      <c r="AD312" s="86"/>
      <c r="AE312" s="86"/>
      <c r="AF312" s="86"/>
      <c r="AG312" s="86"/>
      <c r="AH312" s="86"/>
      <c r="AI312" s="86"/>
      <c r="AJ312" s="86"/>
      <c r="AK312" s="86"/>
      <c r="AL312" s="86"/>
      <c r="AM312" s="86"/>
      <c r="AN312" s="86"/>
      <c r="AO312" s="87"/>
      <c r="AP312" s="88">
        <f t="shared" si="4"/>
        <v>0</v>
      </c>
    </row>
    <row r="313" spans="2:42" s="3" customFormat="1" ht="24" customHeight="1" x14ac:dyDescent="0.2">
      <c r="B313" s="80"/>
      <c r="C313" s="81"/>
      <c r="D313" s="82"/>
      <c r="E313" s="83"/>
      <c r="F313" s="84" t="str">
        <f>IFERROR(VLOOKUP($E313,設定!$C:$G,2,0),"")</f>
        <v/>
      </c>
      <c r="G313" s="84" t="str">
        <f>IFERROR(VLOOKUP($E313,設定!$C:$G,3,0),"")</f>
        <v/>
      </c>
      <c r="H313" s="84" t="str">
        <f>IFERROR(VLOOKUP($E313,設定!$C:$G,4,0),"")</f>
        <v/>
      </c>
      <c r="I313" s="84" t="str">
        <f>IFERROR(VLOOKUP($E313,設定!$C:$G,5,0),"")</f>
        <v/>
      </c>
      <c r="J313" s="117"/>
      <c r="K313" s="85"/>
      <c r="L313" s="86"/>
      <c r="M313" s="86"/>
      <c r="N313" s="86"/>
      <c r="O313" s="86"/>
      <c r="P313" s="86"/>
      <c r="Q313" s="86"/>
      <c r="R313" s="86"/>
      <c r="S313" s="86"/>
      <c r="T313" s="86"/>
      <c r="U313" s="86"/>
      <c r="V313" s="86"/>
      <c r="W313" s="86"/>
      <c r="X313" s="86"/>
      <c r="Y313" s="86"/>
      <c r="Z313" s="86"/>
      <c r="AA313" s="86"/>
      <c r="AB313" s="86"/>
      <c r="AC313" s="86"/>
      <c r="AD313" s="86"/>
      <c r="AE313" s="86"/>
      <c r="AF313" s="86"/>
      <c r="AG313" s="86"/>
      <c r="AH313" s="86"/>
      <c r="AI313" s="86"/>
      <c r="AJ313" s="86"/>
      <c r="AK313" s="86"/>
      <c r="AL313" s="86"/>
      <c r="AM313" s="86"/>
      <c r="AN313" s="86"/>
      <c r="AO313" s="87"/>
      <c r="AP313" s="88">
        <f t="shared" si="4"/>
        <v>0</v>
      </c>
    </row>
    <row r="314" spans="2:42" s="3" customFormat="1" ht="24" customHeight="1" x14ac:dyDescent="0.2">
      <c r="B314" s="80"/>
      <c r="C314" s="81"/>
      <c r="D314" s="82"/>
      <c r="E314" s="83"/>
      <c r="F314" s="84" t="str">
        <f>IFERROR(VLOOKUP($E314,設定!$C:$G,2,0),"")</f>
        <v/>
      </c>
      <c r="G314" s="84" t="str">
        <f>IFERROR(VLOOKUP($E314,設定!$C:$G,3,0),"")</f>
        <v/>
      </c>
      <c r="H314" s="84" t="str">
        <f>IFERROR(VLOOKUP($E314,設定!$C:$G,4,0),"")</f>
        <v/>
      </c>
      <c r="I314" s="84" t="str">
        <f>IFERROR(VLOOKUP($E314,設定!$C:$G,5,0),"")</f>
        <v/>
      </c>
      <c r="J314" s="117"/>
      <c r="K314" s="85"/>
      <c r="L314" s="86"/>
      <c r="M314" s="86"/>
      <c r="N314" s="86"/>
      <c r="O314" s="86"/>
      <c r="P314" s="86"/>
      <c r="Q314" s="86"/>
      <c r="R314" s="86"/>
      <c r="S314" s="86"/>
      <c r="T314" s="86"/>
      <c r="U314" s="86"/>
      <c r="V314" s="86"/>
      <c r="W314" s="86"/>
      <c r="X314" s="86"/>
      <c r="Y314" s="86"/>
      <c r="Z314" s="86"/>
      <c r="AA314" s="86"/>
      <c r="AB314" s="86"/>
      <c r="AC314" s="86"/>
      <c r="AD314" s="86"/>
      <c r="AE314" s="86"/>
      <c r="AF314" s="86"/>
      <c r="AG314" s="86"/>
      <c r="AH314" s="86"/>
      <c r="AI314" s="86"/>
      <c r="AJ314" s="86"/>
      <c r="AK314" s="86"/>
      <c r="AL314" s="86"/>
      <c r="AM314" s="86"/>
      <c r="AN314" s="86"/>
      <c r="AO314" s="87"/>
      <c r="AP314" s="88">
        <f t="shared" si="4"/>
        <v>0</v>
      </c>
    </row>
    <row r="315" spans="2:42" s="3" customFormat="1" ht="24" customHeight="1" x14ac:dyDescent="0.2">
      <c r="B315" s="80"/>
      <c r="C315" s="81"/>
      <c r="D315" s="82"/>
      <c r="E315" s="83"/>
      <c r="F315" s="84" t="str">
        <f>IFERROR(VLOOKUP($E315,設定!$C:$G,2,0),"")</f>
        <v/>
      </c>
      <c r="G315" s="84" t="str">
        <f>IFERROR(VLOOKUP($E315,設定!$C:$G,3,0),"")</f>
        <v/>
      </c>
      <c r="H315" s="84" t="str">
        <f>IFERROR(VLOOKUP($E315,設定!$C:$G,4,0),"")</f>
        <v/>
      </c>
      <c r="I315" s="84" t="str">
        <f>IFERROR(VLOOKUP($E315,設定!$C:$G,5,0),"")</f>
        <v/>
      </c>
      <c r="J315" s="117"/>
      <c r="K315" s="85"/>
      <c r="L315" s="86"/>
      <c r="M315" s="86"/>
      <c r="N315" s="86"/>
      <c r="O315" s="86"/>
      <c r="P315" s="86"/>
      <c r="Q315" s="86"/>
      <c r="R315" s="86"/>
      <c r="S315" s="86"/>
      <c r="T315" s="86"/>
      <c r="U315" s="86"/>
      <c r="V315" s="86"/>
      <c r="W315" s="86"/>
      <c r="X315" s="86"/>
      <c r="Y315" s="86"/>
      <c r="Z315" s="86"/>
      <c r="AA315" s="86"/>
      <c r="AB315" s="86"/>
      <c r="AC315" s="86"/>
      <c r="AD315" s="86"/>
      <c r="AE315" s="86"/>
      <c r="AF315" s="86"/>
      <c r="AG315" s="86"/>
      <c r="AH315" s="86"/>
      <c r="AI315" s="86"/>
      <c r="AJ315" s="86"/>
      <c r="AK315" s="86"/>
      <c r="AL315" s="86"/>
      <c r="AM315" s="86"/>
      <c r="AN315" s="86"/>
      <c r="AO315" s="87"/>
      <c r="AP315" s="88">
        <f t="shared" si="4"/>
        <v>0</v>
      </c>
    </row>
    <row r="316" spans="2:42" s="3" customFormat="1" ht="24" customHeight="1" x14ac:dyDescent="0.2">
      <c r="B316" s="80"/>
      <c r="C316" s="81"/>
      <c r="D316" s="82"/>
      <c r="E316" s="83"/>
      <c r="F316" s="84" t="str">
        <f>IFERROR(VLOOKUP($E316,設定!$C:$G,2,0),"")</f>
        <v/>
      </c>
      <c r="G316" s="84" t="str">
        <f>IFERROR(VLOOKUP($E316,設定!$C:$G,3,0),"")</f>
        <v/>
      </c>
      <c r="H316" s="84" t="str">
        <f>IFERROR(VLOOKUP($E316,設定!$C:$G,4,0),"")</f>
        <v/>
      </c>
      <c r="I316" s="84" t="str">
        <f>IFERROR(VLOOKUP($E316,設定!$C:$G,5,0),"")</f>
        <v/>
      </c>
      <c r="J316" s="117"/>
      <c r="K316" s="85"/>
      <c r="L316" s="86"/>
      <c r="M316" s="86"/>
      <c r="N316" s="86"/>
      <c r="O316" s="86"/>
      <c r="P316" s="86"/>
      <c r="Q316" s="86"/>
      <c r="R316" s="86"/>
      <c r="S316" s="86"/>
      <c r="T316" s="86"/>
      <c r="U316" s="86"/>
      <c r="V316" s="86"/>
      <c r="W316" s="86"/>
      <c r="X316" s="86"/>
      <c r="Y316" s="86"/>
      <c r="Z316" s="86"/>
      <c r="AA316" s="86"/>
      <c r="AB316" s="86"/>
      <c r="AC316" s="86"/>
      <c r="AD316" s="86"/>
      <c r="AE316" s="86"/>
      <c r="AF316" s="86"/>
      <c r="AG316" s="86"/>
      <c r="AH316" s="86"/>
      <c r="AI316" s="86"/>
      <c r="AJ316" s="86"/>
      <c r="AK316" s="86"/>
      <c r="AL316" s="86"/>
      <c r="AM316" s="86"/>
      <c r="AN316" s="86"/>
      <c r="AO316" s="87"/>
      <c r="AP316" s="88">
        <f t="shared" si="4"/>
        <v>0</v>
      </c>
    </row>
    <row r="317" spans="2:42" s="3" customFormat="1" ht="24" customHeight="1" x14ac:dyDescent="0.2">
      <c r="B317" s="80"/>
      <c r="C317" s="81"/>
      <c r="D317" s="82"/>
      <c r="E317" s="83"/>
      <c r="F317" s="84" t="str">
        <f>IFERROR(VLOOKUP($E317,設定!$C:$G,2,0),"")</f>
        <v/>
      </c>
      <c r="G317" s="84" t="str">
        <f>IFERROR(VLOOKUP($E317,設定!$C:$G,3,0),"")</f>
        <v/>
      </c>
      <c r="H317" s="84" t="str">
        <f>IFERROR(VLOOKUP($E317,設定!$C:$G,4,0),"")</f>
        <v/>
      </c>
      <c r="I317" s="84" t="str">
        <f>IFERROR(VLOOKUP($E317,設定!$C:$G,5,0),"")</f>
        <v/>
      </c>
      <c r="J317" s="117"/>
      <c r="K317" s="85"/>
      <c r="L317" s="86"/>
      <c r="M317" s="86"/>
      <c r="N317" s="86"/>
      <c r="O317" s="86"/>
      <c r="P317" s="86"/>
      <c r="Q317" s="86"/>
      <c r="R317" s="86"/>
      <c r="S317" s="86"/>
      <c r="T317" s="86"/>
      <c r="U317" s="86"/>
      <c r="V317" s="86"/>
      <c r="W317" s="86"/>
      <c r="X317" s="86"/>
      <c r="Y317" s="86"/>
      <c r="Z317" s="86"/>
      <c r="AA317" s="86"/>
      <c r="AB317" s="86"/>
      <c r="AC317" s="86"/>
      <c r="AD317" s="86"/>
      <c r="AE317" s="86"/>
      <c r="AF317" s="86"/>
      <c r="AG317" s="86"/>
      <c r="AH317" s="86"/>
      <c r="AI317" s="86"/>
      <c r="AJ317" s="86"/>
      <c r="AK317" s="86"/>
      <c r="AL317" s="86"/>
      <c r="AM317" s="86"/>
      <c r="AN317" s="86"/>
      <c r="AO317" s="87"/>
      <c r="AP317" s="88">
        <f t="shared" si="4"/>
        <v>0</v>
      </c>
    </row>
    <row r="318" spans="2:42" s="3" customFormat="1" ht="24" customHeight="1" x14ac:dyDescent="0.2">
      <c r="B318" s="80"/>
      <c r="C318" s="81"/>
      <c r="D318" s="82"/>
      <c r="E318" s="83"/>
      <c r="F318" s="84" t="str">
        <f>IFERROR(VLOOKUP($E318,設定!$C:$G,2,0),"")</f>
        <v/>
      </c>
      <c r="G318" s="84" t="str">
        <f>IFERROR(VLOOKUP($E318,設定!$C:$G,3,0),"")</f>
        <v/>
      </c>
      <c r="H318" s="84" t="str">
        <f>IFERROR(VLOOKUP($E318,設定!$C:$G,4,0),"")</f>
        <v/>
      </c>
      <c r="I318" s="84" t="str">
        <f>IFERROR(VLOOKUP($E318,設定!$C:$G,5,0),"")</f>
        <v/>
      </c>
      <c r="J318" s="117"/>
      <c r="K318" s="85"/>
      <c r="L318" s="86"/>
      <c r="M318" s="86"/>
      <c r="N318" s="86"/>
      <c r="O318" s="86"/>
      <c r="P318" s="86"/>
      <c r="Q318" s="86"/>
      <c r="R318" s="86"/>
      <c r="S318" s="86"/>
      <c r="T318" s="86"/>
      <c r="U318" s="86"/>
      <c r="V318" s="86"/>
      <c r="W318" s="86"/>
      <c r="X318" s="86"/>
      <c r="Y318" s="86"/>
      <c r="Z318" s="86"/>
      <c r="AA318" s="86"/>
      <c r="AB318" s="86"/>
      <c r="AC318" s="86"/>
      <c r="AD318" s="86"/>
      <c r="AE318" s="86"/>
      <c r="AF318" s="86"/>
      <c r="AG318" s="86"/>
      <c r="AH318" s="86"/>
      <c r="AI318" s="86"/>
      <c r="AJ318" s="86"/>
      <c r="AK318" s="86"/>
      <c r="AL318" s="86"/>
      <c r="AM318" s="86"/>
      <c r="AN318" s="86"/>
      <c r="AO318" s="87"/>
      <c r="AP318" s="88">
        <f t="shared" si="4"/>
        <v>0</v>
      </c>
    </row>
    <row r="319" spans="2:42" s="3" customFormat="1" ht="24" customHeight="1" x14ac:dyDescent="0.2">
      <c r="B319" s="80"/>
      <c r="C319" s="81"/>
      <c r="D319" s="82"/>
      <c r="E319" s="83"/>
      <c r="F319" s="84" t="str">
        <f>IFERROR(VLOOKUP($E319,設定!$C:$G,2,0),"")</f>
        <v/>
      </c>
      <c r="G319" s="84" t="str">
        <f>IFERROR(VLOOKUP($E319,設定!$C:$G,3,0),"")</f>
        <v/>
      </c>
      <c r="H319" s="84" t="str">
        <f>IFERROR(VLOOKUP($E319,設定!$C:$G,4,0),"")</f>
        <v/>
      </c>
      <c r="I319" s="84" t="str">
        <f>IFERROR(VLOOKUP($E319,設定!$C:$G,5,0),"")</f>
        <v/>
      </c>
      <c r="J319" s="117"/>
      <c r="K319" s="85"/>
      <c r="L319" s="86"/>
      <c r="M319" s="86"/>
      <c r="N319" s="86"/>
      <c r="O319" s="86"/>
      <c r="P319" s="86"/>
      <c r="Q319" s="86"/>
      <c r="R319" s="86"/>
      <c r="S319" s="86"/>
      <c r="T319" s="86"/>
      <c r="U319" s="86"/>
      <c r="V319" s="86"/>
      <c r="W319" s="86"/>
      <c r="X319" s="86"/>
      <c r="Y319" s="86"/>
      <c r="Z319" s="86"/>
      <c r="AA319" s="86"/>
      <c r="AB319" s="86"/>
      <c r="AC319" s="86"/>
      <c r="AD319" s="86"/>
      <c r="AE319" s="86"/>
      <c r="AF319" s="86"/>
      <c r="AG319" s="86"/>
      <c r="AH319" s="86"/>
      <c r="AI319" s="86"/>
      <c r="AJ319" s="86"/>
      <c r="AK319" s="86"/>
      <c r="AL319" s="86"/>
      <c r="AM319" s="86"/>
      <c r="AN319" s="86"/>
      <c r="AO319" s="87"/>
      <c r="AP319" s="88">
        <f t="shared" si="4"/>
        <v>0</v>
      </c>
    </row>
    <row r="320" spans="2:42" s="3" customFormat="1" ht="24" customHeight="1" x14ac:dyDescent="0.2">
      <c r="B320" s="80"/>
      <c r="C320" s="81"/>
      <c r="D320" s="82"/>
      <c r="E320" s="83"/>
      <c r="F320" s="84" t="str">
        <f>IFERROR(VLOOKUP($E320,設定!$C:$G,2,0),"")</f>
        <v/>
      </c>
      <c r="G320" s="84" t="str">
        <f>IFERROR(VLOOKUP($E320,設定!$C:$G,3,0),"")</f>
        <v/>
      </c>
      <c r="H320" s="84" t="str">
        <f>IFERROR(VLOOKUP($E320,設定!$C:$G,4,0),"")</f>
        <v/>
      </c>
      <c r="I320" s="84" t="str">
        <f>IFERROR(VLOOKUP($E320,設定!$C:$G,5,0),"")</f>
        <v/>
      </c>
      <c r="J320" s="117"/>
      <c r="K320" s="85"/>
      <c r="L320" s="86"/>
      <c r="M320" s="86"/>
      <c r="N320" s="86"/>
      <c r="O320" s="86"/>
      <c r="P320" s="86"/>
      <c r="Q320" s="86"/>
      <c r="R320" s="86"/>
      <c r="S320" s="86"/>
      <c r="T320" s="86"/>
      <c r="U320" s="86"/>
      <c r="V320" s="86"/>
      <c r="W320" s="86"/>
      <c r="X320" s="86"/>
      <c r="Y320" s="86"/>
      <c r="Z320" s="86"/>
      <c r="AA320" s="86"/>
      <c r="AB320" s="86"/>
      <c r="AC320" s="86"/>
      <c r="AD320" s="86"/>
      <c r="AE320" s="86"/>
      <c r="AF320" s="86"/>
      <c r="AG320" s="86"/>
      <c r="AH320" s="86"/>
      <c r="AI320" s="86"/>
      <c r="AJ320" s="86"/>
      <c r="AK320" s="86"/>
      <c r="AL320" s="86"/>
      <c r="AM320" s="86"/>
      <c r="AN320" s="86"/>
      <c r="AO320" s="87"/>
      <c r="AP320" s="88">
        <f t="shared" si="4"/>
        <v>0</v>
      </c>
    </row>
    <row r="321" spans="2:42" s="3" customFormat="1" ht="24" customHeight="1" x14ac:dyDescent="0.2">
      <c r="B321" s="80"/>
      <c r="C321" s="81"/>
      <c r="D321" s="82"/>
      <c r="E321" s="83"/>
      <c r="F321" s="84" t="str">
        <f>IFERROR(VLOOKUP($E321,設定!$C:$G,2,0),"")</f>
        <v/>
      </c>
      <c r="G321" s="84" t="str">
        <f>IFERROR(VLOOKUP($E321,設定!$C:$G,3,0),"")</f>
        <v/>
      </c>
      <c r="H321" s="84" t="str">
        <f>IFERROR(VLOOKUP($E321,設定!$C:$G,4,0),"")</f>
        <v/>
      </c>
      <c r="I321" s="84" t="str">
        <f>IFERROR(VLOOKUP($E321,設定!$C:$G,5,0),"")</f>
        <v/>
      </c>
      <c r="J321" s="117"/>
      <c r="K321" s="85"/>
      <c r="L321" s="86"/>
      <c r="M321" s="86"/>
      <c r="N321" s="86"/>
      <c r="O321" s="86"/>
      <c r="P321" s="86"/>
      <c r="Q321" s="86"/>
      <c r="R321" s="86"/>
      <c r="S321" s="86"/>
      <c r="T321" s="86"/>
      <c r="U321" s="86"/>
      <c r="V321" s="86"/>
      <c r="W321" s="86"/>
      <c r="X321" s="86"/>
      <c r="Y321" s="86"/>
      <c r="Z321" s="86"/>
      <c r="AA321" s="86"/>
      <c r="AB321" s="86"/>
      <c r="AC321" s="86"/>
      <c r="AD321" s="86"/>
      <c r="AE321" s="86"/>
      <c r="AF321" s="86"/>
      <c r="AG321" s="86"/>
      <c r="AH321" s="86"/>
      <c r="AI321" s="86"/>
      <c r="AJ321" s="86"/>
      <c r="AK321" s="86"/>
      <c r="AL321" s="86"/>
      <c r="AM321" s="86"/>
      <c r="AN321" s="86"/>
      <c r="AO321" s="87"/>
      <c r="AP321" s="88">
        <f t="shared" si="4"/>
        <v>0</v>
      </c>
    </row>
    <row r="322" spans="2:42" s="3" customFormat="1" ht="24" customHeight="1" x14ac:dyDescent="0.2">
      <c r="B322" s="80"/>
      <c r="C322" s="81"/>
      <c r="D322" s="82"/>
      <c r="E322" s="83"/>
      <c r="F322" s="84" t="str">
        <f>IFERROR(VLOOKUP($E322,設定!$C:$G,2,0),"")</f>
        <v/>
      </c>
      <c r="G322" s="84" t="str">
        <f>IFERROR(VLOOKUP($E322,設定!$C:$G,3,0),"")</f>
        <v/>
      </c>
      <c r="H322" s="84" t="str">
        <f>IFERROR(VLOOKUP($E322,設定!$C:$G,4,0),"")</f>
        <v/>
      </c>
      <c r="I322" s="84" t="str">
        <f>IFERROR(VLOOKUP($E322,設定!$C:$G,5,0),"")</f>
        <v/>
      </c>
      <c r="J322" s="117"/>
      <c r="K322" s="85"/>
      <c r="L322" s="86"/>
      <c r="M322" s="86"/>
      <c r="N322" s="86"/>
      <c r="O322" s="86"/>
      <c r="P322" s="86"/>
      <c r="Q322" s="86"/>
      <c r="R322" s="86"/>
      <c r="S322" s="86"/>
      <c r="T322" s="86"/>
      <c r="U322" s="86"/>
      <c r="V322" s="86"/>
      <c r="W322" s="86"/>
      <c r="X322" s="86"/>
      <c r="Y322" s="86"/>
      <c r="Z322" s="86"/>
      <c r="AA322" s="86"/>
      <c r="AB322" s="86"/>
      <c r="AC322" s="86"/>
      <c r="AD322" s="86"/>
      <c r="AE322" s="86"/>
      <c r="AF322" s="86"/>
      <c r="AG322" s="86"/>
      <c r="AH322" s="86"/>
      <c r="AI322" s="86"/>
      <c r="AJ322" s="86"/>
      <c r="AK322" s="86"/>
      <c r="AL322" s="86"/>
      <c r="AM322" s="86"/>
      <c r="AN322" s="86"/>
      <c r="AO322" s="87"/>
      <c r="AP322" s="88">
        <f t="shared" si="4"/>
        <v>0</v>
      </c>
    </row>
    <row r="323" spans="2:42" s="3" customFormat="1" ht="24" customHeight="1" x14ac:dyDescent="0.2">
      <c r="B323" s="80"/>
      <c r="C323" s="81"/>
      <c r="D323" s="82"/>
      <c r="E323" s="83"/>
      <c r="F323" s="84" t="str">
        <f>IFERROR(VLOOKUP($E323,設定!$C:$G,2,0),"")</f>
        <v/>
      </c>
      <c r="G323" s="84" t="str">
        <f>IFERROR(VLOOKUP($E323,設定!$C:$G,3,0),"")</f>
        <v/>
      </c>
      <c r="H323" s="84" t="str">
        <f>IFERROR(VLOOKUP($E323,設定!$C:$G,4,0),"")</f>
        <v/>
      </c>
      <c r="I323" s="84" t="str">
        <f>IFERROR(VLOOKUP($E323,設定!$C:$G,5,0),"")</f>
        <v/>
      </c>
      <c r="J323" s="117"/>
      <c r="K323" s="85"/>
      <c r="L323" s="86"/>
      <c r="M323" s="86"/>
      <c r="N323" s="86"/>
      <c r="O323" s="86"/>
      <c r="P323" s="86"/>
      <c r="Q323" s="86"/>
      <c r="R323" s="86"/>
      <c r="S323" s="86"/>
      <c r="T323" s="86"/>
      <c r="U323" s="86"/>
      <c r="V323" s="86"/>
      <c r="W323" s="86"/>
      <c r="X323" s="86"/>
      <c r="Y323" s="86"/>
      <c r="Z323" s="86"/>
      <c r="AA323" s="86"/>
      <c r="AB323" s="86"/>
      <c r="AC323" s="86"/>
      <c r="AD323" s="86"/>
      <c r="AE323" s="86"/>
      <c r="AF323" s="86"/>
      <c r="AG323" s="86"/>
      <c r="AH323" s="86"/>
      <c r="AI323" s="86"/>
      <c r="AJ323" s="86"/>
      <c r="AK323" s="86"/>
      <c r="AL323" s="86"/>
      <c r="AM323" s="86"/>
      <c r="AN323" s="86"/>
      <c r="AO323" s="87"/>
      <c r="AP323" s="88">
        <f t="shared" si="4"/>
        <v>0</v>
      </c>
    </row>
    <row r="324" spans="2:42" s="3" customFormat="1" ht="24" customHeight="1" x14ac:dyDescent="0.2">
      <c r="B324" s="80"/>
      <c r="C324" s="81"/>
      <c r="D324" s="82"/>
      <c r="E324" s="83"/>
      <c r="F324" s="84" t="str">
        <f>IFERROR(VLOOKUP($E324,設定!$C:$G,2,0),"")</f>
        <v/>
      </c>
      <c r="G324" s="84" t="str">
        <f>IFERROR(VLOOKUP($E324,設定!$C:$G,3,0),"")</f>
        <v/>
      </c>
      <c r="H324" s="84" t="str">
        <f>IFERROR(VLOOKUP($E324,設定!$C:$G,4,0),"")</f>
        <v/>
      </c>
      <c r="I324" s="84" t="str">
        <f>IFERROR(VLOOKUP($E324,設定!$C:$G,5,0),"")</f>
        <v/>
      </c>
      <c r="J324" s="117"/>
      <c r="K324" s="85"/>
      <c r="L324" s="86"/>
      <c r="M324" s="86"/>
      <c r="N324" s="86"/>
      <c r="O324" s="86"/>
      <c r="P324" s="86"/>
      <c r="Q324" s="86"/>
      <c r="R324" s="86"/>
      <c r="S324" s="86"/>
      <c r="T324" s="86"/>
      <c r="U324" s="86"/>
      <c r="V324" s="86"/>
      <c r="W324" s="86"/>
      <c r="X324" s="86"/>
      <c r="Y324" s="86"/>
      <c r="Z324" s="86"/>
      <c r="AA324" s="86"/>
      <c r="AB324" s="86"/>
      <c r="AC324" s="86"/>
      <c r="AD324" s="86"/>
      <c r="AE324" s="86"/>
      <c r="AF324" s="86"/>
      <c r="AG324" s="86"/>
      <c r="AH324" s="86"/>
      <c r="AI324" s="86"/>
      <c r="AJ324" s="86"/>
      <c r="AK324" s="86"/>
      <c r="AL324" s="86"/>
      <c r="AM324" s="86"/>
      <c r="AN324" s="86"/>
      <c r="AO324" s="87"/>
      <c r="AP324" s="88">
        <f t="shared" si="4"/>
        <v>0</v>
      </c>
    </row>
    <row r="325" spans="2:42" s="3" customFormat="1" ht="24" customHeight="1" x14ac:dyDescent="0.2">
      <c r="B325" s="80"/>
      <c r="C325" s="81"/>
      <c r="D325" s="82"/>
      <c r="E325" s="83"/>
      <c r="F325" s="84" t="str">
        <f>IFERROR(VLOOKUP($E325,設定!$C:$G,2,0),"")</f>
        <v/>
      </c>
      <c r="G325" s="84" t="str">
        <f>IFERROR(VLOOKUP($E325,設定!$C:$G,3,0),"")</f>
        <v/>
      </c>
      <c r="H325" s="84" t="str">
        <f>IFERROR(VLOOKUP($E325,設定!$C:$G,4,0),"")</f>
        <v/>
      </c>
      <c r="I325" s="84" t="str">
        <f>IFERROR(VLOOKUP($E325,設定!$C:$G,5,0),"")</f>
        <v/>
      </c>
      <c r="J325" s="117"/>
      <c r="K325" s="85"/>
      <c r="L325" s="86"/>
      <c r="M325" s="86"/>
      <c r="N325" s="86"/>
      <c r="O325" s="86"/>
      <c r="P325" s="86"/>
      <c r="Q325" s="86"/>
      <c r="R325" s="86"/>
      <c r="S325" s="86"/>
      <c r="T325" s="86"/>
      <c r="U325" s="86"/>
      <c r="V325" s="86"/>
      <c r="W325" s="86"/>
      <c r="X325" s="86"/>
      <c r="Y325" s="86"/>
      <c r="Z325" s="86"/>
      <c r="AA325" s="86"/>
      <c r="AB325" s="86"/>
      <c r="AC325" s="86"/>
      <c r="AD325" s="86"/>
      <c r="AE325" s="86"/>
      <c r="AF325" s="86"/>
      <c r="AG325" s="86"/>
      <c r="AH325" s="86"/>
      <c r="AI325" s="86"/>
      <c r="AJ325" s="86"/>
      <c r="AK325" s="86"/>
      <c r="AL325" s="86"/>
      <c r="AM325" s="86"/>
      <c r="AN325" s="86"/>
      <c r="AO325" s="87"/>
      <c r="AP325" s="88">
        <f t="shared" si="4"/>
        <v>0</v>
      </c>
    </row>
    <row r="326" spans="2:42" s="3" customFormat="1" ht="24" customHeight="1" x14ac:dyDescent="0.2">
      <c r="B326" s="80"/>
      <c r="C326" s="81"/>
      <c r="D326" s="82"/>
      <c r="E326" s="83"/>
      <c r="F326" s="84" t="str">
        <f>IFERROR(VLOOKUP($E326,設定!$C:$G,2,0),"")</f>
        <v/>
      </c>
      <c r="G326" s="84" t="str">
        <f>IFERROR(VLOOKUP($E326,設定!$C:$G,3,0),"")</f>
        <v/>
      </c>
      <c r="H326" s="84" t="str">
        <f>IFERROR(VLOOKUP($E326,設定!$C:$G,4,0),"")</f>
        <v/>
      </c>
      <c r="I326" s="84" t="str">
        <f>IFERROR(VLOOKUP($E326,設定!$C:$G,5,0),"")</f>
        <v/>
      </c>
      <c r="J326" s="117"/>
      <c r="K326" s="85"/>
      <c r="L326" s="86"/>
      <c r="M326" s="86"/>
      <c r="N326" s="86"/>
      <c r="O326" s="86"/>
      <c r="P326" s="86"/>
      <c r="Q326" s="86"/>
      <c r="R326" s="86"/>
      <c r="S326" s="86"/>
      <c r="T326" s="86"/>
      <c r="U326" s="86"/>
      <c r="V326" s="86"/>
      <c r="W326" s="86"/>
      <c r="X326" s="86"/>
      <c r="Y326" s="86"/>
      <c r="Z326" s="86"/>
      <c r="AA326" s="86"/>
      <c r="AB326" s="86"/>
      <c r="AC326" s="86"/>
      <c r="AD326" s="86"/>
      <c r="AE326" s="86"/>
      <c r="AF326" s="86"/>
      <c r="AG326" s="86"/>
      <c r="AH326" s="86"/>
      <c r="AI326" s="86"/>
      <c r="AJ326" s="86"/>
      <c r="AK326" s="86"/>
      <c r="AL326" s="86"/>
      <c r="AM326" s="86"/>
      <c r="AN326" s="86"/>
      <c r="AO326" s="87"/>
      <c r="AP326" s="88">
        <f t="shared" si="4"/>
        <v>0</v>
      </c>
    </row>
    <row r="327" spans="2:42" s="3" customFormat="1" ht="24" customHeight="1" x14ac:dyDescent="0.2">
      <c r="B327" s="80"/>
      <c r="C327" s="81"/>
      <c r="D327" s="82"/>
      <c r="E327" s="83"/>
      <c r="F327" s="84" t="str">
        <f>IFERROR(VLOOKUP($E327,設定!$C:$G,2,0),"")</f>
        <v/>
      </c>
      <c r="G327" s="84" t="str">
        <f>IFERROR(VLOOKUP($E327,設定!$C:$G,3,0),"")</f>
        <v/>
      </c>
      <c r="H327" s="84" t="str">
        <f>IFERROR(VLOOKUP($E327,設定!$C:$G,4,0),"")</f>
        <v/>
      </c>
      <c r="I327" s="84" t="str">
        <f>IFERROR(VLOOKUP($E327,設定!$C:$G,5,0),"")</f>
        <v/>
      </c>
      <c r="J327" s="117"/>
      <c r="K327" s="85"/>
      <c r="L327" s="86"/>
      <c r="M327" s="86"/>
      <c r="N327" s="86"/>
      <c r="O327" s="86"/>
      <c r="P327" s="86"/>
      <c r="Q327" s="86"/>
      <c r="R327" s="86"/>
      <c r="S327" s="86"/>
      <c r="T327" s="86"/>
      <c r="U327" s="86"/>
      <c r="V327" s="86"/>
      <c r="W327" s="86"/>
      <c r="X327" s="86"/>
      <c r="Y327" s="86"/>
      <c r="Z327" s="86"/>
      <c r="AA327" s="86"/>
      <c r="AB327" s="86"/>
      <c r="AC327" s="86"/>
      <c r="AD327" s="86"/>
      <c r="AE327" s="86"/>
      <c r="AF327" s="86"/>
      <c r="AG327" s="86"/>
      <c r="AH327" s="86"/>
      <c r="AI327" s="86"/>
      <c r="AJ327" s="86"/>
      <c r="AK327" s="86"/>
      <c r="AL327" s="86"/>
      <c r="AM327" s="86"/>
      <c r="AN327" s="86"/>
      <c r="AO327" s="87"/>
      <c r="AP327" s="88">
        <f t="shared" si="4"/>
        <v>0</v>
      </c>
    </row>
    <row r="328" spans="2:42" s="3" customFormat="1" ht="24" customHeight="1" x14ac:dyDescent="0.2">
      <c r="B328" s="80"/>
      <c r="C328" s="81"/>
      <c r="D328" s="82"/>
      <c r="E328" s="83"/>
      <c r="F328" s="84" t="str">
        <f>IFERROR(VLOOKUP($E328,設定!$C:$G,2,0),"")</f>
        <v/>
      </c>
      <c r="G328" s="84" t="str">
        <f>IFERROR(VLOOKUP($E328,設定!$C:$G,3,0),"")</f>
        <v/>
      </c>
      <c r="H328" s="84" t="str">
        <f>IFERROR(VLOOKUP($E328,設定!$C:$G,4,0),"")</f>
        <v/>
      </c>
      <c r="I328" s="84" t="str">
        <f>IFERROR(VLOOKUP($E328,設定!$C:$G,5,0),"")</f>
        <v/>
      </c>
      <c r="J328" s="117"/>
      <c r="K328" s="85"/>
      <c r="L328" s="86"/>
      <c r="M328" s="86"/>
      <c r="N328" s="86"/>
      <c r="O328" s="86"/>
      <c r="P328" s="86"/>
      <c r="Q328" s="86"/>
      <c r="R328" s="86"/>
      <c r="S328" s="86"/>
      <c r="T328" s="86"/>
      <c r="U328" s="86"/>
      <c r="V328" s="86"/>
      <c r="W328" s="86"/>
      <c r="X328" s="86"/>
      <c r="Y328" s="86"/>
      <c r="Z328" s="86"/>
      <c r="AA328" s="86"/>
      <c r="AB328" s="86"/>
      <c r="AC328" s="86"/>
      <c r="AD328" s="86"/>
      <c r="AE328" s="86"/>
      <c r="AF328" s="86"/>
      <c r="AG328" s="86"/>
      <c r="AH328" s="86"/>
      <c r="AI328" s="86"/>
      <c r="AJ328" s="86"/>
      <c r="AK328" s="86"/>
      <c r="AL328" s="86"/>
      <c r="AM328" s="86"/>
      <c r="AN328" s="86"/>
      <c r="AO328" s="87"/>
      <c r="AP328" s="88">
        <f t="shared" ref="AP328:AP391" si="5">J328*SUM(K328:AO328)</f>
        <v>0</v>
      </c>
    </row>
    <row r="329" spans="2:42" s="3" customFormat="1" ht="24" customHeight="1" x14ac:dyDescent="0.2">
      <c r="B329" s="80"/>
      <c r="C329" s="81"/>
      <c r="D329" s="82"/>
      <c r="E329" s="83"/>
      <c r="F329" s="84" t="str">
        <f>IFERROR(VLOOKUP($E329,設定!$C:$G,2,0),"")</f>
        <v/>
      </c>
      <c r="G329" s="84" t="str">
        <f>IFERROR(VLOOKUP($E329,設定!$C:$G,3,0),"")</f>
        <v/>
      </c>
      <c r="H329" s="84" t="str">
        <f>IFERROR(VLOOKUP($E329,設定!$C:$G,4,0),"")</f>
        <v/>
      </c>
      <c r="I329" s="84" t="str">
        <f>IFERROR(VLOOKUP($E329,設定!$C:$G,5,0),"")</f>
        <v/>
      </c>
      <c r="J329" s="117"/>
      <c r="K329" s="85"/>
      <c r="L329" s="86"/>
      <c r="M329" s="86"/>
      <c r="N329" s="86"/>
      <c r="O329" s="86"/>
      <c r="P329" s="86"/>
      <c r="Q329" s="86"/>
      <c r="R329" s="86"/>
      <c r="S329" s="86"/>
      <c r="T329" s="86"/>
      <c r="U329" s="86"/>
      <c r="V329" s="86"/>
      <c r="W329" s="86"/>
      <c r="X329" s="86"/>
      <c r="Y329" s="86"/>
      <c r="Z329" s="86"/>
      <c r="AA329" s="86"/>
      <c r="AB329" s="86"/>
      <c r="AC329" s="86"/>
      <c r="AD329" s="86"/>
      <c r="AE329" s="86"/>
      <c r="AF329" s="86"/>
      <c r="AG329" s="86"/>
      <c r="AH329" s="86"/>
      <c r="AI329" s="86"/>
      <c r="AJ329" s="86"/>
      <c r="AK329" s="86"/>
      <c r="AL329" s="86"/>
      <c r="AM329" s="86"/>
      <c r="AN329" s="86"/>
      <c r="AO329" s="87"/>
      <c r="AP329" s="88">
        <f t="shared" si="5"/>
        <v>0</v>
      </c>
    </row>
    <row r="330" spans="2:42" s="3" customFormat="1" ht="24" customHeight="1" x14ac:dyDescent="0.2">
      <c r="B330" s="80"/>
      <c r="C330" s="81"/>
      <c r="D330" s="82"/>
      <c r="E330" s="83"/>
      <c r="F330" s="84" t="str">
        <f>IFERROR(VLOOKUP($E330,設定!$C:$G,2,0),"")</f>
        <v/>
      </c>
      <c r="G330" s="84" t="str">
        <f>IFERROR(VLOOKUP($E330,設定!$C:$G,3,0),"")</f>
        <v/>
      </c>
      <c r="H330" s="84" t="str">
        <f>IFERROR(VLOOKUP($E330,設定!$C:$G,4,0),"")</f>
        <v/>
      </c>
      <c r="I330" s="84" t="str">
        <f>IFERROR(VLOOKUP($E330,設定!$C:$G,5,0),"")</f>
        <v/>
      </c>
      <c r="J330" s="117"/>
      <c r="K330" s="85"/>
      <c r="L330" s="86"/>
      <c r="M330" s="86"/>
      <c r="N330" s="86"/>
      <c r="O330" s="86"/>
      <c r="P330" s="86"/>
      <c r="Q330" s="86"/>
      <c r="R330" s="86"/>
      <c r="S330" s="86"/>
      <c r="T330" s="86"/>
      <c r="U330" s="86"/>
      <c r="V330" s="86"/>
      <c r="W330" s="86"/>
      <c r="X330" s="86"/>
      <c r="Y330" s="86"/>
      <c r="Z330" s="86"/>
      <c r="AA330" s="86"/>
      <c r="AB330" s="86"/>
      <c r="AC330" s="86"/>
      <c r="AD330" s="86"/>
      <c r="AE330" s="86"/>
      <c r="AF330" s="86"/>
      <c r="AG330" s="86"/>
      <c r="AH330" s="86"/>
      <c r="AI330" s="86"/>
      <c r="AJ330" s="86"/>
      <c r="AK330" s="86"/>
      <c r="AL330" s="86"/>
      <c r="AM330" s="86"/>
      <c r="AN330" s="86"/>
      <c r="AO330" s="87"/>
      <c r="AP330" s="88">
        <f t="shared" si="5"/>
        <v>0</v>
      </c>
    </row>
    <row r="331" spans="2:42" s="3" customFormat="1" ht="24" customHeight="1" x14ac:dyDescent="0.2">
      <c r="B331" s="80"/>
      <c r="C331" s="81"/>
      <c r="D331" s="82"/>
      <c r="E331" s="83"/>
      <c r="F331" s="84" t="str">
        <f>IFERROR(VLOOKUP($E331,設定!$C:$G,2,0),"")</f>
        <v/>
      </c>
      <c r="G331" s="84" t="str">
        <f>IFERROR(VLOOKUP($E331,設定!$C:$G,3,0),"")</f>
        <v/>
      </c>
      <c r="H331" s="84" t="str">
        <f>IFERROR(VLOOKUP($E331,設定!$C:$G,4,0),"")</f>
        <v/>
      </c>
      <c r="I331" s="84" t="str">
        <f>IFERROR(VLOOKUP($E331,設定!$C:$G,5,0),"")</f>
        <v/>
      </c>
      <c r="J331" s="117"/>
      <c r="K331" s="85"/>
      <c r="L331" s="86"/>
      <c r="M331" s="86"/>
      <c r="N331" s="86"/>
      <c r="O331" s="86"/>
      <c r="P331" s="86"/>
      <c r="Q331" s="86"/>
      <c r="R331" s="86"/>
      <c r="S331" s="86"/>
      <c r="T331" s="86"/>
      <c r="U331" s="86"/>
      <c r="V331" s="86"/>
      <c r="W331" s="86"/>
      <c r="X331" s="86"/>
      <c r="Y331" s="86"/>
      <c r="Z331" s="86"/>
      <c r="AA331" s="86"/>
      <c r="AB331" s="86"/>
      <c r="AC331" s="86"/>
      <c r="AD331" s="86"/>
      <c r="AE331" s="86"/>
      <c r="AF331" s="86"/>
      <c r="AG331" s="86"/>
      <c r="AH331" s="86"/>
      <c r="AI331" s="86"/>
      <c r="AJ331" s="86"/>
      <c r="AK331" s="86"/>
      <c r="AL331" s="86"/>
      <c r="AM331" s="86"/>
      <c r="AN331" s="86"/>
      <c r="AO331" s="87"/>
      <c r="AP331" s="88">
        <f t="shared" si="5"/>
        <v>0</v>
      </c>
    </row>
    <row r="332" spans="2:42" s="3" customFormat="1" ht="24" customHeight="1" x14ac:dyDescent="0.2">
      <c r="B332" s="80"/>
      <c r="C332" s="81"/>
      <c r="D332" s="82"/>
      <c r="E332" s="83"/>
      <c r="F332" s="84" t="str">
        <f>IFERROR(VLOOKUP($E332,設定!$C:$G,2,0),"")</f>
        <v/>
      </c>
      <c r="G332" s="84" t="str">
        <f>IFERROR(VLOOKUP($E332,設定!$C:$G,3,0),"")</f>
        <v/>
      </c>
      <c r="H332" s="84" t="str">
        <f>IFERROR(VLOOKUP($E332,設定!$C:$G,4,0),"")</f>
        <v/>
      </c>
      <c r="I332" s="84" t="str">
        <f>IFERROR(VLOOKUP($E332,設定!$C:$G,5,0),"")</f>
        <v/>
      </c>
      <c r="J332" s="117"/>
      <c r="K332" s="85"/>
      <c r="L332" s="86"/>
      <c r="M332" s="86"/>
      <c r="N332" s="86"/>
      <c r="O332" s="86"/>
      <c r="P332" s="86"/>
      <c r="Q332" s="86"/>
      <c r="R332" s="86"/>
      <c r="S332" s="86"/>
      <c r="T332" s="86"/>
      <c r="U332" s="86"/>
      <c r="V332" s="86"/>
      <c r="W332" s="86"/>
      <c r="X332" s="86"/>
      <c r="Y332" s="86"/>
      <c r="Z332" s="86"/>
      <c r="AA332" s="86"/>
      <c r="AB332" s="86"/>
      <c r="AC332" s="86"/>
      <c r="AD332" s="86"/>
      <c r="AE332" s="86"/>
      <c r="AF332" s="86"/>
      <c r="AG332" s="86"/>
      <c r="AH332" s="86"/>
      <c r="AI332" s="86"/>
      <c r="AJ332" s="86"/>
      <c r="AK332" s="86"/>
      <c r="AL332" s="86"/>
      <c r="AM332" s="86"/>
      <c r="AN332" s="86"/>
      <c r="AO332" s="87"/>
      <c r="AP332" s="88">
        <f t="shared" si="5"/>
        <v>0</v>
      </c>
    </row>
    <row r="333" spans="2:42" s="3" customFormat="1" ht="24" customHeight="1" x14ac:dyDescent="0.2">
      <c r="B333" s="80"/>
      <c r="C333" s="81"/>
      <c r="D333" s="82"/>
      <c r="E333" s="83"/>
      <c r="F333" s="84" t="str">
        <f>IFERROR(VLOOKUP($E333,設定!$C:$G,2,0),"")</f>
        <v/>
      </c>
      <c r="G333" s="84" t="str">
        <f>IFERROR(VLOOKUP($E333,設定!$C:$G,3,0),"")</f>
        <v/>
      </c>
      <c r="H333" s="84" t="str">
        <f>IFERROR(VLOOKUP($E333,設定!$C:$G,4,0),"")</f>
        <v/>
      </c>
      <c r="I333" s="84" t="str">
        <f>IFERROR(VLOOKUP($E333,設定!$C:$G,5,0),"")</f>
        <v/>
      </c>
      <c r="J333" s="117"/>
      <c r="K333" s="85"/>
      <c r="L333" s="86"/>
      <c r="M333" s="86"/>
      <c r="N333" s="86"/>
      <c r="O333" s="86"/>
      <c r="P333" s="86"/>
      <c r="Q333" s="86"/>
      <c r="R333" s="86"/>
      <c r="S333" s="86"/>
      <c r="T333" s="86"/>
      <c r="U333" s="86"/>
      <c r="V333" s="86"/>
      <c r="W333" s="86"/>
      <c r="X333" s="86"/>
      <c r="Y333" s="86"/>
      <c r="Z333" s="86"/>
      <c r="AA333" s="86"/>
      <c r="AB333" s="86"/>
      <c r="AC333" s="86"/>
      <c r="AD333" s="86"/>
      <c r="AE333" s="86"/>
      <c r="AF333" s="86"/>
      <c r="AG333" s="86"/>
      <c r="AH333" s="86"/>
      <c r="AI333" s="86"/>
      <c r="AJ333" s="86"/>
      <c r="AK333" s="86"/>
      <c r="AL333" s="86"/>
      <c r="AM333" s="86"/>
      <c r="AN333" s="86"/>
      <c r="AO333" s="87"/>
      <c r="AP333" s="88">
        <f t="shared" si="5"/>
        <v>0</v>
      </c>
    </row>
    <row r="334" spans="2:42" s="3" customFormat="1" ht="24" customHeight="1" x14ac:dyDescent="0.2">
      <c r="B334" s="80"/>
      <c r="C334" s="81"/>
      <c r="D334" s="82"/>
      <c r="E334" s="83"/>
      <c r="F334" s="84" t="str">
        <f>IFERROR(VLOOKUP($E334,設定!$C:$G,2,0),"")</f>
        <v/>
      </c>
      <c r="G334" s="84" t="str">
        <f>IFERROR(VLOOKUP($E334,設定!$C:$G,3,0),"")</f>
        <v/>
      </c>
      <c r="H334" s="84" t="str">
        <f>IFERROR(VLOOKUP($E334,設定!$C:$G,4,0),"")</f>
        <v/>
      </c>
      <c r="I334" s="84" t="str">
        <f>IFERROR(VLOOKUP($E334,設定!$C:$G,5,0),"")</f>
        <v/>
      </c>
      <c r="J334" s="117"/>
      <c r="K334" s="85"/>
      <c r="L334" s="86"/>
      <c r="M334" s="86"/>
      <c r="N334" s="86"/>
      <c r="O334" s="86"/>
      <c r="P334" s="86"/>
      <c r="Q334" s="86"/>
      <c r="R334" s="86"/>
      <c r="S334" s="86"/>
      <c r="T334" s="86"/>
      <c r="U334" s="86"/>
      <c r="V334" s="86"/>
      <c r="W334" s="86"/>
      <c r="X334" s="86"/>
      <c r="Y334" s="86"/>
      <c r="Z334" s="86"/>
      <c r="AA334" s="86"/>
      <c r="AB334" s="86"/>
      <c r="AC334" s="86"/>
      <c r="AD334" s="86"/>
      <c r="AE334" s="86"/>
      <c r="AF334" s="86"/>
      <c r="AG334" s="86"/>
      <c r="AH334" s="86"/>
      <c r="AI334" s="86"/>
      <c r="AJ334" s="86"/>
      <c r="AK334" s="86"/>
      <c r="AL334" s="86"/>
      <c r="AM334" s="86"/>
      <c r="AN334" s="86"/>
      <c r="AO334" s="87"/>
      <c r="AP334" s="88">
        <f t="shared" si="5"/>
        <v>0</v>
      </c>
    </row>
    <row r="335" spans="2:42" s="3" customFormat="1" ht="24" customHeight="1" x14ac:dyDescent="0.2">
      <c r="B335" s="80"/>
      <c r="C335" s="81"/>
      <c r="D335" s="82"/>
      <c r="E335" s="83"/>
      <c r="F335" s="84" t="str">
        <f>IFERROR(VLOOKUP($E335,設定!$C:$G,2,0),"")</f>
        <v/>
      </c>
      <c r="G335" s="84" t="str">
        <f>IFERROR(VLOOKUP($E335,設定!$C:$G,3,0),"")</f>
        <v/>
      </c>
      <c r="H335" s="84" t="str">
        <f>IFERROR(VLOOKUP($E335,設定!$C:$G,4,0),"")</f>
        <v/>
      </c>
      <c r="I335" s="84" t="str">
        <f>IFERROR(VLOOKUP($E335,設定!$C:$G,5,0),"")</f>
        <v/>
      </c>
      <c r="J335" s="117"/>
      <c r="K335" s="85"/>
      <c r="L335" s="86"/>
      <c r="M335" s="86"/>
      <c r="N335" s="86"/>
      <c r="O335" s="86"/>
      <c r="P335" s="86"/>
      <c r="Q335" s="86"/>
      <c r="R335" s="86"/>
      <c r="S335" s="86"/>
      <c r="T335" s="86"/>
      <c r="U335" s="86"/>
      <c r="V335" s="86"/>
      <c r="W335" s="86"/>
      <c r="X335" s="86"/>
      <c r="Y335" s="86"/>
      <c r="Z335" s="86"/>
      <c r="AA335" s="86"/>
      <c r="AB335" s="86"/>
      <c r="AC335" s="86"/>
      <c r="AD335" s="86"/>
      <c r="AE335" s="86"/>
      <c r="AF335" s="86"/>
      <c r="AG335" s="86"/>
      <c r="AH335" s="86"/>
      <c r="AI335" s="86"/>
      <c r="AJ335" s="86"/>
      <c r="AK335" s="86"/>
      <c r="AL335" s="86"/>
      <c r="AM335" s="86"/>
      <c r="AN335" s="86"/>
      <c r="AO335" s="87"/>
      <c r="AP335" s="88">
        <f t="shared" si="5"/>
        <v>0</v>
      </c>
    </row>
    <row r="336" spans="2:42" s="3" customFormat="1" ht="24" customHeight="1" x14ac:dyDescent="0.2">
      <c r="B336" s="80"/>
      <c r="C336" s="81"/>
      <c r="D336" s="82"/>
      <c r="E336" s="83"/>
      <c r="F336" s="84" t="str">
        <f>IFERROR(VLOOKUP($E336,設定!$C:$G,2,0),"")</f>
        <v/>
      </c>
      <c r="G336" s="84" t="str">
        <f>IFERROR(VLOOKUP($E336,設定!$C:$G,3,0),"")</f>
        <v/>
      </c>
      <c r="H336" s="84" t="str">
        <f>IFERROR(VLOOKUP($E336,設定!$C:$G,4,0),"")</f>
        <v/>
      </c>
      <c r="I336" s="84" t="str">
        <f>IFERROR(VLOOKUP($E336,設定!$C:$G,5,0),"")</f>
        <v/>
      </c>
      <c r="J336" s="117"/>
      <c r="K336" s="85"/>
      <c r="L336" s="86"/>
      <c r="M336" s="86"/>
      <c r="N336" s="86"/>
      <c r="O336" s="86"/>
      <c r="P336" s="86"/>
      <c r="Q336" s="86"/>
      <c r="R336" s="86"/>
      <c r="S336" s="86"/>
      <c r="T336" s="86"/>
      <c r="U336" s="86"/>
      <c r="V336" s="86"/>
      <c r="W336" s="86"/>
      <c r="X336" s="86"/>
      <c r="Y336" s="86"/>
      <c r="Z336" s="86"/>
      <c r="AA336" s="86"/>
      <c r="AB336" s="86"/>
      <c r="AC336" s="86"/>
      <c r="AD336" s="86"/>
      <c r="AE336" s="86"/>
      <c r="AF336" s="86"/>
      <c r="AG336" s="86"/>
      <c r="AH336" s="86"/>
      <c r="AI336" s="86"/>
      <c r="AJ336" s="86"/>
      <c r="AK336" s="86"/>
      <c r="AL336" s="86"/>
      <c r="AM336" s="86"/>
      <c r="AN336" s="86"/>
      <c r="AO336" s="87"/>
      <c r="AP336" s="88">
        <f t="shared" si="5"/>
        <v>0</v>
      </c>
    </row>
    <row r="337" spans="2:42" s="3" customFormat="1" ht="24" customHeight="1" x14ac:dyDescent="0.2">
      <c r="B337" s="80"/>
      <c r="C337" s="81"/>
      <c r="D337" s="82"/>
      <c r="E337" s="83"/>
      <c r="F337" s="84" t="str">
        <f>IFERROR(VLOOKUP($E337,設定!$C:$G,2,0),"")</f>
        <v/>
      </c>
      <c r="G337" s="84" t="str">
        <f>IFERROR(VLOOKUP($E337,設定!$C:$G,3,0),"")</f>
        <v/>
      </c>
      <c r="H337" s="84" t="str">
        <f>IFERROR(VLOOKUP($E337,設定!$C:$G,4,0),"")</f>
        <v/>
      </c>
      <c r="I337" s="84" t="str">
        <f>IFERROR(VLOOKUP($E337,設定!$C:$G,5,0),"")</f>
        <v/>
      </c>
      <c r="J337" s="117"/>
      <c r="K337" s="85"/>
      <c r="L337" s="86"/>
      <c r="M337" s="86"/>
      <c r="N337" s="86"/>
      <c r="O337" s="86"/>
      <c r="P337" s="86"/>
      <c r="Q337" s="86"/>
      <c r="R337" s="86"/>
      <c r="S337" s="86"/>
      <c r="T337" s="86"/>
      <c r="U337" s="86"/>
      <c r="V337" s="86"/>
      <c r="W337" s="86"/>
      <c r="X337" s="86"/>
      <c r="Y337" s="86"/>
      <c r="Z337" s="86"/>
      <c r="AA337" s="86"/>
      <c r="AB337" s="86"/>
      <c r="AC337" s="86"/>
      <c r="AD337" s="86"/>
      <c r="AE337" s="86"/>
      <c r="AF337" s="86"/>
      <c r="AG337" s="86"/>
      <c r="AH337" s="86"/>
      <c r="AI337" s="86"/>
      <c r="AJ337" s="86"/>
      <c r="AK337" s="86"/>
      <c r="AL337" s="86"/>
      <c r="AM337" s="86"/>
      <c r="AN337" s="86"/>
      <c r="AO337" s="87"/>
      <c r="AP337" s="88">
        <f t="shared" si="5"/>
        <v>0</v>
      </c>
    </row>
    <row r="338" spans="2:42" s="3" customFormat="1" ht="24" customHeight="1" x14ac:dyDescent="0.2">
      <c r="B338" s="80"/>
      <c r="C338" s="81"/>
      <c r="D338" s="82"/>
      <c r="E338" s="83"/>
      <c r="F338" s="84" t="str">
        <f>IFERROR(VLOOKUP($E338,設定!$C:$G,2,0),"")</f>
        <v/>
      </c>
      <c r="G338" s="84" t="str">
        <f>IFERROR(VLOOKUP($E338,設定!$C:$G,3,0),"")</f>
        <v/>
      </c>
      <c r="H338" s="84" t="str">
        <f>IFERROR(VLOOKUP($E338,設定!$C:$G,4,0),"")</f>
        <v/>
      </c>
      <c r="I338" s="84" t="str">
        <f>IFERROR(VLOOKUP($E338,設定!$C:$G,5,0),"")</f>
        <v/>
      </c>
      <c r="J338" s="117"/>
      <c r="K338" s="85"/>
      <c r="L338" s="86"/>
      <c r="M338" s="86"/>
      <c r="N338" s="86"/>
      <c r="O338" s="86"/>
      <c r="P338" s="86"/>
      <c r="Q338" s="86"/>
      <c r="R338" s="86"/>
      <c r="S338" s="86"/>
      <c r="T338" s="86"/>
      <c r="U338" s="86"/>
      <c r="V338" s="86"/>
      <c r="W338" s="86"/>
      <c r="X338" s="86"/>
      <c r="Y338" s="86"/>
      <c r="Z338" s="86"/>
      <c r="AA338" s="86"/>
      <c r="AB338" s="86"/>
      <c r="AC338" s="86"/>
      <c r="AD338" s="86"/>
      <c r="AE338" s="86"/>
      <c r="AF338" s="86"/>
      <c r="AG338" s="86"/>
      <c r="AH338" s="86"/>
      <c r="AI338" s="86"/>
      <c r="AJ338" s="86"/>
      <c r="AK338" s="86"/>
      <c r="AL338" s="86"/>
      <c r="AM338" s="86"/>
      <c r="AN338" s="86"/>
      <c r="AO338" s="87"/>
      <c r="AP338" s="88">
        <f t="shared" si="5"/>
        <v>0</v>
      </c>
    </row>
    <row r="339" spans="2:42" s="3" customFormat="1" ht="24" customHeight="1" x14ac:dyDescent="0.2">
      <c r="B339" s="80"/>
      <c r="C339" s="81"/>
      <c r="D339" s="82"/>
      <c r="E339" s="83"/>
      <c r="F339" s="84" t="str">
        <f>IFERROR(VLOOKUP($E339,設定!$C:$G,2,0),"")</f>
        <v/>
      </c>
      <c r="G339" s="84" t="str">
        <f>IFERROR(VLOOKUP($E339,設定!$C:$G,3,0),"")</f>
        <v/>
      </c>
      <c r="H339" s="84" t="str">
        <f>IFERROR(VLOOKUP($E339,設定!$C:$G,4,0),"")</f>
        <v/>
      </c>
      <c r="I339" s="84" t="str">
        <f>IFERROR(VLOOKUP($E339,設定!$C:$G,5,0),"")</f>
        <v/>
      </c>
      <c r="J339" s="117"/>
      <c r="K339" s="85"/>
      <c r="L339" s="86"/>
      <c r="M339" s="86"/>
      <c r="N339" s="86"/>
      <c r="O339" s="86"/>
      <c r="P339" s="86"/>
      <c r="Q339" s="86"/>
      <c r="R339" s="86"/>
      <c r="S339" s="86"/>
      <c r="T339" s="86"/>
      <c r="U339" s="86"/>
      <c r="V339" s="86"/>
      <c r="W339" s="86"/>
      <c r="X339" s="86"/>
      <c r="Y339" s="86"/>
      <c r="Z339" s="86"/>
      <c r="AA339" s="86"/>
      <c r="AB339" s="86"/>
      <c r="AC339" s="86"/>
      <c r="AD339" s="86"/>
      <c r="AE339" s="86"/>
      <c r="AF339" s="86"/>
      <c r="AG339" s="86"/>
      <c r="AH339" s="86"/>
      <c r="AI339" s="86"/>
      <c r="AJ339" s="86"/>
      <c r="AK339" s="86"/>
      <c r="AL339" s="86"/>
      <c r="AM339" s="86"/>
      <c r="AN339" s="86"/>
      <c r="AO339" s="87"/>
      <c r="AP339" s="88">
        <f t="shared" si="5"/>
        <v>0</v>
      </c>
    </row>
    <row r="340" spans="2:42" s="3" customFormat="1" ht="24" customHeight="1" x14ac:dyDescent="0.2">
      <c r="B340" s="80"/>
      <c r="C340" s="81"/>
      <c r="D340" s="82"/>
      <c r="E340" s="83"/>
      <c r="F340" s="84" t="str">
        <f>IFERROR(VLOOKUP($E340,設定!$C:$G,2,0),"")</f>
        <v/>
      </c>
      <c r="G340" s="84" t="str">
        <f>IFERROR(VLOOKUP($E340,設定!$C:$G,3,0),"")</f>
        <v/>
      </c>
      <c r="H340" s="84" t="str">
        <f>IFERROR(VLOOKUP($E340,設定!$C:$G,4,0),"")</f>
        <v/>
      </c>
      <c r="I340" s="84" t="str">
        <f>IFERROR(VLOOKUP($E340,設定!$C:$G,5,0),"")</f>
        <v/>
      </c>
      <c r="J340" s="117"/>
      <c r="K340" s="85"/>
      <c r="L340" s="86"/>
      <c r="M340" s="86"/>
      <c r="N340" s="86"/>
      <c r="O340" s="86"/>
      <c r="P340" s="86"/>
      <c r="Q340" s="86"/>
      <c r="R340" s="86"/>
      <c r="S340" s="86"/>
      <c r="T340" s="86"/>
      <c r="U340" s="86"/>
      <c r="V340" s="86"/>
      <c r="W340" s="86"/>
      <c r="X340" s="86"/>
      <c r="Y340" s="86"/>
      <c r="Z340" s="86"/>
      <c r="AA340" s="86"/>
      <c r="AB340" s="86"/>
      <c r="AC340" s="86"/>
      <c r="AD340" s="86"/>
      <c r="AE340" s="86"/>
      <c r="AF340" s="86"/>
      <c r="AG340" s="86"/>
      <c r="AH340" s="86"/>
      <c r="AI340" s="86"/>
      <c r="AJ340" s="86"/>
      <c r="AK340" s="86"/>
      <c r="AL340" s="86"/>
      <c r="AM340" s="86"/>
      <c r="AN340" s="86"/>
      <c r="AO340" s="87"/>
      <c r="AP340" s="88">
        <f t="shared" si="5"/>
        <v>0</v>
      </c>
    </row>
    <row r="341" spans="2:42" s="3" customFormat="1" ht="24" customHeight="1" x14ac:dyDescent="0.2">
      <c r="B341" s="80"/>
      <c r="C341" s="81"/>
      <c r="D341" s="82"/>
      <c r="E341" s="83"/>
      <c r="F341" s="84" t="str">
        <f>IFERROR(VLOOKUP($E341,設定!$C:$G,2,0),"")</f>
        <v/>
      </c>
      <c r="G341" s="84" t="str">
        <f>IFERROR(VLOOKUP($E341,設定!$C:$G,3,0),"")</f>
        <v/>
      </c>
      <c r="H341" s="84" t="str">
        <f>IFERROR(VLOOKUP($E341,設定!$C:$G,4,0),"")</f>
        <v/>
      </c>
      <c r="I341" s="84" t="str">
        <f>IFERROR(VLOOKUP($E341,設定!$C:$G,5,0),"")</f>
        <v/>
      </c>
      <c r="J341" s="117"/>
      <c r="K341" s="85"/>
      <c r="L341" s="86"/>
      <c r="M341" s="86"/>
      <c r="N341" s="86"/>
      <c r="O341" s="86"/>
      <c r="P341" s="86"/>
      <c r="Q341" s="86"/>
      <c r="R341" s="86"/>
      <c r="S341" s="86"/>
      <c r="T341" s="86"/>
      <c r="U341" s="86"/>
      <c r="V341" s="86"/>
      <c r="W341" s="86"/>
      <c r="X341" s="86"/>
      <c r="Y341" s="86"/>
      <c r="Z341" s="86"/>
      <c r="AA341" s="86"/>
      <c r="AB341" s="86"/>
      <c r="AC341" s="86"/>
      <c r="AD341" s="86"/>
      <c r="AE341" s="86"/>
      <c r="AF341" s="86"/>
      <c r="AG341" s="86"/>
      <c r="AH341" s="86"/>
      <c r="AI341" s="86"/>
      <c r="AJ341" s="86"/>
      <c r="AK341" s="86"/>
      <c r="AL341" s="86"/>
      <c r="AM341" s="86"/>
      <c r="AN341" s="86"/>
      <c r="AO341" s="87"/>
      <c r="AP341" s="88">
        <f t="shared" si="5"/>
        <v>0</v>
      </c>
    </row>
    <row r="342" spans="2:42" s="3" customFormat="1" ht="24" customHeight="1" x14ac:dyDescent="0.2">
      <c r="B342" s="80"/>
      <c r="C342" s="81"/>
      <c r="D342" s="82"/>
      <c r="E342" s="83"/>
      <c r="F342" s="84" t="str">
        <f>IFERROR(VLOOKUP($E342,設定!$C:$G,2,0),"")</f>
        <v/>
      </c>
      <c r="G342" s="84" t="str">
        <f>IFERROR(VLOOKUP($E342,設定!$C:$G,3,0),"")</f>
        <v/>
      </c>
      <c r="H342" s="84" t="str">
        <f>IFERROR(VLOOKUP($E342,設定!$C:$G,4,0),"")</f>
        <v/>
      </c>
      <c r="I342" s="84" t="str">
        <f>IFERROR(VLOOKUP($E342,設定!$C:$G,5,0),"")</f>
        <v/>
      </c>
      <c r="J342" s="117"/>
      <c r="K342" s="85"/>
      <c r="L342" s="86"/>
      <c r="M342" s="86"/>
      <c r="N342" s="86"/>
      <c r="O342" s="86"/>
      <c r="P342" s="86"/>
      <c r="Q342" s="86"/>
      <c r="R342" s="86"/>
      <c r="S342" s="86"/>
      <c r="T342" s="86"/>
      <c r="U342" s="86"/>
      <c r="V342" s="86"/>
      <c r="W342" s="86"/>
      <c r="X342" s="86"/>
      <c r="Y342" s="86"/>
      <c r="Z342" s="86"/>
      <c r="AA342" s="86"/>
      <c r="AB342" s="86"/>
      <c r="AC342" s="86"/>
      <c r="AD342" s="86"/>
      <c r="AE342" s="86"/>
      <c r="AF342" s="86"/>
      <c r="AG342" s="86"/>
      <c r="AH342" s="86"/>
      <c r="AI342" s="86"/>
      <c r="AJ342" s="86"/>
      <c r="AK342" s="86"/>
      <c r="AL342" s="86"/>
      <c r="AM342" s="86"/>
      <c r="AN342" s="86"/>
      <c r="AO342" s="87"/>
      <c r="AP342" s="88">
        <f t="shared" si="5"/>
        <v>0</v>
      </c>
    </row>
    <row r="343" spans="2:42" s="3" customFormat="1" ht="24" customHeight="1" x14ac:dyDescent="0.2">
      <c r="B343" s="80"/>
      <c r="C343" s="81"/>
      <c r="D343" s="82"/>
      <c r="E343" s="83"/>
      <c r="F343" s="84" t="str">
        <f>IFERROR(VLOOKUP($E343,設定!$C:$G,2,0),"")</f>
        <v/>
      </c>
      <c r="G343" s="84" t="str">
        <f>IFERROR(VLOOKUP($E343,設定!$C:$G,3,0),"")</f>
        <v/>
      </c>
      <c r="H343" s="84" t="str">
        <f>IFERROR(VLOOKUP($E343,設定!$C:$G,4,0),"")</f>
        <v/>
      </c>
      <c r="I343" s="84" t="str">
        <f>IFERROR(VLOOKUP($E343,設定!$C:$G,5,0),"")</f>
        <v/>
      </c>
      <c r="J343" s="117"/>
      <c r="K343" s="85"/>
      <c r="L343" s="86"/>
      <c r="M343" s="86"/>
      <c r="N343" s="86"/>
      <c r="O343" s="86"/>
      <c r="P343" s="86"/>
      <c r="Q343" s="86"/>
      <c r="R343" s="86"/>
      <c r="S343" s="86"/>
      <c r="T343" s="86"/>
      <c r="U343" s="86"/>
      <c r="V343" s="86"/>
      <c r="W343" s="86"/>
      <c r="X343" s="86"/>
      <c r="Y343" s="86"/>
      <c r="Z343" s="86"/>
      <c r="AA343" s="86"/>
      <c r="AB343" s="86"/>
      <c r="AC343" s="86"/>
      <c r="AD343" s="86"/>
      <c r="AE343" s="86"/>
      <c r="AF343" s="86"/>
      <c r="AG343" s="86"/>
      <c r="AH343" s="86"/>
      <c r="AI343" s="86"/>
      <c r="AJ343" s="86"/>
      <c r="AK343" s="86"/>
      <c r="AL343" s="86"/>
      <c r="AM343" s="86"/>
      <c r="AN343" s="86"/>
      <c r="AO343" s="87"/>
      <c r="AP343" s="88">
        <f t="shared" si="5"/>
        <v>0</v>
      </c>
    </row>
    <row r="344" spans="2:42" s="3" customFormat="1" ht="24" customHeight="1" x14ac:dyDescent="0.2">
      <c r="B344" s="80"/>
      <c r="C344" s="81"/>
      <c r="D344" s="82"/>
      <c r="E344" s="83"/>
      <c r="F344" s="84" t="str">
        <f>IFERROR(VLOOKUP($E344,設定!$C:$G,2,0),"")</f>
        <v/>
      </c>
      <c r="G344" s="84" t="str">
        <f>IFERROR(VLOOKUP($E344,設定!$C:$G,3,0),"")</f>
        <v/>
      </c>
      <c r="H344" s="84" t="str">
        <f>IFERROR(VLOOKUP($E344,設定!$C:$G,4,0),"")</f>
        <v/>
      </c>
      <c r="I344" s="84" t="str">
        <f>IFERROR(VLOOKUP($E344,設定!$C:$G,5,0),"")</f>
        <v/>
      </c>
      <c r="J344" s="117"/>
      <c r="K344" s="85"/>
      <c r="L344" s="86"/>
      <c r="M344" s="86"/>
      <c r="N344" s="86"/>
      <c r="O344" s="86"/>
      <c r="P344" s="86"/>
      <c r="Q344" s="86"/>
      <c r="R344" s="86"/>
      <c r="S344" s="86"/>
      <c r="T344" s="86"/>
      <c r="U344" s="86"/>
      <c r="V344" s="86"/>
      <c r="W344" s="86"/>
      <c r="X344" s="86"/>
      <c r="Y344" s="86"/>
      <c r="Z344" s="86"/>
      <c r="AA344" s="86"/>
      <c r="AB344" s="86"/>
      <c r="AC344" s="86"/>
      <c r="AD344" s="86"/>
      <c r="AE344" s="86"/>
      <c r="AF344" s="86"/>
      <c r="AG344" s="86"/>
      <c r="AH344" s="86"/>
      <c r="AI344" s="86"/>
      <c r="AJ344" s="86"/>
      <c r="AK344" s="86"/>
      <c r="AL344" s="86"/>
      <c r="AM344" s="86"/>
      <c r="AN344" s="86"/>
      <c r="AO344" s="87"/>
      <c r="AP344" s="88">
        <f t="shared" si="5"/>
        <v>0</v>
      </c>
    </row>
    <row r="345" spans="2:42" s="3" customFormat="1" ht="24" customHeight="1" x14ac:dyDescent="0.2">
      <c r="B345" s="80"/>
      <c r="C345" s="81"/>
      <c r="D345" s="82"/>
      <c r="E345" s="83"/>
      <c r="F345" s="84" t="str">
        <f>IFERROR(VLOOKUP($E345,設定!$C:$G,2,0),"")</f>
        <v/>
      </c>
      <c r="G345" s="84" t="str">
        <f>IFERROR(VLOOKUP($E345,設定!$C:$G,3,0),"")</f>
        <v/>
      </c>
      <c r="H345" s="84" t="str">
        <f>IFERROR(VLOOKUP($E345,設定!$C:$G,4,0),"")</f>
        <v/>
      </c>
      <c r="I345" s="84" t="str">
        <f>IFERROR(VLOOKUP($E345,設定!$C:$G,5,0),"")</f>
        <v/>
      </c>
      <c r="J345" s="117"/>
      <c r="K345" s="85"/>
      <c r="L345" s="86"/>
      <c r="M345" s="86"/>
      <c r="N345" s="86"/>
      <c r="O345" s="86"/>
      <c r="P345" s="86"/>
      <c r="Q345" s="86"/>
      <c r="R345" s="86"/>
      <c r="S345" s="86"/>
      <c r="T345" s="86"/>
      <c r="U345" s="86"/>
      <c r="V345" s="86"/>
      <c r="W345" s="86"/>
      <c r="X345" s="86"/>
      <c r="Y345" s="86"/>
      <c r="Z345" s="86"/>
      <c r="AA345" s="86"/>
      <c r="AB345" s="86"/>
      <c r="AC345" s="86"/>
      <c r="AD345" s="86"/>
      <c r="AE345" s="86"/>
      <c r="AF345" s="86"/>
      <c r="AG345" s="86"/>
      <c r="AH345" s="86"/>
      <c r="AI345" s="86"/>
      <c r="AJ345" s="86"/>
      <c r="AK345" s="86"/>
      <c r="AL345" s="86"/>
      <c r="AM345" s="86"/>
      <c r="AN345" s="86"/>
      <c r="AO345" s="87"/>
      <c r="AP345" s="88">
        <f t="shared" si="5"/>
        <v>0</v>
      </c>
    </row>
    <row r="346" spans="2:42" s="3" customFormat="1" ht="24" customHeight="1" x14ac:dyDescent="0.2">
      <c r="B346" s="80"/>
      <c r="C346" s="81"/>
      <c r="D346" s="82"/>
      <c r="E346" s="83"/>
      <c r="F346" s="84" t="str">
        <f>IFERROR(VLOOKUP($E346,設定!$C:$G,2,0),"")</f>
        <v/>
      </c>
      <c r="G346" s="84" t="str">
        <f>IFERROR(VLOOKUP($E346,設定!$C:$G,3,0),"")</f>
        <v/>
      </c>
      <c r="H346" s="84" t="str">
        <f>IFERROR(VLOOKUP($E346,設定!$C:$G,4,0),"")</f>
        <v/>
      </c>
      <c r="I346" s="84" t="str">
        <f>IFERROR(VLOOKUP($E346,設定!$C:$G,5,0),"")</f>
        <v/>
      </c>
      <c r="J346" s="117"/>
      <c r="K346" s="85"/>
      <c r="L346" s="86"/>
      <c r="M346" s="86"/>
      <c r="N346" s="86"/>
      <c r="O346" s="86"/>
      <c r="P346" s="86"/>
      <c r="Q346" s="86"/>
      <c r="R346" s="86"/>
      <c r="S346" s="86"/>
      <c r="T346" s="86"/>
      <c r="U346" s="86"/>
      <c r="V346" s="86"/>
      <c r="W346" s="86"/>
      <c r="X346" s="86"/>
      <c r="Y346" s="86"/>
      <c r="Z346" s="86"/>
      <c r="AA346" s="86"/>
      <c r="AB346" s="86"/>
      <c r="AC346" s="86"/>
      <c r="AD346" s="86"/>
      <c r="AE346" s="86"/>
      <c r="AF346" s="86"/>
      <c r="AG346" s="86"/>
      <c r="AH346" s="86"/>
      <c r="AI346" s="86"/>
      <c r="AJ346" s="86"/>
      <c r="AK346" s="86"/>
      <c r="AL346" s="86"/>
      <c r="AM346" s="86"/>
      <c r="AN346" s="86"/>
      <c r="AO346" s="87"/>
      <c r="AP346" s="88">
        <f t="shared" si="5"/>
        <v>0</v>
      </c>
    </row>
    <row r="347" spans="2:42" s="3" customFormat="1" ht="24" customHeight="1" x14ac:dyDescent="0.2">
      <c r="B347" s="80"/>
      <c r="C347" s="81"/>
      <c r="D347" s="82"/>
      <c r="E347" s="83"/>
      <c r="F347" s="84" t="str">
        <f>IFERROR(VLOOKUP($E347,設定!$C:$G,2,0),"")</f>
        <v/>
      </c>
      <c r="G347" s="84" t="str">
        <f>IFERROR(VLOOKUP($E347,設定!$C:$G,3,0),"")</f>
        <v/>
      </c>
      <c r="H347" s="84" t="str">
        <f>IFERROR(VLOOKUP($E347,設定!$C:$G,4,0),"")</f>
        <v/>
      </c>
      <c r="I347" s="84" t="str">
        <f>IFERROR(VLOOKUP($E347,設定!$C:$G,5,0),"")</f>
        <v/>
      </c>
      <c r="J347" s="117"/>
      <c r="K347" s="85"/>
      <c r="L347" s="86"/>
      <c r="M347" s="86"/>
      <c r="N347" s="86"/>
      <c r="O347" s="86"/>
      <c r="P347" s="86"/>
      <c r="Q347" s="86"/>
      <c r="R347" s="86"/>
      <c r="S347" s="86"/>
      <c r="T347" s="86"/>
      <c r="U347" s="86"/>
      <c r="V347" s="86"/>
      <c r="W347" s="86"/>
      <c r="X347" s="86"/>
      <c r="Y347" s="86"/>
      <c r="Z347" s="86"/>
      <c r="AA347" s="86"/>
      <c r="AB347" s="86"/>
      <c r="AC347" s="86"/>
      <c r="AD347" s="86"/>
      <c r="AE347" s="86"/>
      <c r="AF347" s="86"/>
      <c r="AG347" s="86"/>
      <c r="AH347" s="86"/>
      <c r="AI347" s="86"/>
      <c r="AJ347" s="86"/>
      <c r="AK347" s="86"/>
      <c r="AL347" s="86"/>
      <c r="AM347" s="86"/>
      <c r="AN347" s="86"/>
      <c r="AO347" s="87"/>
      <c r="AP347" s="88">
        <f t="shared" si="5"/>
        <v>0</v>
      </c>
    </row>
    <row r="348" spans="2:42" s="3" customFormat="1" ht="24" customHeight="1" x14ac:dyDescent="0.2">
      <c r="B348" s="80"/>
      <c r="C348" s="81"/>
      <c r="D348" s="82"/>
      <c r="E348" s="83"/>
      <c r="F348" s="84" t="str">
        <f>IFERROR(VLOOKUP($E348,設定!$C:$G,2,0),"")</f>
        <v/>
      </c>
      <c r="G348" s="84" t="str">
        <f>IFERROR(VLOOKUP($E348,設定!$C:$G,3,0),"")</f>
        <v/>
      </c>
      <c r="H348" s="84" t="str">
        <f>IFERROR(VLOOKUP($E348,設定!$C:$G,4,0),"")</f>
        <v/>
      </c>
      <c r="I348" s="84" t="str">
        <f>IFERROR(VLOOKUP($E348,設定!$C:$G,5,0),"")</f>
        <v/>
      </c>
      <c r="J348" s="117"/>
      <c r="K348" s="85"/>
      <c r="L348" s="86"/>
      <c r="M348" s="86"/>
      <c r="N348" s="86"/>
      <c r="O348" s="86"/>
      <c r="P348" s="86"/>
      <c r="Q348" s="86"/>
      <c r="R348" s="86"/>
      <c r="S348" s="86"/>
      <c r="T348" s="86"/>
      <c r="U348" s="86"/>
      <c r="V348" s="86"/>
      <c r="W348" s="86"/>
      <c r="X348" s="86"/>
      <c r="Y348" s="86"/>
      <c r="Z348" s="86"/>
      <c r="AA348" s="86"/>
      <c r="AB348" s="86"/>
      <c r="AC348" s="86"/>
      <c r="AD348" s="86"/>
      <c r="AE348" s="86"/>
      <c r="AF348" s="86"/>
      <c r="AG348" s="86"/>
      <c r="AH348" s="86"/>
      <c r="AI348" s="86"/>
      <c r="AJ348" s="86"/>
      <c r="AK348" s="86"/>
      <c r="AL348" s="86"/>
      <c r="AM348" s="86"/>
      <c r="AN348" s="86"/>
      <c r="AO348" s="87"/>
      <c r="AP348" s="88">
        <f t="shared" si="5"/>
        <v>0</v>
      </c>
    </row>
    <row r="349" spans="2:42" s="3" customFormat="1" ht="24" customHeight="1" x14ac:dyDescent="0.2">
      <c r="B349" s="80"/>
      <c r="C349" s="81"/>
      <c r="D349" s="82"/>
      <c r="E349" s="83"/>
      <c r="F349" s="84" t="str">
        <f>IFERROR(VLOOKUP($E349,設定!$C:$G,2,0),"")</f>
        <v/>
      </c>
      <c r="G349" s="84" t="str">
        <f>IFERROR(VLOOKUP($E349,設定!$C:$G,3,0),"")</f>
        <v/>
      </c>
      <c r="H349" s="84" t="str">
        <f>IFERROR(VLOOKUP($E349,設定!$C:$G,4,0),"")</f>
        <v/>
      </c>
      <c r="I349" s="84" t="str">
        <f>IFERROR(VLOOKUP($E349,設定!$C:$G,5,0),"")</f>
        <v/>
      </c>
      <c r="J349" s="117"/>
      <c r="K349" s="85"/>
      <c r="L349" s="86"/>
      <c r="M349" s="86"/>
      <c r="N349" s="86"/>
      <c r="O349" s="86"/>
      <c r="P349" s="86"/>
      <c r="Q349" s="86"/>
      <c r="R349" s="86"/>
      <c r="S349" s="86"/>
      <c r="T349" s="86"/>
      <c r="U349" s="86"/>
      <c r="V349" s="86"/>
      <c r="W349" s="86"/>
      <c r="X349" s="86"/>
      <c r="Y349" s="86"/>
      <c r="Z349" s="86"/>
      <c r="AA349" s="86"/>
      <c r="AB349" s="86"/>
      <c r="AC349" s="86"/>
      <c r="AD349" s="86"/>
      <c r="AE349" s="86"/>
      <c r="AF349" s="86"/>
      <c r="AG349" s="86"/>
      <c r="AH349" s="86"/>
      <c r="AI349" s="86"/>
      <c r="AJ349" s="86"/>
      <c r="AK349" s="86"/>
      <c r="AL349" s="86"/>
      <c r="AM349" s="86"/>
      <c r="AN349" s="86"/>
      <c r="AO349" s="87"/>
      <c r="AP349" s="88">
        <f t="shared" si="5"/>
        <v>0</v>
      </c>
    </row>
    <row r="350" spans="2:42" s="3" customFormat="1" ht="24" customHeight="1" x14ac:dyDescent="0.2">
      <c r="B350" s="80"/>
      <c r="C350" s="81"/>
      <c r="D350" s="82"/>
      <c r="E350" s="83"/>
      <c r="F350" s="84" t="str">
        <f>IFERROR(VLOOKUP($E350,設定!$C:$G,2,0),"")</f>
        <v/>
      </c>
      <c r="G350" s="84" t="str">
        <f>IFERROR(VLOOKUP($E350,設定!$C:$G,3,0),"")</f>
        <v/>
      </c>
      <c r="H350" s="84" t="str">
        <f>IFERROR(VLOOKUP($E350,設定!$C:$G,4,0),"")</f>
        <v/>
      </c>
      <c r="I350" s="84" t="str">
        <f>IFERROR(VLOOKUP($E350,設定!$C:$G,5,0),"")</f>
        <v/>
      </c>
      <c r="J350" s="117"/>
      <c r="K350" s="85"/>
      <c r="L350" s="86"/>
      <c r="M350" s="86"/>
      <c r="N350" s="86"/>
      <c r="O350" s="86"/>
      <c r="P350" s="86"/>
      <c r="Q350" s="86"/>
      <c r="R350" s="86"/>
      <c r="S350" s="86"/>
      <c r="T350" s="86"/>
      <c r="U350" s="86"/>
      <c r="V350" s="86"/>
      <c r="W350" s="86"/>
      <c r="X350" s="86"/>
      <c r="Y350" s="86"/>
      <c r="Z350" s="86"/>
      <c r="AA350" s="86"/>
      <c r="AB350" s="86"/>
      <c r="AC350" s="86"/>
      <c r="AD350" s="86"/>
      <c r="AE350" s="86"/>
      <c r="AF350" s="86"/>
      <c r="AG350" s="86"/>
      <c r="AH350" s="86"/>
      <c r="AI350" s="86"/>
      <c r="AJ350" s="86"/>
      <c r="AK350" s="86"/>
      <c r="AL350" s="86"/>
      <c r="AM350" s="86"/>
      <c r="AN350" s="86"/>
      <c r="AO350" s="87"/>
      <c r="AP350" s="88">
        <f t="shared" si="5"/>
        <v>0</v>
      </c>
    </row>
    <row r="351" spans="2:42" s="3" customFormat="1" ht="24" customHeight="1" x14ac:dyDescent="0.2">
      <c r="B351" s="80"/>
      <c r="C351" s="81"/>
      <c r="D351" s="82"/>
      <c r="E351" s="83"/>
      <c r="F351" s="84" t="str">
        <f>IFERROR(VLOOKUP($E351,設定!$C:$G,2,0),"")</f>
        <v/>
      </c>
      <c r="G351" s="84" t="str">
        <f>IFERROR(VLOOKUP($E351,設定!$C:$G,3,0),"")</f>
        <v/>
      </c>
      <c r="H351" s="84" t="str">
        <f>IFERROR(VLOOKUP($E351,設定!$C:$G,4,0),"")</f>
        <v/>
      </c>
      <c r="I351" s="84" t="str">
        <f>IFERROR(VLOOKUP($E351,設定!$C:$G,5,0),"")</f>
        <v/>
      </c>
      <c r="J351" s="117"/>
      <c r="K351" s="85"/>
      <c r="L351" s="86"/>
      <c r="M351" s="86"/>
      <c r="N351" s="86"/>
      <c r="O351" s="86"/>
      <c r="P351" s="86"/>
      <c r="Q351" s="86"/>
      <c r="R351" s="86"/>
      <c r="S351" s="86"/>
      <c r="T351" s="86"/>
      <c r="U351" s="86"/>
      <c r="V351" s="86"/>
      <c r="W351" s="86"/>
      <c r="X351" s="86"/>
      <c r="Y351" s="86"/>
      <c r="Z351" s="86"/>
      <c r="AA351" s="86"/>
      <c r="AB351" s="86"/>
      <c r="AC351" s="86"/>
      <c r="AD351" s="86"/>
      <c r="AE351" s="86"/>
      <c r="AF351" s="86"/>
      <c r="AG351" s="86"/>
      <c r="AH351" s="86"/>
      <c r="AI351" s="86"/>
      <c r="AJ351" s="86"/>
      <c r="AK351" s="86"/>
      <c r="AL351" s="86"/>
      <c r="AM351" s="86"/>
      <c r="AN351" s="86"/>
      <c r="AO351" s="87"/>
      <c r="AP351" s="88">
        <f t="shared" si="5"/>
        <v>0</v>
      </c>
    </row>
    <row r="352" spans="2:42" s="3" customFormat="1" ht="24" customHeight="1" x14ac:dyDescent="0.2">
      <c r="B352" s="80"/>
      <c r="C352" s="81"/>
      <c r="D352" s="82"/>
      <c r="E352" s="83"/>
      <c r="F352" s="84" t="str">
        <f>IFERROR(VLOOKUP($E352,設定!$C:$G,2,0),"")</f>
        <v/>
      </c>
      <c r="G352" s="84" t="str">
        <f>IFERROR(VLOOKUP($E352,設定!$C:$G,3,0),"")</f>
        <v/>
      </c>
      <c r="H352" s="84" t="str">
        <f>IFERROR(VLOOKUP($E352,設定!$C:$G,4,0),"")</f>
        <v/>
      </c>
      <c r="I352" s="84" t="str">
        <f>IFERROR(VLOOKUP($E352,設定!$C:$G,5,0),"")</f>
        <v/>
      </c>
      <c r="J352" s="117"/>
      <c r="K352" s="85"/>
      <c r="L352" s="86"/>
      <c r="M352" s="86"/>
      <c r="N352" s="86"/>
      <c r="O352" s="86"/>
      <c r="P352" s="86"/>
      <c r="Q352" s="86"/>
      <c r="R352" s="86"/>
      <c r="S352" s="86"/>
      <c r="T352" s="86"/>
      <c r="U352" s="86"/>
      <c r="V352" s="86"/>
      <c r="W352" s="86"/>
      <c r="X352" s="86"/>
      <c r="Y352" s="86"/>
      <c r="Z352" s="86"/>
      <c r="AA352" s="86"/>
      <c r="AB352" s="86"/>
      <c r="AC352" s="86"/>
      <c r="AD352" s="86"/>
      <c r="AE352" s="86"/>
      <c r="AF352" s="86"/>
      <c r="AG352" s="86"/>
      <c r="AH352" s="86"/>
      <c r="AI352" s="86"/>
      <c r="AJ352" s="86"/>
      <c r="AK352" s="86"/>
      <c r="AL352" s="86"/>
      <c r="AM352" s="86"/>
      <c r="AN352" s="86"/>
      <c r="AO352" s="87"/>
      <c r="AP352" s="88">
        <f t="shared" si="5"/>
        <v>0</v>
      </c>
    </row>
    <row r="353" spans="2:42" s="3" customFormat="1" ht="24" customHeight="1" x14ac:dyDescent="0.2">
      <c r="B353" s="80"/>
      <c r="C353" s="81"/>
      <c r="D353" s="82"/>
      <c r="E353" s="83"/>
      <c r="F353" s="84" t="str">
        <f>IFERROR(VLOOKUP($E353,設定!$C:$G,2,0),"")</f>
        <v/>
      </c>
      <c r="G353" s="84" t="str">
        <f>IFERROR(VLOOKUP($E353,設定!$C:$G,3,0),"")</f>
        <v/>
      </c>
      <c r="H353" s="84" t="str">
        <f>IFERROR(VLOOKUP($E353,設定!$C:$G,4,0),"")</f>
        <v/>
      </c>
      <c r="I353" s="84" t="str">
        <f>IFERROR(VLOOKUP($E353,設定!$C:$G,5,0),"")</f>
        <v/>
      </c>
      <c r="J353" s="117"/>
      <c r="K353" s="85"/>
      <c r="L353" s="86"/>
      <c r="M353" s="86"/>
      <c r="N353" s="86"/>
      <c r="O353" s="86"/>
      <c r="P353" s="86"/>
      <c r="Q353" s="86"/>
      <c r="R353" s="86"/>
      <c r="S353" s="86"/>
      <c r="T353" s="86"/>
      <c r="U353" s="86"/>
      <c r="V353" s="86"/>
      <c r="W353" s="86"/>
      <c r="X353" s="86"/>
      <c r="Y353" s="86"/>
      <c r="Z353" s="86"/>
      <c r="AA353" s="86"/>
      <c r="AB353" s="86"/>
      <c r="AC353" s="86"/>
      <c r="AD353" s="86"/>
      <c r="AE353" s="86"/>
      <c r="AF353" s="86"/>
      <c r="AG353" s="86"/>
      <c r="AH353" s="86"/>
      <c r="AI353" s="86"/>
      <c r="AJ353" s="86"/>
      <c r="AK353" s="86"/>
      <c r="AL353" s="86"/>
      <c r="AM353" s="86"/>
      <c r="AN353" s="86"/>
      <c r="AO353" s="87"/>
      <c r="AP353" s="88">
        <f t="shared" si="5"/>
        <v>0</v>
      </c>
    </row>
    <row r="354" spans="2:42" s="3" customFormat="1" ht="24" customHeight="1" x14ac:dyDescent="0.2">
      <c r="B354" s="80"/>
      <c r="C354" s="81"/>
      <c r="D354" s="82"/>
      <c r="E354" s="83"/>
      <c r="F354" s="84" t="str">
        <f>IFERROR(VLOOKUP($E354,設定!$C:$G,2,0),"")</f>
        <v/>
      </c>
      <c r="G354" s="84" t="str">
        <f>IFERROR(VLOOKUP($E354,設定!$C:$G,3,0),"")</f>
        <v/>
      </c>
      <c r="H354" s="84" t="str">
        <f>IFERROR(VLOOKUP($E354,設定!$C:$G,4,0),"")</f>
        <v/>
      </c>
      <c r="I354" s="84" t="str">
        <f>IFERROR(VLOOKUP($E354,設定!$C:$G,5,0),"")</f>
        <v/>
      </c>
      <c r="J354" s="117"/>
      <c r="K354" s="85"/>
      <c r="L354" s="86"/>
      <c r="M354" s="86"/>
      <c r="N354" s="86"/>
      <c r="O354" s="86"/>
      <c r="P354" s="86"/>
      <c r="Q354" s="86"/>
      <c r="R354" s="86"/>
      <c r="S354" s="86"/>
      <c r="T354" s="86"/>
      <c r="U354" s="86"/>
      <c r="V354" s="86"/>
      <c r="W354" s="86"/>
      <c r="X354" s="86"/>
      <c r="Y354" s="86"/>
      <c r="Z354" s="86"/>
      <c r="AA354" s="86"/>
      <c r="AB354" s="86"/>
      <c r="AC354" s="86"/>
      <c r="AD354" s="86"/>
      <c r="AE354" s="86"/>
      <c r="AF354" s="86"/>
      <c r="AG354" s="86"/>
      <c r="AH354" s="86"/>
      <c r="AI354" s="86"/>
      <c r="AJ354" s="86"/>
      <c r="AK354" s="86"/>
      <c r="AL354" s="86"/>
      <c r="AM354" s="86"/>
      <c r="AN354" s="86"/>
      <c r="AO354" s="87"/>
      <c r="AP354" s="88">
        <f t="shared" si="5"/>
        <v>0</v>
      </c>
    </row>
    <row r="355" spans="2:42" s="3" customFormat="1" ht="24" customHeight="1" x14ac:dyDescent="0.2">
      <c r="B355" s="80"/>
      <c r="C355" s="81"/>
      <c r="D355" s="82"/>
      <c r="E355" s="83"/>
      <c r="F355" s="84" t="str">
        <f>IFERROR(VLOOKUP($E355,設定!$C:$G,2,0),"")</f>
        <v/>
      </c>
      <c r="G355" s="84" t="str">
        <f>IFERROR(VLOOKUP($E355,設定!$C:$G,3,0),"")</f>
        <v/>
      </c>
      <c r="H355" s="84" t="str">
        <f>IFERROR(VLOOKUP($E355,設定!$C:$G,4,0),"")</f>
        <v/>
      </c>
      <c r="I355" s="84" t="str">
        <f>IFERROR(VLOOKUP($E355,設定!$C:$G,5,0),"")</f>
        <v/>
      </c>
      <c r="J355" s="117"/>
      <c r="K355" s="85"/>
      <c r="L355" s="86"/>
      <c r="M355" s="86"/>
      <c r="N355" s="86"/>
      <c r="O355" s="86"/>
      <c r="P355" s="86"/>
      <c r="Q355" s="86"/>
      <c r="R355" s="86"/>
      <c r="S355" s="86"/>
      <c r="T355" s="86"/>
      <c r="U355" s="86"/>
      <c r="V355" s="86"/>
      <c r="W355" s="86"/>
      <c r="X355" s="86"/>
      <c r="Y355" s="86"/>
      <c r="Z355" s="86"/>
      <c r="AA355" s="86"/>
      <c r="AB355" s="86"/>
      <c r="AC355" s="86"/>
      <c r="AD355" s="86"/>
      <c r="AE355" s="86"/>
      <c r="AF355" s="86"/>
      <c r="AG355" s="86"/>
      <c r="AH355" s="86"/>
      <c r="AI355" s="86"/>
      <c r="AJ355" s="86"/>
      <c r="AK355" s="86"/>
      <c r="AL355" s="86"/>
      <c r="AM355" s="86"/>
      <c r="AN355" s="86"/>
      <c r="AO355" s="87"/>
      <c r="AP355" s="88">
        <f t="shared" si="5"/>
        <v>0</v>
      </c>
    </row>
    <row r="356" spans="2:42" s="3" customFormat="1" ht="24" customHeight="1" x14ac:dyDescent="0.2">
      <c r="B356" s="80"/>
      <c r="C356" s="81"/>
      <c r="D356" s="82"/>
      <c r="E356" s="83"/>
      <c r="F356" s="84" t="str">
        <f>IFERROR(VLOOKUP($E356,設定!$C:$G,2,0),"")</f>
        <v/>
      </c>
      <c r="G356" s="84" t="str">
        <f>IFERROR(VLOOKUP($E356,設定!$C:$G,3,0),"")</f>
        <v/>
      </c>
      <c r="H356" s="84" t="str">
        <f>IFERROR(VLOOKUP($E356,設定!$C:$G,4,0),"")</f>
        <v/>
      </c>
      <c r="I356" s="84" t="str">
        <f>IFERROR(VLOOKUP($E356,設定!$C:$G,5,0),"")</f>
        <v/>
      </c>
      <c r="J356" s="117"/>
      <c r="K356" s="85"/>
      <c r="L356" s="86"/>
      <c r="M356" s="86"/>
      <c r="N356" s="86"/>
      <c r="O356" s="86"/>
      <c r="P356" s="86"/>
      <c r="Q356" s="86"/>
      <c r="R356" s="86"/>
      <c r="S356" s="86"/>
      <c r="T356" s="86"/>
      <c r="U356" s="86"/>
      <c r="V356" s="86"/>
      <c r="W356" s="86"/>
      <c r="X356" s="86"/>
      <c r="Y356" s="86"/>
      <c r="Z356" s="86"/>
      <c r="AA356" s="86"/>
      <c r="AB356" s="86"/>
      <c r="AC356" s="86"/>
      <c r="AD356" s="86"/>
      <c r="AE356" s="86"/>
      <c r="AF356" s="86"/>
      <c r="AG356" s="86"/>
      <c r="AH356" s="86"/>
      <c r="AI356" s="86"/>
      <c r="AJ356" s="86"/>
      <c r="AK356" s="86"/>
      <c r="AL356" s="86"/>
      <c r="AM356" s="86"/>
      <c r="AN356" s="86"/>
      <c r="AO356" s="87"/>
      <c r="AP356" s="88">
        <f t="shared" si="5"/>
        <v>0</v>
      </c>
    </row>
    <row r="357" spans="2:42" s="3" customFormat="1" ht="24" customHeight="1" x14ac:dyDescent="0.2">
      <c r="B357" s="80"/>
      <c r="C357" s="81"/>
      <c r="D357" s="82"/>
      <c r="E357" s="83"/>
      <c r="F357" s="84" t="str">
        <f>IFERROR(VLOOKUP($E357,設定!$C:$G,2,0),"")</f>
        <v/>
      </c>
      <c r="G357" s="84" t="str">
        <f>IFERROR(VLOOKUP($E357,設定!$C:$G,3,0),"")</f>
        <v/>
      </c>
      <c r="H357" s="84" t="str">
        <f>IFERROR(VLOOKUP($E357,設定!$C:$G,4,0),"")</f>
        <v/>
      </c>
      <c r="I357" s="84" t="str">
        <f>IFERROR(VLOOKUP($E357,設定!$C:$G,5,0),"")</f>
        <v/>
      </c>
      <c r="J357" s="117"/>
      <c r="K357" s="85"/>
      <c r="L357" s="86"/>
      <c r="M357" s="86"/>
      <c r="N357" s="86"/>
      <c r="O357" s="86"/>
      <c r="P357" s="86"/>
      <c r="Q357" s="86"/>
      <c r="R357" s="86"/>
      <c r="S357" s="86"/>
      <c r="T357" s="86"/>
      <c r="U357" s="86"/>
      <c r="V357" s="86"/>
      <c r="W357" s="86"/>
      <c r="X357" s="86"/>
      <c r="Y357" s="86"/>
      <c r="Z357" s="86"/>
      <c r="AA357" s="86"/>
      <c r="AB357" s="86"/>
      <c r="AC357" s="86"/>
      <c r="AD357" s="86"/>
      <c r="AE357" s="86"/>
      <c r="AF357" s="86"/>
      <c r="AG357" s="86"/>
      <c r="AH357" s="86"/>
      <c r="AI357" s="86"/>
      <c r="AJ357" s="86"/>
      <c r="AK357" s="86"/>
      <c r="AL357" s="86"/>
      <c r="AM357" s="86"/>
      <c r="AN357" s="86"/>
      <c r="AO357" s="87"/>
      <c r="AP357" s="88">
        <f t="shared" si="5"/>
        <v>0</v>
      </c>
    </row>
    <row r="358" spans="2:42" s="3" customFormat="1" ht="24" customHeight="1" x14ac:dyDescent="0.2">
      <c r="B358" s="80"/>
      <c r="C358" s="81"/>
      <c r="D358" s="82"/>
      <c r="E358" s="83"/>
      <c r="F358" s="84" t="str">
        <f>IFERROR(VLOOKUP($E358,設定!$C:$G,2,0),"")</f>
        <v/>
      </c>
      <c r="G358" s="84" t="str">
        <f>IFERROR(VLOOKUP($E358,設定!$C:$G,3,0),"")</f>
        <v/>
      </c>
      <c r="H358" s="84" t="str">
        <f>IFERROR(VLOOKUP($E358,設定!$C:$G,4,0),"")</f>
        <v/>
      </c>
      <c r="I358" s="84" t="str">
        <f>IFERROR(VLOOKUP($E358,設定!$C:$G,5,0),"")</f>
        <v/>
      </c>
      <c r="J358" s="117"/>
      <c r="K358" s="85"/>
      <c r="L358" s="86"/>
      <c r="M358" s="86"/>
      <c r="N358" s="86"/>
      <c r="O358" s="86"/>
      <c r="P358" s="86"/>
      <c r="Q358" s="86"/>
      <c r="R358" s="86"/>
      <c r="S358" s="86"/>
      <c r="T358" s="86"/>
      <c r="U358" s="86"/>
      <c r="V358" s="86"/>
      <c r="W358" s="86"/>
      <c r="X358" s="86"/>
      <c r="Y358" s="86"/>
      <c r="Z358" s="86"/>
      <c r="AA358" s="86"/>
      <c r="AB358" s="86"/>
      <c r="AC358" s="86"/>
      <c r="AD358" s="86"/>
      <c r="AE358" s="86"/>
      <c r="AF358" s="86"/>
      <c r="AG358" s="86"/>
      <c r="AH358" s="86"/>
      <c r="AI358" s="86"/>
      <c r="AJ358" s="86"/>
      <c r="AK358" s="86"/>
      <c r="AL358" s="86"/>
      <c r="AM358" s="86"/>
      <c r="AN358" s="86"/>
      <c r="AO358" s="87"/>
      <c r="AP358" s="88">
        <f t="shared" si="5"/>
        <v>0</v>
      </c>
    </row>
    <row r="359" spans="2:42" s="3" customFormat="1" ht="24" customHeight="1" x14ac:dyDescent="0.2">
      <c r="B359" s="80"/>
      <c r="C359" s="81"/>
      <c r="D359" s="82"/>
      <c r="E359" s="83"/>
      <c r="F359" s="84" t="str">
        <f>IFERROR(VLOOKUP($E359,設定!$C:$G,2,0),"")</f>
        <v/>
      </c>
      <c r="G359" s="84" t="str">
        <f>IFERROR(VLOOKUP($E359,設定!$C:$G,3,0),"")</f>
        <v/>
      </c>
      <c r="H359" s="84" t="str">
        <f>IFERROR(VLOOKUP($E359,設定!$C:$G,4,0),"")</f>
        <v/>
      </c>
      <c r="I359" s="84" t="str">
        <f>IFERROR(VLOOKUP($E359,設定!$C:$G,5,0),"")</f>
        <v/>
      </c>
      <c r="J359" s="117"/>
      <c r="K359" s="85"/>
      <c r="L359" s="86"/>
      <c r="M359" s="86"/>
      <c r="N359" s="86"/>
      <c r="O359" s="86"/>
      <c r="P359" s="86"/>
      <c r="Q359" s="86"/>
      <c r="R359" s="86"/>
      <c r="S359" s="86"/>
      <c r="T359" s="86"/>
      <c r="U359" s="86"/>
      <c r="V359" s="86"/>
      <c r="W359" s="86"/>
      <c r="X359" s="86"/>
      <c r="Y359" s="86"/>
      <c r="Z359" s="86"/>
      <c r="AA359" s="86"/>
      <c r="AB359" s="86"/>
      <c r="AC359" s="86"/>
      <c r="AD359" s="86"/>
      <c r="AE359" s="86"/>
      <c r="AF359" s="86"/>
      <c r="AG359" s="86"/>
      <c r="AH359" s="86"/>
      <c r="AI359" s="86"/>
      <c r="AJ359" s="86"/>
      <c r="AK359" s="86"/>
      <c r="AL359" s="86"/>
      <c r="AM359" s="86"/>
      <c r="AN359" s="86"/>
      <c r="AO359" s="87"/>
      <c r="AP359" s="88">
        <f t="shared" si="5"/>
        <v>0</v>
      </c>
    </row>
    <row r="360" spans="2:42" s="3" customFormat="1" ht="24" customHeight="1" x14ac:dyDescent="0.2">
      <c r="B360" s="80"/>
      <c r="C360" s="81"/>
      <c r="D360" s="82"/>
      <c r="E360" s="83"/>
      <c r="F360" s="84" t="str">
        <f>IFERROR(VLOOKUP($E360,設定!$C:$G,2,0),"")</f>
        <v/>
      </c>
      <c r="G360" s="84" t="str">
        <f>IFERROR(VLOOKUP($E360,設定!$C:$G,3,0),"")</f>
        <v/>
      </c>
      <c r="H360" s="84" t="str">
        <f>IFERROR(VLOOKUP($E360,設定!$C:$G,4,0),"")</f>
        <v/>
      </c>
      <c r="I360" s="84" t="str">
        <f>IFERROR(VLOOKUP($E360,設定!$C:$G,5,0),"")</f>
        <v/>
      </c>
      <c r="J360" s="117"/>
      <c r="K360" s="85"/>
      <c r="L360" s="86"/>
      <c r="M360" s="86"/>
      <c r="N360" s="86"/>
      <c r="O360" s="86"/>
      <c r="P360" s="86"/>
      <c r="Q360" s="86"/>
      <c r="R360" s="86"/>
      <c r="S360" s="86"/>
      <c r="T360" s="86"/>
      <c r="U360" s="86"/>
      <c r="V360" s="86"/>
      <c r="W360" s="86"/>
      <c r="X360" s="86"/>
      <c r="Y360" s="86"/>
      <c r="Z360" s="86"/>
      <c r="AA360" s="86"/>
      <c r="AB360" s="86"/>
      <c r="AC360" s="86"/>
      <c r="AD360" s="86"/>
      <c r="AE360" s="86"/>
      <c r="AF360" s="86"/>
      <c r="AG360" s="86"/>
      <c r="AH360" s="86"/>
      <c r="AI360" s="86"/>
      <c r="AJ360" s="86"/>
      <c r="AK360" s="86"/>
      <c r="AL360" s="86"/>
      <c r="AM360" s="86"/>
      <c r="AN360" s="86"/>
      <c r="AO360" s="87"/>
      <c r="AP360" s="88">
        <f t="shared" si="5"/>
        <v>0</v>
      </c>
    </row>
    <row r="361" spans="2:42" s="3" customFormat="1" ht="24" customHeight="1" x14ac:dyDescent="0.2">
      <c r="B361" s="80"/>
      <c r="C361" s="81"/>
      <c r="D361" s="82"/>
      <c r="E361" s="83"/>
      <c r="F361" s="84" t="str">
        <f>IFERROR(VLOOKUP($E361,設定!$C:$G,2,0),"")</f>
        <v/>
      </c>
      <c r="G361" s="84" t="str">
        <f>IFERROR(VLOOKUP($E361,設定!$C:$G,3,0),"")</f>
        <v/>
      </c>
      <c r="H361" s="84" t="str">
        <f>IFERROR(VLOOKUP($E361,設定!$C:$G,4,0),"")</f>
        <v/>
      </c>
      <c r="I361" s="84" t="str">
        <f>IFERROR(VLOOKUP($E361,設定!$C:$G,5,0),"")</f>
        <v/>
      </c>
      <c r="J361" s="117"/>
      <c r="K361" s="85"/>
      <c r="L361" s="86"/>
      <c r="M361" s="86"/>
      <c r="N361" s="86"/>
      <c r="O361" s="86"/>
      <c r="P361" s="86"/>
      <c r="Q361" s="86"/>
      <c r="R361" s="86"/>
      <c r="S361" s="86"/>
      <c r="T361" s="86"/>
      <c r="U361" s="86"/>
      <c r="V361" s="86"/>
      <c r="W361" s="86"/>
      <c r="X361" s="86"/>
      <c r="Y361" s="86"/>
      <c r="Z361" s="86"/>
      <c r="AA361" s="86"/>
      <c r="AB361" s="86"/>
      <c r="AC361" s="86"/>
      <c r="AD361" s="86"/>
      <c r="AE361" s="86"/>
      <c r="AF361" s="86"/>
      <c r="AG361" s="86"/>
      <c r="AH361" s="86"/>
      <c r="AI361" s="86"/>
      <c r="AJ361" s="86"/>
      <c r="AK361" s="86"/>
      <c r="AL361" s="86"/>
      <c r="AM361" s="86"/>
      <c r="AN361" s="86"/>
      <c r="AO361" s="87"/>
      <c r="AP361" s="88">
        <f t="shared" si="5"/>
        <v>0</v>
      </c>
    </row>
    <row r="362" spans="2:42" s="3" customFormat="1" ht="24" customHeight="1" x14ac:dyDescent="0.2">
      <c r="B362" s="80"/>
      <c r="C362" s="81"/>
      <c r="D362" s="82"/>
      <c r="E362" s="83"/>
      <c r="F362" s="84" t="str">
        <f>IFERROR(VLOOKUP($E362,設定!$C:$G,2,0),"")</f>
        <v/>
      </c>
      <c r="G362" s="84" t="str">
        <f>IFERROR(VLOOKUP($E362,設定!$C:$G,3,0),"")</f>
        <v/>
      </c>
      <c r="H362" s="84" t="str">
        <f>IFERROR(VLOOKUP($E362,設定!$C:$G,4,0),"")</f>
        <v/>
      </c>
      <c r="I362" s="84" t="str">
        <f>IFERROR(VLOOKUP($E362,設定!$C:$G,5,0),"")</f>
        <v/>
      </c>
      <c r="J362" s="117"/>
      <c r="K362" s="85"/>
      <c r="L362" s="86"/>
      <c r="M362" s="86"/>
      <c r="N362" s="86"/>
      <c r="O362" s="86"/>
      <c r="P362" s="86"/>
      <c r="Q362" s="86"/>
      <c r="R362" s="86"/>
      <c r="S362" s="86"/>
      <c r="T362" s="86"/>
      <c r="U362" s="86"/>
      <c r="V362" s="86"/>
      <c r="W362" s="86"/>
      <c r="X362" s="86"/>
      <c r="Y362" s="86"/>
      <c r="Z362" s="86"/>
      <c r="AA362" s="86"/>
      <c r="AB362" s="86"/>
      <c r="AC362" s="86"/>
      <c r="AD362" s="86"/>
      <c r="AE362" s="86"/>
      <c r="AF362" s="86"/>
      <c r="AG362" s="86"/>
      <c r="AH362" s="86"/>
      <c r="AI362" s="86"/>
      <c r="AJ362" s="86"/>
      <c r="AK362" s="86"/>
      <c r="AL362" s="86"/>
      <c r="AM362" s="86"/>
      <c r="AN362" s="86"/>
      <c r="AO362" s="87"/>
      <c r="AP362" s="88">
        <f t="shared" si="5"/>
        <v>0</v>
      </c>
    </row>
    <row r="363" spans="2:42" s="3" customFormat="1" ht="24" customHeight="1" x14ac:dyDescent="0.2">
      <c r="B363" s="80"/>
      <c r="C363" s="81"/>
      <c r="D363" s="82"/>
      <c r="E363" s="83"/>
      <c r="F363" s="84" t="str">
        <f>IFERROR(VLOOKUP($E363,設定!$C:$G,2,0),"")</f>
        <v/>
      </c>
      <c r="G363" s="84" t="str">
        <f>IFERROR(VLOOKUP($E363,設定!$C:$G,3,0),"")</f>
        <v/>
      </c>
      <c r="H363" s="84" t="str">
        <f>IFERROR(VLOOKUP($E363,設定!$C:$G,4,0),"")</f>
        <v/>
      </c>
      <c r="I363" s="84" t="str">
        <f>IFERROR(VLOOKUP($E363,設定!$C:$G,5,0),"")</f>
        <v/>
      </c>
      <c r="J363" s="117"/>
      <c r="K363" s="85"/>
      <c r="L363" s="86"/>
      <c r="M363" s="86"/>
      <c r="N363" s="86"/>
      <c r="O363" s="86"/>
      <c r="P363" s="86"/>
      <c r="Q363" s="86"/>
      <c r="R363" s="86"/>
      <c r="S363" s="86"/>
      <c r="T363" s="86"/>
      <c r="U363" s="86"/>
      <c r="V363" s="86"/>
      <c r="W363" s="86"/>
      <c r="X363" s="86"/>
      <c r="Y363" s="86"/>
      <c r="Z363" s="86"/>
      <c r="AA363" s="86"/>
      <c r="AB363" s="86"/>
      <c r="AC363" s="86"/>
      <c r="AD363" s="86"/>
      <c r="AE363" s="86"/>
      <c r="AF363" s="86"/>
      <c r="AG363" s="86"/>
      <c r="AH363" s="86"/>
      <c r="AI363" s="86"/>
      <c r="AJ363" s="86"/>
      <c r="AK363" s="86"/>
      <c r="AL363" s="86"/>
      <c r="AM363" s="86"/>
      <c r="AN363" s="86"/>
      <c r="AO363" s="87"/>
      <c r="AP363" s="88">
        <f t="shared" si="5"/>
        <v>0</v>
      </c>
    </row>
    <row r="364" spans="2:42" s="3" customFormat="1" ht="24" customHeight="1" x14ac:dyDescent="0.2">
      <c r="B364" s="80"/>
      <c r="C364" s="81"/>
      <c r="D364" s="82"/>
      <c r="E364" s="83"/>
      <c r="F364" s="84" t="str">
        <f>IFERROR(VLOOKUP($E364,設定!$C:$G,2,0),"")</f>
        <v/>
      </c>
      <c r="G364" s="84" t="str">
        <f>IFERROR(VLOOKUP($E364,設定!$C:$G,3,0),"")</f>
        <v/>
      </c>
      <c r="H364" s="84" t="str">
        <f>IFERROR(VLOOKUP($E364,設定!$C:$G,4,0),"")</f>
        <v/>
      </c>
      <c r="I364" s="84" t="str">
        <f>IFERROR(VLOOKUP($E364,設定!$C:$G,5,0),"")</f>
        <v/>
      </c>
      <c r="J364" s="117"/>
      <c r="K364" s="85"/>
      <c r="L364" s="86"/>
      <c r="M364" s="86"/>
      <c r="N364" s="86"/>
      <c r="O364" s="86"/>
      <c r="P364" s="86"/>
      <c r="Q364" s="86"/>
      <c r="R364" s="86"/>
      <c r="S364" s="86"/>
      <c r="T364" s="86"/>
      <c r="U364" s="86"/>
      <c r="V364" s="86"/>
      <c r="W364" s="86"/>
      <c r="X364" s="86"/>
      <c r="Y364" s="86"/>
      <c r="Z364" s="86"/>
      <c r="AA364" s="86"/>
      <c r="AB364" s="86"/>
      <c r="AC364" s="86"/>
      <c r="AD364" s="86"/>
      <c r="AE364" s="86"/>
      <c r="AF364" s="86"/>
      <c r="AG364" s="86"/>
      <c r="AH364" s="86"/>
      <c r="AI364" s="86"/>
      <c r="AJ364" s="86"/>
      <c r="AK364" s="86"/>
      <c r="AL364" s="86"/>
      <c r="AM364" s="86"/>
      <c r="AN364" s="86"/>
      <c r="AO364" s="87"/>
      <c r="AP364" s="88">
        <f t="shared" si="5"/>
        <v>0</v>
      </c>
    </row>
    <row r="365" spans="2:42" s="3" customFormat="1" ht="24" customHeight="1" x14ac:dyDescent="0.2">
      <c r="B365" s="80"/>
      <c r="C365" s="81"/>
      <c r="D365" s="82"/>
      <c r="E365" s="83"/>
      <c r="F365" s="84" t="str">
        <f>IFERROR(VLOOKUP($E365,設定!$C:$G,2,0),"")</f>
        <v/>
      </c>
      <c r="G365" s="84" t="str">
        <f>IFERROR(VLOOKUP($E365,設定!$C:$G,3,0),"")</f>
        <v/>
      </c>
      <c r="H365" s="84" t="str">
        <f>IFERROR(VLOOKUP($E365,設定!$C:$G,4,0),"")</f>
        <v/>
      </c>
      <c r="I365" s="84" t="str">
        <f>IFERROR(VLOOKUP($E365,設定!$C:$G,5,0),"")</f>
        <v/>
      </c>
      <c r="J365" s="117"/>
      <c r="K365" s="85"/>
      <c r="L365" s="86"/>
      <c r="M365" s="86"/>
      <c r="N365" s="86"/>
      <c r="O365" s="86"/>
      <c r="P365" s="86"/>
      <c r="Q365" s="86"/>
      <c r="R365" s="86"/>
      <c r="S365" s="86"/>
      <c r="T365" s="86"/>
      <c r="U365" s="86"/>
      <c r="V365" s="86"/>
      <c r="W365" s="86"/>
      <c r="X365" s="86"/>
      <c r="Y365" s="86"/>
      <c r="Z365" s="86"/>
      <c r="AA365" s="86"/>
      <c r="AB365" s="86"/>
      <c r="AC365" s="86"/>
      <c r="AD365" s="86"/>
      <c r="AE365" s="86"/>
      <c r="AF365" s="86"/>
      <c r="AG365" s="86"/>
      <c r="AH365" s="86"/>
      <c r="AI365" s="86"/>
      <c r="AJ365" s="86"/>
      <c r="AK365" s="86"/>
      <c r="AL365" s="86"/>
      <c r="AM365" s="86"/>
      <c r="AN365" s="86"/>
      <c r="AO365" s="87"/>
      <c r="AP365" s="88">
        <f t="shared" si="5"/>
        <v>0</v>
      </c>
    </row>
    <row r="366" spans="2:42" s="3" customFormat="1" ht="24" customHeight="1" x14ac:dyDescent="0.2">
      <c r="B366" s="80"/>
      <c r="C366" s="81"/>
      <c r="D366" s="82"/>
      <c r="E366" s="83"/>
      <c r="F366" s="84" t="str">
        <f>IFERROR(VLOOKUP($E366,設定!$C:$G,2,0),"")</f>
        <v/>
      </c>
      <c r="G366" s="84" t="str">
        <f>IFERROR(VLOOKUP($E366,設定!$C:$G,3,0),"")</f>
        <v/>
      </c>
      <c r="H366" s="84" t="str">
        <f>IFERROR(VLOOKUP($E366,設定!$C:$G,4,0),"")</f>
        <v/>
      </c>
      <c r="I366" s="84" t="str">
        <f>IFERROR(VLOOKUP($E366,設定!$C:$G,5,0),"")</f>
        <v/>
      </c>
      <c r="J366" s="117"/>
      <c r="K366" s="85"/>
      <c r="L366" s="86"/>
      <c r="M366" s="86"/>
      <c r="N366" s="86"/>
      <c r="O366" s="86"/>
      <c r="P366" s="86"/>
      <c r="Q366" s="86"/>
      <c r="R366" s="86"/>
      <c r="S366" s="86"/>
      <c r="T366" s="86"/>
      <c r="U366" s="86"/>
      <c r="V366" s="86"/>
      <c r="W366" s="86"/>
      <c r="X366" s="86"/>
      <c r="Y366" s="86"/>
      <c r="Z366" s="86"/>
      <c r="AA366" s="86"/>
      <c r="AB366" s="86"/>
      <c r="AC366" s="86"/>
      <c r="AD366" s="86"/>
      <c r="AE366" s="86"/>
      <c r="AF366" s="86"/>
      <c r="AG366" s="86"/>
      <c r="AH366" s="86"/>
      <c r="AI366" s="86"/>
      <c r="AJ366" s="86"/>
      <c r="AK366" s="86"/>
      <c r="AL366" s="86"/>
      <c r="AM366" s="86"/>
      <c r="AN366" s="86"/>
      <c r="AO366" s="87"/>
      <c r="AP366" s="88">
        <f t="shared" si="5"/>
        <v>0</v>
      </c>
    </row>
    <row r="367" spans="2:42" s="3" customFormat="1" ht="24" customHeight="1" x14ac:dyDescent="0.2">
      <c r="B367" s="80"/>
      <c r="C367" s="81"/>
      <c r="D367" s="82"/>
      <c r="E367" s="83"/>
      <c r="F367" s="84" t="str">
        <f>IFERROR(VLOOKUP($E367,設定!$C:$G,2,0),"")</f>
        <v/>
      </c>
      <c r="G367" s="84" t="str">
        <f>IFERROR(VLOOKUP($E367,設定!$C:$G,3,0),"")</f>
        <v/>
      </c>
      <c r="H367" s="84" t="str">
        <f>IFERROR(VLOOKUP($E367,設定!$C:$G,4,0),"")</f>
        <v/>
      </c>
      <c r="I367" s="84" t="str">
        <f>IFERROR(VLOOKUP($E367,設定!$C:$G,5,0),"")</f>
        <v/>
      </c>
      <c r="J367" s="117"/>
      <c r="K367" s="85"/>
      <c r="L367" s="86"/>
      <c r="M367" s="86"/>
      <c r="N367" s="86"/>
      <c r="O367" s="86"/>
      <c r="P367" s="86"/>
      <c r="Q367" s="86"/>
      <c r="R367" s="86"/>
      <c r="S367" s="86"/>
      <c r="T367" s="86"/>
      <c r="U367" s="86"/>
      <c r="V367" s="86"/>
      <c r="W367" s="86"/>
      <c r="X367" s="86"/>
      <c r="Y367" s="86"/>
      <c r="Z367" s="86"/>
      <c r="AA367" s="86"/>
      <c r="AB367" s="86"/>
      <c r="AC367" s="86"/>
      <c r="AD367" s="86"/>
      <c r="AE367" s="86"/>
      <c r="AF367" s="86"/>
      <c r="AG367" s="86"/>
      <c r="AH367" s="86"/>
      <c r="AI367" s="86"/>
      <c r="AJ367" s="86"/>
      <c r="AK367" s="86"/>
      <c r="AL367" s="86"/>
      <c r="AM367" s="86"/>
      <c r="AN367" s="86"/>
      <c r="AO367" s="87"/>
      <c r="AP367" s="88">
        <f t="shared" si="5"/>
        <v>0</v>
      </c>
    </row>
    <row r="368" spans="2:42" s="3" customFormat="1" ht="24" customHeight="1" x14ac:dyDescent="0.2">
      <c r="B368" s="80"/>
      <c r="C368" s="81"/>
      <c r="D368" s="82"/>
      <c r="E368" s="83"/>
      <c r="F368" s="84" t="str">
        <f>IFERROR(VLOOKUP($E368,設定!$C:$G,2,0),"")</f>
        <v/>
      </c>
      <c r="G368" s="84" t="str">
        <f>IFERROR(VLOOKUP($E368,設定!$C:$G,3,0),"")</f>
        <v/>
      </c>
      <c r="H368" s="84" t="str">
        <f>IFERROR(VLOOKUP($E368,設定!$C:$G,4,0),"")</f>
        <v/>
      </c>
      <c r="I368" s="84" t="str">
        <f>IFERROR(VLOOKUP($E368,設定!$C:$G,5,0),"")</f>
        <v/>
      </c>
      <c r="J368" s="117"/>
      <c r="K368" s="85"/>
      <c r="L368" s="86"/>
      <c r="M368" s="86"/>
      <c r="N368" s="86"/>
      <c r="O368" s="86"/>
      <c r="P368" s="86"/>
      <c r="Q368" s="86"/>
      <c r="R368" s="86"/>
      <c r="S368" s="86"/>
      <c r="T368" s="86"/>
      <c r="U368" s="86"/>
      <c r="V368" s="86"/>
      <c r="W368" s="86"/>
      <c r="X368" s="86"/>
      <c r="Y368" s="86"/>
      <c r="Z368" s="86"/>
      <c r="AA368" s="86"/>
      <c r="AB368" s="86"/>
      <c r="AC368" s="86"/>
      <c r="AD368" s="86"/>
      <c r="AE368" s="86"/>
      <c r="AF368" s="86"/>
      <c r="AG368" s="86"/>
      <c r="AH368" s="86"/>
      <c r="AI368" s="86"/>
      <c r="AJ368" s="86"/>
      <c r="AK368" s="86"/>
      <c r="AL368" s="86"/>
      <c r="AM368" s="86"/>
      <c r="AN368" s="86"/>
      <c r="AO368" s="87"/>
      <c r="AP368" s="88">
        <f t="shared" si="5"/>
        <v>0</v>
      </c>
    </row>
    <row r="369" spans="2:42" s="3" customFormat="1" ht="24" customHeight="1" x14ac:dyDescent="0.2">
      <c r="B369" s="80"/>
      <c r="C369" s="81"/>
      <c r="D369" s="82"/>
      <c r="E369" s="83"/>
      <c r="F369" s="84" t="str">
        <f>IFERROR(VLOOKUP($E369,設定!$C:$G,2,0),"")</f>
        <v/>
      </c>
      <c r="G369" s="84" t="str">
        <f>IFERROR(VLOOKUP($E369,設定!$C:$G,3,0),"")</f>
        <v/>
      </c>
      <c r="H369" s="84" t="str">
        <f>IFERROR(VLOOKUP($E369,設定!$C:$G,4,0),"")</f>
        <v/>
      </c>
      <c r="I369" s="84" t="str">
        <f>IFERROR(VLOOKUP($E369,設定!$C:$G,5,0),"")</f>
        <v/>
      </c>
      <c r="J369" s="117"/>
      <c r="K369" s="85"/>
      <c r="L369" s="86"/>
      <c r="M369" s="86"/>
      <c r="N369" s="86"/>
      <c r="O369" s="86"/>
      <c r="P369" s="86"/>
      <c r="Q369" s="86"/>
      <c r="R369" s="86"/>
      <c r="S369" s="86"/>
      <c r="T369" s="86"/>
      <c r="U369" s="86"/>
      <c r="V369" s="86"/>
      <c r="W369" s="86"/>
      <c r="X369" s="86"/>
      <c r="Y369" s="86"/>
      <c r="Z369" s="86"/>
      <c r="AA369" s="86"/>
      <c r="AB369" s="86"/>
      <c r="AC369" s="86"/>
      <c r="AD369" s="86"/>
      <c r="AE369" s="86"/>
      <c r="AF369" s="86"/>
      <c r="AG369" s="86"/>
      <c r="AH369" s="86"/>
      <c r="AI369" s="86"/>
      <c r="AJ369" s="86"/>
      <c r="AK369" s="86"/>
      <c r="AL369" s="86"/>
      <c r="AM369" s="86"/>
      <c r="AN369" s="86"/>
      <c r="AO369" s="87"/>
      <c r="AP369" s="88">
        <f t="shared" si="5"/>
        <v>0</v>
      </c>
    </row>
    <row r="370" spans="2:42" s="3" customFormat="1" ht="24" customHeight="1" x14ac:dyDescent="0.2">
      <c r="B370" s="80"/>
      <c r="C370" s="81"/>
      <c r="D370" s="82"/>
      <c r="E370" s="83"/>
      <c r="F370" s="84" t="str">
        <f>IFERROR(VLOOKUP($E370,設定!$C:$G,2,0),"")</f>
        <v/>
      </c>
      <c r="G370" s="84" t="str">
        <f>IFERROR(VLOOKUP($E370,設定!$C:$G,3,0),"")</f>
        <v/>
      </c>
      <c r="H370" s="84" t="str">
        <f>IFERROR(VLOOKUP($E370,設定!$C:$G,4,0),"")</f>
        <v/>
      </c>
      <c r="I370" s="84" t="str">
        <f>IFERROR(VLOOKUP($E370,設定!$C:$G,5,0),"")</f>
        <v/>
      </c>
      <c r="J370" s="117"/>
      <c r="K370" s="85"/>
      <c r="L370" s="86"/>
      <c r="M370" s="86"/>
      <c r="N370" s="86"/>
      <c r="O370" s="86"/>
      <c r="P370" s="86"/>
      <c r="Q370" s="86"/>
      <c r="R370" s="86"/>
      <c r="S370" s="86"/>
      <c r="T370" s="86"/>
      <c r="U370" s="86"/>
      <c r="V370" s="86"/>
      <c r="W370" s="86"/>
      <c r="X370" s="86"/>
      <c r="Y370" s="86"/>
      <c r="Z370" s="86"/>
      <c r="AA370" s="86"/>
      <c r="AB370" s="86"/>
      <c r="AC370" s="86"/>
      <c r="AD370" s="86"/>
      <c r="AE370" s="86"/>
      <c r="AF370" s="86"/>
      <c r="AG370" s="86"/>
      <c r="AH370" s="86"/>
      <c r="AI370" s="86"/>
      <c r="AJ370" s="86"/>
      <c r="AK370" s="86"/>
      <c r="AL370" s="86"/>
      <c r="AM370" s="86"/>
      <c r="AN370" s="86"/>
      <c r="AO370" s="87"/>
      <c r="AP370" s="88">
        <f t="shared" si="5"/>
        <v>0</v>
      </c>
    </row>
    <row r="371" spans="2:42" s="3" customFormat="1" ht="24" customHeight="1" x14ac:dyDescent="0.2">
      <c r="B371" s="80"/>
      <c r="C371" s="81"/>
      <c r="D371" s="82"/>
      <c r="E371" s="83"/>
      <c r="F371" s="84" t="str">
        <f>IFERROR(VLOOKUP($E371,設定!$C:$G,2,0),"")</f>
        <v/>
      </c>
      <c r="G371" s="84" t="str">
        <f>IFERROR(VLOOKUP($E371,設定!$C:$G,3,0),"")</f>
        <v/>
      </c>
      <c r="H371" s="84" t="str">
        <f>IFERROR(VLOOKUP($E371,設定!$C:$G,4,0),"")</f>
        <v/>
      </c>
      <c r="I371" s="84" t="str">
        <f>IFERROR(VLOOKUP($E371,設定!$C:$G,5,0),"")</f>
        <v/>
      </c>
      <c r="J371" s="117"/>
      <c r="K371" s="85"/>
      <c r="L371" s="86"/>
      <c r="M371" s="86"/>
      <c r="N371" s="86"/>
      <c r="O371" s="86"/>
      <c r="P371" s="86"/>
      <c r="Q371" s="86"/>
      <c r="R371" s="86"/>
      <c r="S371" s="86"/>
      <c r="T371" s="86"/>
      <c r="U371" s="86"/>
      <c r="V371" s="86"/>
      <c r="W371" s="86"/>
      <c r="X371" s="86"/>
      <c r="Y371" s="86"/>
      <c r="Z371" s="86"/>
      <c r="AA371" s="86"/>
      <c r="AB371" s="86"/>
      <c r="AC371" s="86"/>
      <c r="AD371" s="86"/>
      <c r="AE371" s="86"/>
      <c r="AF371" s="86"/>
      <c r="AG371" s="86"/>
      <c r="AH371" s="86"/>
      <c r="AI371" s="86"/>
      <c r="AJ371" s="86"/>
      <c r="AK371" s="86"/>
      <c r="AL371" s="86"/>
      <c r="AM371" s="86"/>
      <c r="AN371" s="86"/>
      <c r="AO371" s="87"/>
      <c r="AP371" s="88">
        <f t="shared" si="5"/>
        <v>0</v>
      </c>
    </row>
    <row r="372" spans="2:42" s="3" customFormat="1" ht="24" customHeight="1" x14ac:dyDescent="0.2">
      <c r="B372" s="80"/>
      <c r="C372" s="81"/>
      <c r="D372" s="82"/>
      <c r="E372" s="83"/>
      <c r="F372" s="84" t="str">
        <f>IFERROR(VLOOKUP($E372,設定!$C:$G,2,0),"")</f>
        <v/>
      </c>
      <c r="G372" s="84" t="str">
        <f>IFERROR(VLOOKUP($E372,設定!$C:$G,3,0),"")</f>
        <v/>
      </c>
      <c r="H372" s="84" t="str">
        <f>IFERROR(VLOOKUP($E372,設定!$C:$G,4,0),"")</f>
        <v/>
      </c>
      <c r="I372" s="84" t="str">
        <f>IFERROR(VLOOKUP($E372,設定!$C:$G,5,0),"")</f>
        <v/>
      </c>
      <c r="J372" s="117"/>
      <c r="K372" s="85"/>
      <c r="L372" s="86"/>
      <c r="M372" s="86"/>
      <c r="N372" s="86"/>
      <c r="O372" s="86"/>
      <c r="P372" s="86"/>
      <c r="Q372" s="86"/>
      <c r="R372" s="86"/>
      <c r="S372" s="86"/>
      <c r="T372" s="86"/>
      <c r="U372" s="86"/>
      <c r="V372" s="86"/>
      <c r="W372" s="86"/>
      <c r="X372" s="86"/>
      <c r="Y372" s="86"/>
      <c r="Z372" s="86"/>
      <c r="AA372" s="86"/>
      <c r="AB372" s="86"/>
      <c r="AC372" s="86"/>
      <c r="AD372" s="86"/>
      <c r="AE372" s="86"/>
      <c r="AF372" s="86"/>
      <c r="AG372" s="86"/>
      <c r="AH372" s="86"/>
      <c r="AI372" s="86"/>
      <c r="AJ372" s="86"/>
      <c r="AK372" s="86"/>
      <c r="AL372" s="86"/>
      <c r="AM372" s="86"/>
      <c r="AN372" s="86"/>
      <c r="AO372" s="87"/>
      <c r="AP372" s="88">
        <f t="shared" si="5"/>
        <v>0</v>
      </c>
    </row>
    <row r="373" spans="2:42" s="3" customFormat="1" ht="24" customHeight="1" x14ac:dyDescent="0.2">
      <c r="B373" s="80"/>
      <c r="C373" s="81"/>
      <c r="D373" s="82"/>
      <c r="E373" s="83"/>
      <c r="F373" s="84" t="str">
        <f>IFERROR(VLOOKUP($E373,設定!$C:$G,2,0),"")</f>
        <v/>
      </c>
      <c r="G373" s="84" t="str">
        <f>IFERROR(VLOOKUP($E373,設定!$C:$G,3,0),"")</f>
        <v/>
      </c>
      <c r="H373" s="84" t="str">
        <f>IFERROR(VLOOKUP($E373,設定!$C:$G,4,0),"")</f>
        <v/>
      </c>
      <c r="I373" s="84" t="str">
        <f>IFERROR(VLOOKUP($E373,設定!$C:$G,5,0),"")</f>
        <v/>
      </c>
      <c r="J373" s="117"/>
      <c r="K373" s="85"/>
      <c r="L373" s="86"/>
      <c r="M373" s="86"/>
      <c r="N373" s="86"/>
      <c r="O373" s="86"/>
      <c r="P373" s="86"/>
      <c r="Q373" s="86"/>
      <c r="R373" s="86"/>
      <c r="S373" s="86"/>
      <c r="T373" s="86"/>
      <c r="U373" s="86"/>
      <c r="V373" s="86"/>
      <c r="W373" s="86"/>
      <c r="X373" s="86"/>
      <c r="Y373" s="86"/>
      <c r="Z373" s="86"/>
      <c r="AA373" s="86"/>
      <c r="AB373" s="86"/>
      <c r="AC373" s="86"/>
      <c r="AD373" s="86"/>
      <c r="AE373" s="86"/>
      <c r="AF373" s="86"/>
      <c r="AG373" s="86"/>
      <c r="AH373" s="86"/>
      <c r="AI373" s="86"/>
      <c r="AJ373" s="86"/>
      <c r="AK373" s="86"/>
      <c r="AL373" s="86"/>
      <c r="AM373" s="86"/>
      <c r="AN373" s="86"/>
      <c r="AO373" s="87"/>
      <c r="AP373" s="88">
        <f t="shared" si="5"/>
        <v>0</v>
      </c>
    </row>
    <row r="374" spans="2:42" s="3" customFormat="1" ht="24" customHeight="1" x14ac:dyDescent="0.2">
      <c r="B374" s="80"/>
      <c r="C374" s="81"/>
      <c r="D374" s="82"/>
      <c r="E374" s="83"/>
      <c r="F374" s="84" t="str">
        <f>IFERROR(VLOOKUP($E374,設定!$C:$G,2,0),"")</f>
        <v/>
      </c>
      <c r="G374" s="84" t="str">
        <f>IFERROR(VLOOKUP($E374,設定!$C:$G,3,0),"")</f>
        <v/>
      </c>
      <c r="H374" s="84" t="str">
        <f>IFERROR(VLOOKUP($E374,設定!$C:$G,4,0),"")</f>
        <v/>
      </c>
      <c r="I374" s="84" t="str">
        <f>IFERROR(VLOOKUP($E374,設定!$C:$G,5,0),"")</f>
        <v/>
      </c>
      <c r="J374" s="117"/>
      <c r="K374" s="85"/>
      <c r="L374" s="86"/>
      <c r="M374" s="86"/>
      <c r="N374" s="86"/>
      <c r="O374" s="86"/>
      <c r="P374" s="86"/>
      <c r="Q374" s="86"/>
      <c r="R374" s="86"/>
      <c r="S374" s="86"/>
      <c r="T374" s="86"/>
      <c r="U374" s="86"/>
      <c r="V374" s="86"/>
      <c r="W374" s="86"/>
      <c r="X374" s="86"/>
      <c r="Y374" s="86"/>
      <c r="Z374" s="86"/>
      <c r="AA374" s="86"/>
      <c r="AB374" s="86"/>
      <c r="AC374" s="86"/>
      <c r="AD374" s="86"/>
      <c r="AE374" s="86"/>
      <c r="AF374" s="86"/>
      <c r="AG374" s="86"/>
      <c r="AH374" s="86"/>
      <c r="AI374" s="86"/>
      <c r="AJ374" s="86"/>
      <c r="AK374" s="86"/>
      <c r="AL374" s="86"/>
      <c r="AM374" s="86"/>
      <c r="AN374" s="86"/>
      <c r="AO374" s="87"/>
      <c r="AP374" s="88">
        <f t="shared" si="5"/>
        <v>0</v>
      </c>
    </row>
    <row r="375" spans="2:42" s="3" customFormat="1" ht="24" customHeight="1" x14ac:dyDescent="0.2">
      <c r="B375" s="80"/>
      <c r="C375" s="81"/>
      <c r="D375" s="82"/>
      <c r="E375" s="83"/>
      <c r="F375" s="84" t="str">
        <f>IFERROR(VLOOKUP($E375,設定!$C:$G,2,0),"")</f>
        <v/>
      </c>
      <c r="G375" s="84" t="str">
        <f>IFERROR(VLOOKUP($E375,設定!$C:$G,3,0),"")</f>
        <v/>
      </c>
      <c r="H375" s="84" t="str">
        <f>IFERROR(VLOOKUP($E375,設定!$C:$G,4,0),"")</f>
        <v/>
      </c>
      <c r="I375" s="84" t="str">
        <f>IFERROR(VLOOKUP($E375,設定!$C:$G,5,0),"")</f>
        <v/>
      </c>
      <c r="J375" s="117"/>
      <c r="K375" s="85"/>
      <c r="L375" s="86"/>
      <c r="M375" s="86"/>
      <c r="N375" s="86"/>
      <c r="O375" s="86"/>
      <c r="P375" s="86"/>
      <c r="Q375" s="86"/>
      <c r="R375" s="86"/>
      <c r="S375" s="86"/>
      <c r="T375" s="86"/>
      <c r="U375" s="86"/>
      <c r="V375" s="86"/>
      <c r="W375" s="86"/>
      <c r="X375" s="86"/>
      <c r="Y375" s="86"/>
      <c r="Z375" s="86"/>
      <c r="AA375" s="86"/>
      <c r="AB375" s="86"/>
      <c r="AC375" s="86"/>
      <c r="AD375" s="86"/>
      <c r="AE375" s="86"/>
      <c r="AF375" s="86"/>
      <c r="AG375" s="86"/>
      <c r="AH375" s="86"/>
      <c r="AI375" s="86"/>
      <c r="AJ375" s="86"/>
      <c r="AK375" s="86"/>
      <c r="AL375" s="86"/>
      <c r="AM375" s="86"/>
      <c r="AN375" s="86"/>
      <c r="AO375" s="87"/>
      <c r="AP375" s="88">
        <f t="shared" si="5"/>
        <v>0</v>
      </c>
    </row>
    <row r="376" spans="2:42" s="3" customFormat="1" ht="24" customHeight="1" x14ac:dyDescent="0.2">
      <c r="B376" s="80"/>
      <c r="C376" s="81"/>
      <c r="D376" s="82"/>
      <c r="E376" s="83"/>
      <c r="F376" s="84" t="str">
        <f>IFERROR(VLOOKUP($E376,設定!$C:$G,2,0),"")</f>
        <v/>
      </c>
      <c r="G376" s="84" t="str">
        <f>IFERROR(VLOOKUP($E376,設定!$C:$G,3,0),"")</f>
        <v/>
      </c>
      <c r="H376" s="84" t="str">
        <f>IFERROR(VLOOKUP($E376,設定!$C:$G,4,0),"")</f>
        <v/>
      </c>
      <c r="I376" s="84" t="str">
        <f>IFERROR(VLOOKUP($E376,設定!$C:$G,5,0),"")</f>
        <v/>
      </c>
      <c r="J376" s="117"/>
      <c r="K376" s="85"/>
      <c r="L376" s="86"/>
      <c r="M376" s="86"/>
      <c r="N376" s="86"/>
      <c r="O376" s="86"/>
      <c r="P376" s="86"/>
      <c r="Q376" s="86"/>
      <c r="R376" s="86"/>
      <c r="S376" s="86"/>
      <c r="T376" s="86"/>
      <c r="U376" s="86"/>
      <c r="V376" s="86"/>
      <c r="W376" s="86"/>
      <c r="X376" s="86"/>
      <c r="Y376" s="86"/>
      <c r="Z376" s="86"/>
      <c r="AA376" s="86"/>
      <c r="AB376" s="86"/>
      <c r="AC376" s="86"/>
      <c r="AD376" s="86"/>
      <c r="AE376" s="86"/>
      <c r="AF376" s="86"/>
      <c r="AG376" s="86"/>
      <c r="AH376" s="86"/>
      <c r="AI376" s="86"/>
      <c r="AJ376" s="86"/>
      <c r="AK376" s="86"/>
      <c r="AL376" s="86"/>
      <c r="AM376" s="86"/>
      <c r="AN376" s="86"/>
      <c r="AO376" s="87"/>
      <c r="AP376" s="88">
        <f t="shared" si="5"/>
        <v>0</v>
      </c>
    </row>
    <row r="377" spans="2:42" s="3" customFormat="1" ht="24" customHeight="1" x14ac:dyDescent="0.2">
      <c r="B377" s="80"/>
      <c r="C377" s="81"/>
      <c r="D377" s="82"/>
      <c r="E377" s="83"/>
      <c r="F377" s="84" t="str">
        <f>IFERROR(VLOOKUP($E377,設定!$C:$G,2,0),"")</f>
        <v/>
      </c>
      <c r="G377" s="84" t="str">
        <f>IFERROR(VLOOKUP($E377,設定!$C:$G,3,0),"")</f>
        <v/>
      </c>
      <c r="H377" s="84" t="str">
        <f>IFERROR(VLOOKUP($E377,設定!$C:$G,4,0),"")</f>
        <v/>
      </c>
      <c r="I377" s="84" t="str">
        <f>IFERROR(VLOOKUP($E377,設定!$C:$G,5,0),"")</f>
        <v/>
      </c>
      <c r="J377" s="117"/>
      <c r="K377" s="85"/>
      <c r="L377" s="86"/>
      <c r="M377" s="86"/>
      <c r="N377" s="86"/>
      <c r="O377" s="86"/>
      <c r="P377" s="86"/>
      <c r="Q377" s="86"/>
      <c r="R377" s="86"/>
      <c r="S377" s="86"/>
      <c r="T377" s="86"/>
      <c r="U377" s="86"/>
      <c r="V377" s="86"/>
      <c r="W377" s="86"/>
      <c r="X377" s="86"/>
      <c r="Y377" s="86"/>
      <c r="Z377" s="86"/>
      <c r="AA377" s="86"/>
      <c r="AB377" s="86"/>
      <c r="AC377" s="86"/>
      <c r="AD377" s="86"/>
      <c r="AE377" s="86"/>
      <c r="AF377" s="86"/>
      <c r="AG377" s="86"/>
      <c r="AH377" s="86"/>
      <c r="AI377" s="86"/>
      <c r="AJ377" s="86"/>
      <c r="AK377" s="86"/>
      <c r="AL377" s="86"/>
      <c r="AM377" s="86"/>
      <c r="AN377" s="86"/>
      <c r="AO377" s="87"/>
      <c r="AP377" s="88">
        <f t="shared" si="5"/>
        <v>0</v>
      </c>
    </row>
    <row r="378" spans="2:42" s="3" customFormat="1" ht="24" customHeight="1" x14ac:dyDescent="0.2">
      <c r="B378" s="80"/>
      <c r="C378" s="81"/>
      <c r="D378" s="82"/>
      <c r="E378" s="83"/>
      <c r="F378" s="84" t="str">
        <f>IFERROR(VLOOKUP($E378,設定!$C:$G,2,0),"")</f>
        <v/>
      </c>
      <c r="G378" s="84" t="str">
        <f>IFERROR(VLOOKUP($E378,設定!$C:$G,3,0),"")</f>
        <v/>
      </c>
      <c r="H378" s="84" t="str">
        <f>IFERROR(VLOOKUP($E378,設定!$C:$G,4,0),"")</f>
        <v/>
      </c>
      <c r="I378" s="84" t="str">
        <f>IFERROR(VLOOKUP($E378,設定!$C:$G,5,0),"")</f>
        <v/>
      </c>
      <c r="J378" s="117"/>
      <c r="K378" s="85"/>
      <c r="L378" s="86"/>
      <c r="M378" s="86"/>
      <c r="N378" s="86"/>
      <c r="O378" s="86"/>
      <c r="P378" s="86"/>
      <c r="Q378" s="86"/>
      <c r="R378" s="86"/>
      <c r="S378" s="86"/>
      <c r="T378" s="86"/>
      <c r="U378" s="86"/>
      <c r="V378" s="86"/>
      <c r="W378" s="86"/>
      <c r="X378" s="86"/>
      <c r="Y378" s="86"/>
      <c r="Z378" s="86"/>
      <c r="AA378" s="86"/>
      <c r="AB378" s="86"/>
      <c r="AC378" s="86"/>
      <c r="AD378" s="86"/>
      <c r="AE378" s="86"/>
      <c r="AF378" s="86"/>
      <c r="AG378" s="86"/>
      <c r="AH378" s="86"/>
      <c r="AI378" s="86"/>
      <c r="AJ378" s="86"/>
      <c r="AK378" s="86"/>
      <c r="AL378" s="86"/>
      <c r="AM378" s="86"/>
      <c r="AN378" s="86"/>
      <c r="AO378" s="87"/>
      <c r="AP378" s="88">
        <f t="shared" si="5"/>
        <v>0</v>
      </c>
    </row>
    <row r="379" spans="2:42" s="3" customFormat="1" ht="24" customHeight="1" x14ac:dyDescent="0.2">
      <c r="B379" s="80"/>
      <c r="C379" s="81"/>
      <c r="D379" s="82"/>
      <c r="E379" s="83"/>
      <c r="F379" s="84" t="str">
        <f>IFERROR(VLOOKUP($E379,設定!$C:$G,2,0),"")</f>
        <v/>
      </c>
      <c r="G379" s="84" t="str">
        <f>IFERROR(VLOOKUP($E379,設定!$C:$G,3,0),"")</f>
        <v/>
      </c>
      <c r="H379" s="84" t="str">
        <f>IFERROR(VLOOKUP($E379,設定!$C:$G,4,0),"")</f>
        <v/>
      </c>
      <c r="I379" s="84" t="str">
        <f>IFERROR(VLOOKUP($E379,設定!$C:$G,5,0),"")</f>
        <v/>
      </c>
      <c r="J379" s="117"/>
      <c r="K379" s="85"/>
      <c r="L379" s="86"/>
      <c r="M379" s="86"/>
      <c r="N379" s="86"/>
      <c r="O379" s="86"/>
      <c r="P379" s="86"/>
      <c r="Q379" s="86"/>
      <c r="R379" s="86"/>
      <c r="S379" s="86"/>
      <c r="T379" s="86"/>
      <c r="U379" s="86"/>
      <c r="V379" s="86"/>
      <c r="W379" s="86"/>
      <c r="X379" s="86"/>
      <c r="Y379" s="86"/>
      <c r="Z379" s="86"/>
      <c r="AA379" s="86"/>
      <c r="AB379" s="86"/>
      <c r="AC379" s="86"/>
      <c r="AD379" s="86"/>
      <c r="AE379" s="86"/>
      <c r="AF379" s="86"/>
      <c r="AG379" s="86"/>
      <c r="AH379" s="86"/>
      <c r="AI379" s="86"/>
      <c r="AJ379" s="86"/>
      <c r="AK379" s="86"/>
      <c r="AL379" s="86"/>
      <c r="AM379" s="86"/>
      <c r="AN379" s="86"/>
      <c r="AO379" s="87"/>
      <c r="AP379" s="88">
        <f t="shared" si="5"/>
        <v>0</v>
      </c>
    </row>
    <row r="380" spans="2:42" s="3" customFormat="1" ht="24" customHeight="1" x14ac:dyDescent="0.2">
      <c r="B380" s="80"/>
      <c r="C380" s="81"/>
      <c r="D380" s="82"/>
      <c r="E380" s="83"/>
      <c r="F380" s="84" t="str">
        <f>IFERROR(VLOOKUP($E380,設定!$C:$G,2,0),"")</f>
        <v/>
      </c>
      <c r="G380" s="84" t="str">
        <f>IFERROR(VLOOKUP($E380,設定!$C:$G,3,0),"")</f>
        <v/>
      </c>
      <c r="H380" s="84" t="str">
        <f>IFERROR(VLOOKUP($E380,設定!$C:$G,4,0),"")</f>
        <v/>
      </c>
      <c r="I380" s="84" t="str">
        <f>IFERROR(VLOOKUP($E380,設定!$C:$G,5,0),"")</f>
        <v/>
      </c>
      <c r="J380" s="117"/>
      <c r="K380" s="85"/>
      <c r="L380" s="86"/>
      <c r="M380" s="86"/>
      <c r="N380" s="86"/>
      <c r="O380" s="86"/>
      <c r="P380" s="86"/>
      <c r="Q380" s="86"/>
      <c r="R380" s="86"/>
      <c r="S380" s="86"/>
      <c r="T380" s="86"/>
      <c r="U380" s="86"/>
      <c r="V380" s="86"/>
      <c r="W380" s="86"/>
      <c r="X380" s="86"/>
      <c r="Y380" s="86"/>
      <c r="Z380" s="86"/>
      <c r="AA380" s="86"/>
      <c r="AB380" s="86"/>
      <c r="AC380" s="86"/>
      <c r="AD380" s="86"/>
      <c r="AE380" s="86"/>
      <c r="AF380" s="86"/>
      <c r="AG380" s="86"/>
      <c r="AH380" s="86"/>
      <c r="AI380" s="86"/>
      <c r="AJ380" s="86"/>
      <c r="AK380" s="86"/>
      <c r="AL380" s="86"/>
      <c r="AM380" s="86"/>
      <c r="AN380" s="86"/>
      <c r="AO380" s="87"/>
      <c r="AP380" s="88">
        <f t="shared" si="5"/>
        <v>0</v>
      </c>
    </row>
    <row r="381" spans="2:42" s="3" customFormat="1" ht="24" customHeight="1" x14ac:dyDescent="0.2">
      <c r="B381" s="80"/>
      <c r="C381" s="81"/>
      <c r="D381" s="82"/>
      <c r="E381" s="83"/>
      <c r="F381" s="84" t="str">
        <f>IFERROR(VLOOKUP($E381,設定!$C:$G,2,0),"")</f>
        <v/>
      </c>
      <c r="G381" s="84" t="str">
        <f>IFERROR(VLOOKUP($E381,設定!$C:$G,3,0),"")</f>
        <v/>
      </c>
      <c r="H381" s="84" t="str">
        <f>IFERROR(VLOOKUP($E381,設定!$C:$G,4,0),"")</f>
        <v/>
      </c>
      <c r="I381" s="84" t="str">
        <f>IFERROR(VLOOKUP($E381,設定!$C:$G,5,0),"")</f>
        <v/>
      </c>
      <c r="J381" s="117"/>
      <c r="K381" s="85"/>
      <c r="L381" s="86"/>
      <c r="M381" s="86"/>
      <c r="N381" s="86"/>
      <c r="O381" s="86"/>
      <c r="P381" s="86"/>
      <c r="Q381" s="86"/>
      <c r="R381" s="86"/>
      <c r="S381" s="86"/>
      <c r="T381" s="86"/>
      <c r="U381" s="86"/>
      <c r="V381" s="86"/>
      <c r="W381" s="86"/>
      <c r="X381" s="86"/>
      <c r="Y381" s="86"/>
      <c r="Z381" s="86"/>
      <c r="AA381" s="86"/>
      <c r="AB381" s="86"/>
      <c r="AC381" s="86"/>
      <c r="AD381" s="86"/>
      <c r="AE381" s="86"/>
      <c r="AF381" s="86"/>
      <c r="AG381" s="86"/>
      <c r="AH381" s="86"/>
      <c r="AI381" s="86"/>
      <c r="AJ381" s="86"/>
      <c r="AK381" s="86"/>
      <c r="AL381" s="86"/>
      <c r="AM381" s="86"/>
      <c r="AN381" s="86"/>
      <c r="AO381" s="87"/>
      <c r="AP381" s="88">
        <f t="shared" si="5"/>
        <v>0</v>
      </c>
    </row>
    <row r="382" spans="2:42" s="3" customFormat="1" ht="24" customHeight="1" x14ac:dyDescent="0.2">
      <c r="B382" s="80"/>
      <c r="C382" s="81"/>
      <c r="D382" s="82"/>
      <c r="E382" s="83"/>
      <c r="F382" s="84" t="str">
        <f>IFERROR(VLOOKUP($E382,設定!$C:$G,2,0),"")</f>
        <v/>
      </c>
      <c r="G382" s="84" t="str">
        <f>IFERROR(VLOOKUP($E382,設定!$C:$G,3,0),"")</f>
        <v/>
      </c>
      <c r="H382" s="84" t="str">
        <f>IFERROR(VLOOKUP($E382,設定!$C:$G,4,0),"")</f>
        <v/>
      </c>
      <c r="I382" s="84" t="str">
        <f>IFERROR(VLOOKUP($E382,設定!$C:$G,5,0),"")</f>
        <v/>
      </c>
      <c r="J382" s="117"/>
      <c r="K382" s="85"/>
      <c r="L382" s="86"/>
      <c r="M382" s="86"/>
      <c r="N382" s="86"/>
      <c r="O382" s="86"/>
      <c r="P382" s="86"/>
      <c r="Q382" s="86"/>
      <c r="R382" s="86"/>
      <c r="S382" s="86"/>
      <c r="T382" s="86"/>
      <c r="U382" s="86"/>
      <c r="V382" s="86"/>
      <c r="W382" s="86"/>
      <c r="X382" s="86"/>
      <c r="Y382" s="86"/>
      <c r="Z382" s="86"/>
      <c r="AA382" s="86"/>
      <c r="AB382" s="86"/>
      <c r="AC382" s="86"/>
      <c r="AD382" s="86"/>
      <c r="AE382" s="86"/>
      <c r="AF382" s="86"/>
      <c r="AG382" s="86"/>
      <c r="AH382" s="86"/>
      <c r="AI382" s="86"/>
      <c r="AJ382" s="86"/>
      <c r="AK382" s="86"/>
      <c r="AL382" s="86"/>
      <c r="AM382" s="86"/>
      <c r="AN382" s="86"/>
      <c r="AO382" s="87"/>
      <c r="AP382" s="88">
        <f t="shared" si="5"/>
        <v>0</v>
      </c>
    </row>
    <row r="383" spans="2:42" s="3" customFormat="1" ht="24" customHeight="1" x14ac:dyDescent="0.2">
      <c r="B383" s="80"/>
      <c r="C383" s="81"/>
      <c r="D383" s="82"/>
      <c r="E383" s="83"/>
      <c r="F383" s="84" t="str">
        <f>IFERROR(VLOOKUP($E383,設定!$C:$G,2,0),"")</f>
        <v/>
      </c>
      <c r="G383" s="84" t="str">
        <f>IFERROR(VLOOKUP($E383,設定!$C:$G,3,0),"")</f>
        <v/>
      </c>
      <c r="H383" s="84" t="str">
        <f>IFERROR(VLOOKUP($E383,設定!$C:$G,4,0),"")</f>
        <v/>
      </c>
      <c r="I383" s="84" t="str">
        <f>IFERROR(VLOOKUP($E383,設定!$C:$G,5,0),"")</f>
        <v/>
      </c>
      <c r="J383" s="117"/>
      <c r="K383" s="85"/>
      <c r="L383" s="86"/>
      <c r="M383" s="86"/>
      <c r="N383" s="86"/>
      <c r="O383" s="86"/>
      <c r="P383" s="86"/>
      <c r="Q383" s="86"/>
      <c r="R383" s="86"/>
      <c r="S383" s="86"/>
      <c r="T383" s="86"/>
      <c r="U383" s="86"/>
      <c r="V383" s="86"/>
      <c r="W383" s="86"/>
      <c r="X383" s="86"/>
      <c r="Y383" s="86"/>
      <c r="Z383" s="86"/>
      <c r="AA383" s="86"/>
      <c r="AB383" s="86"/>
      <c r="AC383" s="86"/>
      <c r="AD383" s="86"/>
      <c r="AE383" s="86"/>
      <c r="AF383" s="86"/>
      <c r="AG383" s="86"/>
      <c r="AH383" s="86"/>
      <c r="AI383" s="86"/>
      <c r="AJ383" s="86"/>
      <c r="AK383" s="86"/>
      <c r="AL383" s="86"/>
      <c r="AM383" s="86"/>
      <c r="AN383" s="86"/>
      <c r="AO383" s="87"/>
      <c r="AP383" s="88">
        <f t="shared" si="5"/>
        <v>0</v>
      </c>
    </row>
    <row r="384" spans="2:42" s="3" customFormat="1" ht="24" customHeight="1" x14ac:dyDescent="0.2">
      <c r="B384" s="80"/>
      <c r="C384" s="81"/>
      <c r="D384" s="82"/>
      <c r="E384" s="83"/>
      <c r="F384" s="84" t="str">
        <f>IFERROR(VLOOKUP($E384,設定!$C:$G,2,0),"")</f>
        <v/>
      </c>
      <c r="G384" s="84" t="str">
        <f>IFERROR(VLOOKUP($E384,設定!$C:$G,3,0),"")</f>
        <v/>
      </c>
      <c r="H384" s="84" t="str">
        <f>IFERROR(VLOOKUP($E384,設定!$C:$G,4,0),"")</f>
        <v/>
      </c>
      <c r="I384" s="84" t="str">
        <f>IFERROR(VLOOKUP($E384,設定!$C:$G,5,0),"")</f>
        <v/>
      </c>
      <c r="J384" s="117"/>
      <c r="K384" s="85"/>
      <c r="L384" s="86"/>
      <c r="M384" s="86"/>
      <c r="N384" s="86"/>
      <c r="O384" s="86"/>
      <c r="P384" s="86"/>
      <c r="Q384" s="86"/>
      <c r="R384" s="86"/>
      <c r="S384" s="86"/>
      <c r="T384" s="86"/>
      <c r="U384" s="86"/>
      <c r="V384" s="86"/>
      <c r="W384" s="86"/>
      <c r="X384" s="86"/>
      <c r="Y384" s="86"/>
      <c r="Z384" s="86"/>
      <c r="AA384" s="86"/>
      <c r="AB384" s="86"/>
      <c r="AC384" s="86"/>
      <c r="AD384" s="86"/>
      <c r="AE384" s="86"/>
      <c r="AF384" s="86"/>
      <c r="AG384" s="86"/>
      <c r="AH384" s="86"/>
      <c r="AI384" s="86"/>
      <c r="AJ384" s="86"/>
      <c r="AK384" s="86"/>
      <c r="AL384" s="86"/>
      <c r="AM384" s="86"/>
      <c r="AN384" s="86"/>
      <c r="AO384" s="87"/>
      <c r="AP384" s="88">
        <f t="shared" si="5"/>
        <v>0</v>
      </c>
    </row>
    <row r="385" spans="2:42" s="3" customFormat="1" ht="24" customHeight="1" x14ac:dyDescent="0.2">
      <c r="B385" s="80"/>
      <c r="C385" s="81"/>
      <c r="D385" s="82"/>
      <c r="E385" s="83"/>
      <c r="F385" s="84" t="str">
        <f>IFERROR(VLOOKUP($E385,設定!$C:$G,2,0),"")</f>
        <v/>
      </c>
      <c r="G385" s="84" t="str">
        <f>IFERROR(VLOOKUP($E385,設定!$C:$G,3,0),"")</f>
        <v/>
      </c>
      <c r="H385" s="84" t="str">
        <f>IFERROR(VLOOKUP($E385,設定!$C:$G,4,0),"")</f>
        <v/>
      </c>
      <c r="I385" s="84" t="str">
        <f>IFERROR(VLOOKUP($E385,設定!$C:$G,5,0),"")</f>
        <v/>
      </c>
      <c r="J385" s="117"/>
      <c r="K385" s="85"/>
      <c r="L385" s="86"/>
      <c r="M385" s="86"/>
      <c r="N385" s="86"/>
      <c r="O385" s="86"/>
      <c r="P385" s="86"/>
      <c r="Q385" s="86"/>
      <c r="R385" s="86"/>
      <c r="S385" s="86"/>
      <c r="T385" s="86"/>
      <c r="U385" s="86"/>
      <c r="V385" s="86"/>
      <c r="W385" s="86"/>
      <c r="X385" s="86"/>
      <c r="Y385" s="86"/>
      <c r="Z385" s="86"/>
      <c r="AA385" s="86"/>
      <c r="AB385" s="86"/>
      <c r="AC385" s="86"/>
      <c r="AD385" s="86"/>
      <c r="AE385" s="86"/>
      <c r="AF385" s="86"/>
      <c r="AG385" s="86"/>
      <c r="AH385" s="86"/>
      <c r="AI385" s="86"/>
      <c r="AJ385" s="86"/>
      <c r="AK385" s="86"/>
      <c r="AL385" s="86"/>
      <c r="AM385" s="86"/>
      <c r="AN385" s="86"/>
      <c r="AO385" s="87"/>
      <c r="AP385" s="88">
        <f t="shared" si="5"/>
        <v>0</v>
      </c>
    </row>
    <row r="386" spans="2:42" s="3" customFormat="1" ht="24" customHeight="1" x14ac:dyDescent="0.2">
      <c r="B386" s="80"/>
      <c r="C386" s="81"/>
      <c r="D386" s="82"/>
      <c r="E386" s="83"/>
      <c r="F386" s="84" t="str">
        <f>IFERROR(VLOOKUP($E386,設定!$C:$G,2,0),"")</f>
        <v/>
      </c>
      <c r="G386" s="84" t="str">
        <f>IFERROR(VLOOKUP($E386,設定!$C:$G,3,0),"")</f>
        <v/>
      </c>
      <c r="H386" s="84" t="str">
        <f>IFERROR(VLOOKUP($E386,設定!$C:$G,4,0),"")</f>
        <v/>
      </c>
      <c r="I386" s="84" t="str">
        <f>IFERROR(VLOOKUP($E386,設定!$C:$G,5,0),"")</f>
        <v/>
      </c>
      <c r="J386" s="117"/>
      <c r="K386" s="85"/>
      <c r="L386" s="86"/>
      <c r="M386" s="86"/>
      <c r="N386" s="86"/>
      <c r="O386" s="86"/>
      <c r="P386" s="86"/>
      <c r="Q386" s="86"/>
      <c r="R386" s="86"/>
      <c r="S386" s="86"/>
      <c r="T386" s="86"/>
      <c r="U386" s="86"/>
      <c r="V386" s="86"/>
      <c r="W386" s="86"/>
      <c r="X386" s="86"/>
      <c r="Y386" s="86"/>
      <c r="Z386" s="86"/>
      <c r="AA386" s="86"/>
      <c r="AB386" s="86"/>
      <c r="AC386" s="86"/>
      <c r="AD386" s="86"/>
      <c r="AE386" s="86"/>
      <c r="AF386" s="86"/>
      <c r="AG386" s="86"/>
      <c r="AH386" s="86"/>
      <c r="AI386" s="86"/>
      <c r="AJ386" s="86"/>
      <c r="AK386" s="86"/>
      <c r="AL386" s="86"/>
      <c r="AM386" s="86"/>
      <c r="AN386" s="86"/>
      <c r="AO386" s="87"/>
      <c r="AP386" s="88">
        <f t="shared" si="5"/>
        <v>0</v>
      </c>
    </row>
    <row r="387" spans="2:42" s="3" customFormat="1" ht="24" customHeight="1" x14ac:dyDescent="0.2">
      <c r="B387" s="80"/>
      <c r="C387" s="81"/>
      <c r="D387" s="82"/>
      <c r="E387" s="83"/>
      <c r="F387" s="84" t="str">
        <f>IFERROR(VLOOKUP($E387,設定!$C:$G,2,0),"")</f>
        <v/>
      </c>
      <c r="G387" s="84" t="str">
        <f>IFERROR(VLOOKUP($E387,設定!$C:$G,3,0),"")</f>
        <v/>
      </c>
      <c r="H387" s="84" t="str">
        <f>IFERROR(VLOOKUP($E387,設定!$C:$G,4,0),"")</f>
        <v/>
      </c>
      <c r="I387" s="84" t="str">
        <f>IFERROR(VLOOKUP($E387,設定!$C:$G,5,0),"")</f>
        <v/>
      </c>
      <c r="J387" s="117"/>
      <c r="K387" s="85"/>
      <c r="L387" s="86"/>
      <c r="M387" s="86"/>
      <c r="N387" s="86"/>
      <c r="O387" s="86"/>
      <c r="P387" s="86"/>
      <c r="Q387" s="86"/>
      <c r="R387" s="86"/>
      <c r="S387" s="86"/>
      <c r="T387" s="86"/>
      <c r="U387" s="86"/>
      <c r="V387" s="86"/>
      <c r="W387" s="86"/>
      <c r="X387" s="86"/>
      <c r="Y387" s="86"/>
      <c r="Z387" s="86"/>
      <c r="AA387" s="86"/>
      <c r="AB387" s="86"/>
      <c r="AC387" s="86"/>
      <c r="AD387" s="86"/>
      <c r="AE387" s="86"/>
      <c r="AF387" s="86"/>
      <c r="AG387" s="86"/>
      <c r="AH387" s="86"/>
      <c r="AI387" s="86"/>
      <c r="AJ387" s="86"/>
      <c r="AK387" s="86"/>
      <c r="AL387" s="86"/>
      <c r="AM387" s="86"/>
      <c r="AN387" s="86"/>
      <c r="AO387" s="87"/>
      <c r="AP387" s="88">
        <f t="shared" si="5"/>
        <v>0</v>
      </c>
    </row>
    <row r="388" spans="2:42" s="3" customFormat="1" ht="24" customHeight="1" x14ac:dyDescent="0.2">
      <c r="B388" s="80"/>
      <c r="C388" s="81"/>
      <c r="D388" s="82"/>
      <c r="E388" s="83"/>
      <c r="F388" s="84" t="str">
        <f>IFERROR(VLOOKUP($E388,設定!$C:$G,2,0),"")</f>
        <v/>
      </c>
      <c r="G388" s="84" t="str">
        <f>IFERROR(VLOOKUP($E388,設定!$C:$G,3,0),"")</f>
        <v/>
      </c>
      <c r="H388" s="84" t="str">
        <f>IFERROR(VLOOKUP($E388,設定!$C:$G,4,0),"")</f>
        <v/>
      </c>
      <c r="I388" s="84" t="str">
        <f>IFERROR(VLOOKUP($E388,設定!$C:$G,5,0),"")</f>
        <v/>
      </c>
      <c r="J388" s="117"/>
      <c r="K388" s="85"/>
      <c r="L388" s="86"/>
      <c r="M388" s="86"/>
      <c r="N388" s="86"/>
      <c r="O388" s="86"/>
      <c r="P388" s="86"/>
      <c r="Q388" s="86"/>
      <c r="R388" s="86"/>
      <c r="S388" s="86"/>
      <c r="T388" s="86"/>
      <c r="U388" s="86"/>
      <c r="V388" s="86"/>
      <c r="W388" s="86"/>
      <c r="X388" s="86"/>
      <c r="Y388" s="86"/>
      <c r="Z388" s="86"/>
      <c r="AA388" s="86"/>
      <c r="AB388" s="86"/>
      <c r="AC388" s="86"/>
      <c r="AD388" s="86"/>
      <c r="AE388" s="86"/>
      <c r="AF388" s="86"/>
      <c r="AG388" s="86"/>
      <c r="AH388" s="86"/>
      <c r="AI388" s="86"/>
      <c r="AJ388" s="86"/>
      <c r="AK388" s="86"/>
      <c r="AL388" s="86"/>
      <c r="AM388" s="86"/>
      <c r="AN388" s="86"/>
      <c r="AO388" s="87"/>
      <c r="AP388" s="88">
        <f t="shared" si="5"/>
        <v>0</v>
      </c>
    </row>
    <row r="389" spans="2:42" s="3" customFormat="1" ht="24" customHeight="1" x14ac:dyDescent="0.2">
      <c r="B389" s="80"/>
      <c r="C389" s="81"/>
      <c r="D389" s="82"/>
      <c r="E389" s="83"/>
      <c r="F389" s="84" t="str">
        <f>IFERROR(VLOOKUP($E389,設定!$C:$G,2,0),"")</f>
        <v/>
      </c>
      <c r="G389" s="84" t="str">
        <f>IFERROR(VLOOKUP($E389,設定!$C:$G,3,0),"")</f>
        <v/>
      </c>
      <c r="H389" s="84" t="str">
        <f>IFERROR(VLOOKUP($E389,設定!$C:$G,4,0),"")</f>
        <v/>
      </c>
      <c r="I389" s="84" t="str">
        <f>IFERROR(VLOOKUP($E389,設定!$C:$G,5,0),"")</f>
        <v/>
      </c>
      <c r="J389" s="117"/>
      <c r="K389" s="85"/>
      <c r="L389" s="86"/>
      <c r="M389" s="86"/>
      <c r="N389" s="86"/>
      <c r="O389" s="86"/>
      <c r="P389" s="86"/>
      <c r="Q389" s="86"/>
      <c r="R389" s="86"/>
      <c r="S389" s="86"/>
      <c r="T389" s="86"/>
      <c r="U389" s="86"/>
      <c r="V389" s="86"/>
      <c r="W389" s="86"/>
      <c r="X389" s="86"/>
      <c r="Y389" s="86"/>
      <c r="Z389" s="86"/>
      <c r="AA389" s="86"/>
      <c r="AB389" s="86"/>
      <c r="AC389" s="86"/>
      <c r="AD389" s="86"/>
      <c r="AE389" s="86"/>
      <c r="AF389" s="86"/>
      <c r="AG389" s="86"/>
      <c r="AH389" s="86"/>
      <c r="AI389" s="86"/>
      <c r="AJ389" s="86"/>
      <c r="AK389" s="86"/>
      <c r="AL389" s="86"/>
      <c r="AM389" s="86"/>
      <c r="AN389" s="86"/>
      <c r="AO389" s="87"/>
      <c r="AP389" s="88">
        <f t="shared" si="5"/>
        <v>0</v>
      </c>
    </row>
    <row r="390" spans="2:42" s="3" customFormat="1" ht="24" customHeight="1" x14ac:dyDescent="0.2">
      <c r="B390" s="80"/>
      <c r="C390" s="81"/>
      <c r="D390" s="82"/>
      <c r="E390" s="83"/>
      <c r="F390" s="84" t="str">
        <f>IFERROR(VLOOKUP($E390,設定!$C:$G,2,0),"")</f>
        <v/>
      </c>
      <c r="G390" s="84" t="str">
        <f>IFERROR(VLOOKUP($E390,設定!$C:$G,3,0),"")</f>
        <v/>
      </c>
      <c r="H390" s="84" t="str">
        <f>IFERROR(VLOOKUP($E390,設定!$C:$G,4,0),"")</f>
        <v/>
      </c>
      <c r="I390" s="84" t="str">
        <f>IFERROR(VLOOKUP($E390,設定!$C:$G,5,0),"")</f>
        <v/>
      </c>
      <c r="J390" s="117"/>
      <c r="K390" s="85"/>
      <c r="L390" s="86"/>
      <c r="M390" s="86"/>
      <c r="N390" s="86"/>
      <c r="O390" s="86"/>
      <c r="P390" s="86"/>
      <c r="Q390" s="86"/>
      <c r="R390" s="86"/>
      <c r="S390" s="86"/>
      <c r="T390" s="86"/>
      <c r="U390" s="86"/>
      <c r="V390" s="86"/>
      <c r="W390" s="86"/>
      <c r="X390" s="86"/>
      <c r="Y390" s="86"/>
      <c r="Z390" s="86"/>
      <c r="AA390" s="86"/>
      <c r="AB390" s="86"/>
      <c r="AC390" s="86"/>
      <c r="AD390" s="86"/>
      <c r="AE390" s="86"/>
      <c r="AF390" s="86"/>
      <c r="AG390" s="86"/>
      <c r="AH390" s="86"/>
      <c r="AI390" s="86"/>
      <c r="AJ390" s="86"/>
      <c r="AK390" s="86"/>
      <c r="AL390" s="86"/>
      <c r="AM390" s="86"/>
      <c r="AN390" s="86"/>
      <c r="AO390" s="87"/>
      <c r="AP390" s="88">
        <f t="shared" si="5"/>
        <v>0</v>
      </c>
    </row>
    <row r="391" spans="2:42" s="3" customFormat="1" ht="24" customHeight="1" x14ac:dyDescent="0.2">
      <c r="B391" s="80"/>
      <c r="C391" s="81"/>
      <c r="D391" s="82"/>
      <c r="E391" s="83"/>
      <c r="F391" s="84" t="str">
        <f>IFERROR(VLOOKUP($E391,設定!$C:$G,2,0),"")</f>
        <v/>
      </c>
      <c r="G391" s="84" t="str">
        <f>IFERROR(VLOOKUP($E391,設定!$C:$G,3,0),"")</f>
        <v/>
      </c>
      <c r="H391" s="84" t="str">
        <f>IFERROR(VLOOKUP($E391,設定!$C:$G,4,0),"")</f>
        <v/>
      </c>
      <c r="I391" s="84" t="str">
        <f>IFERROR(VLOOKUP($E391,設定!$C:$G,5,0),"")</f>
        <v/>
      </c>
      <c r="J391" s="117"/>
      <c r="K391" s="85"/>
      <c r="L391" s="86"/>
      <c r="M391" s="86"/>
      <c r="N391" s="86"/>
      <c r="O391" s="86"/>
      <c r="P391" s="86"/>
      <c r="Q391" s="86"/>
      <c r="R391" s="86"/>
      <c r="S391" s="86"/>
      <c r="T391" s="86"/>
      <c r="U391" s="86"/>
      <c r="V391" s="86"/>
      <c r="W391" s="86"/>
      <c r="X391" s="86"/>
      <c r="Y391" s="86"/>
      <c r="Z391" s="86"/>
      <c r="AA391" s="86"/>
      <c r="AB391" s="86"/>
      <c r="AC391" s="86"/>
      <c r="AD391" s="86"/>
      <c r="AE391" s="86"/>
      <c r="AF391" s="86"/>
      <c r="AG391" s="86"/>
      <c r="AH391" s="86"/>
      <c r="AI391" s="86"/>
      <c r="AJ391" s="86"/>
      <c r="AK391" s="86"/>
      <c r="AL391" s="86"/>
      <c r="AM391" s="86"/>
      <c r="AN391" s="86"/>
      <c r="AO391" s="87"/>
      <c r="AP391" s="88">
        <f t="shared" si="5"/>
        <v>0</v>
      </c>
    </row>
    <row r="392" spans="2:42" s="3" customFormat="1" ht="24" customHeight="1" x14ac:dyDescent="0.2">
      <c r="B392" s="80"/>
      <c r="C392" s="81"/>
      <c r="D392" s="82"/>
      <c r="E392" s="83"/>
      <c r="F392" s="84" t="str">
        <f>IFERROR(VLOOKUP($E392,設定!$C:$G,2,0),"")</f>
        <v/>
      </c>
      <c r="G392" s="84" t="str">
        <f>IFERROR(VLOOKUP($E392,設定!$C:$G,3,0),"")</f>
        <v/>
      </c>
      <c r="H392" s="84" t="str">
        <f>IFERROR(VLOOKUP($E392,設定!$C:$G,4,0),"")</f>
        <v/>
      </c>
      <c r="I392" s="84" t="str">
        <f>IFERROR(VLOOKUP($E392,設定!$C:$G,5,0),"")</f>
        <v/>
      </c>
      <c r="J392" s="117"/>
      <c r="K392" s="85"/>
      <c r="L392" s="86"/>
      <c r="M392" s="86"/>
      <c r="N392" s="86"/>
      <c r="O392" s="86"/>
      <c r="P392" s="86"/>
      <c r="Q392" s="86"/>
      <c r="R392" s="86"/>
      <c r="S392" s="86"/>
      <c r="T392" s="86"/>
      <c r="U392" s="86"/>
      <c r="V392" s="86"/>
      <c r="W392" s="86"/>
      <c r="X392" s="86"/>
      <c r="Y392" s="86"/>
      <c r="Z392" s="86"/>
      <c r="AA392" s="86"/>
      <c r="AB392" s="86"/>
      <c r="AC392" s="86"/>
      <c r="AD392" s="86"/>
      <c r="AE392" s="86"/>
      <c r="AF392" s="86"/>
      <c r="AG392" s="86"/>
      <c r="AH392" s="86"/>
      <c r="AI392" s="86"/>
      <c r="AJ392" s="86"/>
      <c r="AK392" s="86"/>
      <c r="AL392" s="86"/>
      <c r="AM392" s="86"/>
      <c r="AN392" s="86"/>
      <c r="AO392" s="87"/>
      <c r="AP392" s="88">
        <f t="shared" ref="AP392:AP455" si="6">J392*SUM(K392:AO392)</f>
        <v>0</v>
      </c>
    </row>
    <row r="393" spans="2:42" s="3" customFormat="1" ht="24" customHeight="1" x14ac:dyDescent="0.2">
      <c r="B393" s="80"/>
      <c r="C393" s="81"/>
      <c r="D393" s="82"/>
      <c r="E393" s="83"/>
      <c r="F393" s="84" t="str">
        <f>IFERROR(VLOOKUP($E393,設定!$C:$G,2,0),"")</f>
        <v/>
      </c>
      <c r="G393" s="84" t="str">
        <f>IFERROR(VLOOKUP($E393,設定!$C:$G,3,0),"")</f>
        <v/>
      </c>
      <c r="H393" s="84" t="str">
        <f>IFERROR(VLOOKUP($E393,設定!$C:$G,4,0),"")</f>
        <v/>
      </c>
      <c r="I393" s="84" t="str">
        <f>IFERROR(VLOOKUP($E393,設定!$C:$G,5,0),"")</f>
        <v/>
      </c>
      <c r="J393" s="117"/>
      <c r="K393" s="85"/>
      <c r="L393" s="86"/>
      <c r="M393" s="86"/>
      <c r="N393" s="86"/>
      <c r="O393" s="86"/>
      <c r="P393" s="86"/>
      <c r="Q393" s="86"/>
      <c r="R393" s="86"/>
      <c r="S393" s="86"/>
      <c r="T393" s="86"/>
      <c r="U393" s="86"/>
      <c r="V393" s="86"/>
      <c r="W393" s="86"/>
      <c r="X393" s="86"/>
      <c r="Y393" s="86"/>
      <c r="Z393" s="86"/>
      <c r="AA393" s="86"/>
      <c r="AB393" s="86"/>
      <c r="AC393" s="86"/>
      <c r="AD393" s="86"/>
      <c r="AE393" s="86"/>
      <c r="AF393" s="86"/>
      <c r="AG393" s="86"/>
      <c r="AH393" s="86"/>
      <c r="AI393" s="86"/>
      <c r="AJ393" s="86"/>
      <c r="AK393" s="86"/>
      <c r="AL393" s="86"/>
      <c r="AM393" s="86"/>
      <c r="AN393" s="86"/>
      <c r="AO393" s="87"/>
      <c r="AP393" s="88">
        <f t="shared" si="6"/>
        <v>0</v>
      </c>
    </row>
    <row r="394" spans="2:42" s="3" customFormat="1" ht="24" customHeight="1" x14ac:dyDescent="0.2">
      <c r="B394" s="80"/>
      <c r="C394" s="81"/>
      <c r="D394" s="82"/>
      <c r="E394" s="83"/>
      <c r="F394" s="84" t="str">
        <f>IFERROR(VLOOKUP($E394,設定!$C:$G,2,0),"")</f>
        <v/>
      </c>
      <c r="G394" s="84" t="str">
        <f>IFERROR(VLOOKUP($E394,設定!$C:$G,3,0),"")</f>
        <v/>
      </c>
      <c r="H394" s="84" t="str">
        <f>IFERROR(VLOOKUP($E394,設定!$C:$G,4,0),"")</f>
        <v/>
      </c>
      <c r="I394" s="84" t="str">
        <f>IFERROR(VLOOKUP($E394,設定!$C:$G,5,0),"")</f>
        <v/>
      </c>
      <c r="J394" s="117"/>
      <c r="K394" s="85"/>
      <c r="L394" s="86"/>
      <c r="M394" s="86"/>
      <c r="N394" s="86"/>
      <c r="O394" s="86"/>
      <c r="P394" s="86"/>
      <c r="Q394" s="86"/>
      <c r="R394" s="86"/>
      <c r="S394" s="86"/>
      <c r="T394" s="86"/>
      <c r="U394" s="86"/>
      <c r="V394" s="86"/>
      <c r="W394" s="86"/>
      <c r="X394" s="86"/>
      <c r="Y394" s="86"/>
      <c r="Z394" s="86"/>
      <c r="AA394" s="86"/>
      <c r="AB394" s="86"/>
      <c r="AC394" s="86"/>
      <c r="AD394" s="86"/>
      <c r="AE394" s="86"/>
      <c r="AF394" s="86"/>
      <c r="AG394" s="86"/>
      <c r="AH394" s="86"/>
      <c r="AI394" s="86"/>
      <c r="AJ394" s="86"/>
      <c r="AK394" s="86"/>
      <c r="AL394" s="86"/>
      <c r="AM394" s="86"/>
      <c r="AN394" s="86"/>
      <c r="AO394" s="87"/>
      <c r="AP394" s="88">
        <f t="shared" si="6"/>
        <v>0</v>
      </c>
    </row>
    <row r="395" spans="2:42" s="3" customFormat="1" ht="24" customHeight="1" x14ac:dyDescent="0.2">
      <c r="B395" s="80"/>
      <c r="C395" s="81"/>
      <c r="D395" s="82"/>
      <c r="E395" s="83"/>
      <c r="F395" s="84" t="str">
        <f>IFERROR(VLOOKUP($E395,設定!$C:$G,2,0),"")</f>
        <v/>
      </c>
      <c r="G395" s="84" t="str">
        <f>IFERROR(VLOOKUP($E395,設定!$C:$G,3,0),"")</f>
        <v/>
      </c>
      <c r="H395" s="84" t="str">
        <f>IFERROR(VLOOKUP($E395,設定!$C:$G,4,0),"")</f>
        <v/>
      </c>
      <c r="I395" s="84" t="str">
        <f>IFERROR(VLOOKUP($E395,設定!$C:$G,5,0),"")</f>
        <v/>
      </c>
      <c r="J395" s="117"/>
      <c r="K395" s="85"/>
      <c r="L395" s="86"/>
      <c r="M395" s="86"/>
      <c r="N395" s="86"/>
      <c r="O395" s="86"/>
      <c r="P395" s="86"/>
      <c r="Q395" s="86"/>
      <c r="R395" s="86"/>
      <c r="S395" s="86"/>
      <c r="T395" s="86"/>
      <c r="U395" s="86"/>
      <c r="V395" s="86"/>
      <c r="W395" s="86"/>
      <c r="X395" s="86"/>
      <c r="Y395" s="86"/>
      <c r="Z395" s="86"/>
      <c r="AA395" s="86"/>
      <c r="AB395" s="86"/>
      <c r="AC395" s="86"/>
      <c r="AD395" s="86"/>
      <c r="AE395" s="86"/>
      <c r="AF395" s="86"/>
      <c r="AG395" s="86"/>
      <c r="AH395" s="86"/>
      <c r="AI395" s="86"/>
      <c r="AJ395" s="86"/>
      <c r="AK395" s="86"/>
      <c r="AL395" s="86"/>
      <c r="AM395" s="86"/>
      <c r="AN395" s="86"/>
      <c r="AO395" s="87"/>
      <c r="AP395" s="88">
        <f t="shared" si="6"/>
        <v>0</v>
      </c>
    </row>
    <row r="396" spans="2:42" s="3" customFormat="1" ht="24" customHeight="1" x14ac:dyDescent="0.2">
      <c r="B396" s="80"/>
      <c r="C396" s="81"/>
      <c r="D396" s="82"/>
      <c r="E396" s="83"/>
      <c r="F396" s="84" t="str">
        <f>IFERROR(VLOOKUP($E396,設定!$C:$G,2,0),"")</f>
        <v/>
      </c>
      <c r="G396" s="84" t="str">
        <f>IFERROR(VLOOKUP($E396,設定!$C:$G,3,0),"")</f>
        <v/>
      </c>
      <c r="H396" s="84" t="str">
        <f>IFERROR(VLOOKUP($E396,設定!$C:$G,4,0),"")</f>
        <v/>
      </c>
      <c r="I396" s="84" t="str">
        <f>IFERROR(VLOOKUP($E396,設定!$C:$G,5,0),"")</f>
        <v/>
      </c>
      <c r="J396" s="117"/>
      <c r="K396" s="85"/>
      <c r="L396" s="86"/>
      <c r="M396" s="86"/>
      <c r="N396" s="86"/>
      <c r="O396" s="86"/>
      <c r="P396" s="86"/>
      <c r="Q396" s="86"/>
      <c r="R396" s="86"/>
      <c r="S396" s="86"/>
      <c r="T396" s="86"/>
      <c r="U396" s="86"/>
      <c r="V396" s="86"/>
      <c r="W396" s="86"/>
      <c r="X396" s="86"/>
      <c r="Y396" s="86"/>
      <c r="Z396" s="86"/>
      <c r="AA396" s="86"/>
      <c r="AB396" s="86"/>
      <c r="AC396" s="86"/>
      <c r="AD396" s="86"/>
      <c r="AE396" s="86"/>
      <c r="AF396" s="86"/>
      <c r="AG396" s="86"/>
      <c r="AH396" s="86"/>
      <c r="AI396" s="86"/>
      <c r="AJ396" s="86"/>
      <c r="AK396" s="86"/>
      <c r="AL396" s="86"/>
      <c r="AM396" s="86"/>
      <c r="AN396" s="86"/>
      <c r="AO396" s="87"/>
      <c r="AP396" s="88">
        <f t="shared" si="6"/>
        <v>0</v>
      </c>
    </row>
    <row r="397" spans="2:42" s="3" customFormat="1" ht="24" customHeight="1" x14ac:dyDescent="0.2">
      <c r="B397" s="80"/>
      <c r="C397" s="81"/>
      <c r="D397" s="82"/>
      <c r="E397" s="83"/>
      <c r="F397" s="84" t="str">
        <f>IFERROR(VLOOKUP($E397,設定!$C:$G,2,0),"")</f>
        <v/>
      </c>
      <c r="G397" s="84" t="str">
        <f>IFERROR(VLOOKUP($E397,設定!$C:$G,3,0),"")</f>
        <v/>
      </c>
      <c r="H397" s="84" t="str">
        <f>IFERROR(VLOOKUP($E397,設定!$C:$G,4,0),"")</f>
        <v/>
      </c>
      <c r="I397" s="84" t="str">
        <f>IFERROR(VLOOKUP($E397,設定!$C:$G,5,0),"")</f>
        <v/>
      </c>
      <c r="J397" s="117"/>
      <c r="K397" s="85"/>
      <c r="L397" s="86"/>
      <c r="M397" s="86"/>
      <c r="N397" s="86"/>
      <c r="O397" s="86"/>
      <c r="P397" s="86"/>
      <c r="Q397" s="86"/>
      <c r="R397" s="86"/>
      <c r="S397" s="86"/>
      <c r="T397" s="86"/>
      <c r="U397" s="86"/>
      <c r="V397" s="86"/>
      <c r="W397" s="86"/>
      <c r="X397" s="86"/>
      <c r="Y397" s="86"/>
      <c r="Z397" s="86"/>
      <c r="AA397" s="86"/>
      <c r="AB397" s="86"/>
      <c r="AC397" s="86"/>
      <c r="AD397" s="86"/>
      <c r="AE397" s="86"/>
      <c r="AF397" s="86"/>
      <c r="AG397" s="86"/>
      <c r="AH397" s="86"/>
      <c r="AI397" s="86"/>
      <c r="AJ397" s="86"/>
      <c r="AK397" s="86"/>
      <c r="AL397" s="86"/>
      <c r="AM397" s="86"/>
      <c r="AN397" s="86"/>
      <c r="AO397" s="87"/>
      <c r="AP397" s="88">
        <f t="shared" si="6"/>
        <v>0</v>
      </c>
    </row>
    <row r="398" spans="2:42" s="3" customFormat="1" ht="24" customHeight="1" x14ac:dyDescent="0.2">
      <c r="B398" s="80"/>
      <c r="C398" s="81"/>
      <c r="D398" s="82"/>
      <c r="E398" s="83"/>
      <c r="F398" s="84" t="str">
        <f>IFERROR(VLOOKUP($E398,設定!$C:$G,2,0),"")</f>
        <v/>
      </c>
      <c r="G398" s="84" t="str">
        <f>IFERROR(VLOOKUP($E398,設定!$C:$G,3,0),"")</f>
        <v/>
      </c>
      <c r="H398" s="84" t="str">
        <f>IFERROR(VLOOKUP($E398,設定!$C:$G,4,0),"")</f>
        <v/>
      </c>
      <c r="I398" s="84" t="str">
        <f>IFERROR(VLOOKUP($E398,設定!$C:$G,5,0),"")</f>
        <v/>
      </c>
      <c r="J398" s="117"/>
      <c r="K398" s="85"/>
      <c r="L398" s="86"/>
      <c r="M398" s="86"/>
      <c r="N398" s="86"/>
      <c r="O398" s="86"/>
      <c r="P398" s="86"/>
      <c r="Q398" s="86"/>
      <c r="R398" s="86"/>
      <c r="S398" s="86"/>
      <c r="T398" s="86"/>
      <c r="U398" s="86"/>
      <c r="V398" s="86"/>
      <c r="W398" s="86"/>
      <c r="X398" s="86"/>
      <c r="Y398" s="86"/>
      <c r="Z398" s="86"/>
      <c r="AA398" s="86"/>
      <c r="AB398" s="86"/>
      <c r="AC398" s="86"/>
      <c r="AD398" s="86"/>
      <c r="AE398" s="86"/>
      <c r="AF398" s="86"/>
      <c r="AG398" s="86"/>
      <c r="AH398" s="86"/>
      <c r="AI398" s="86"/>
      <c r="AJ398" s="86"/>
      <c r="AK398" s="86"/>
      <c r="AL398" s="86"/>
      <c r="AM398" s="86"/>
      <c r="AN398" s="86"/>
      <c r="AO398" s="87"/>
      <c r="AP398" s="88">
        <f t="shared" si="6"/>
        <v>0</v>
      </c>
    </row>
    <row r="399" spans="2:42" s="3" customFormat="1" ht="24" customHeight="1" x14ac:dyDescent="0.2">
      <c r="B399" s="80"/>
      <c r="C399" s="81"/>
      <c r="D399" s="82"/>
      <c r="E399" s="83"/>
      <c r="F399" s="84" t="str">
        <f>IFERROR(VLOOKUP($E399,設定!$C:$G,2,0),"")</f>
        <v/>
      </c>
      <c r="G399" s="84" t="str">
        <f>IFERROR(VLOOKUP($E399,設定!$C:$G,3,0),"")</f>
        <v/>
      </c>
      <c r="H399" s="84" t="str">
        <f>IFERROR(VLOOKUP($E399,設定!$C:$G,4,0),"")</f>
        <v/>
      </c>
      <c r="I399" s="84" t="str">
        <f>IFERROR(VLOOKUP($E399,設定!$C:$G,5,0),"")</f>
        <v/>
      </c>
      <c r="J399" s="117"/>
      <c r="K399" s="85"/>
      <c r="L399" s="86"/>
      <c r="M399" s="86"/>
      <c r="N399" s="86"/>
      <c r="O399" s="86"/>
      <c r="P399" s="86"/>
      <c r="Q399" s="86"/>
      <c r="R399" s="86"/>
      <c r="S399" s="86"/>
      <c r="T399" s="86"/>
      <c r="U399" s="86"/>
      <c r="V399" s="86"/>
      <c r="W399" s="86"/>
      <c r="X399" s="86"/>
      <c r="Y399" s="86"/>
      <c r="Z399" s="86"/>
      <c r="AA399" s="86"/>
      <c r="AB399" s="86"/>
      <c r="AC399" s="86"/>
      <c r="AD399" s="86"/>
      <c r="AE399" s="86"/>
      <c r="AF399" s="86"/>
      <c r="AG399" s="86"/>
      <c r="AH399" s="86"/>
      <c r="AI399" s="86"/>
      <c r="AJ399" s="86"/>
      <c r="AK399" s="86"/>
      <c r="AL399" s="86"/>
      <c r="AM399" s="86"/>
      <c r="AN399" s="86"/>
      <c r="AO399" s="87"/>
      <c r="AP399" s="88">
        <f t="shared" si="6"/>
        <v>0</v>
      </c>
    </row>
    <row r="400" spans="2:42" s="3" customFormat="1" ht="24" customHeight="1" x14ac:dyDescent="0.2">
      <c r="B400" s="80"/>
      <c r="C400" s="81"/>
      <c r="D400" s="82"/>
      <c r="E400" s="83"/>
      <c r="F400" s="84" t="str">
        <f>IFERROR(VLOOKUP($E400,設定!$C:$G,2,0),"")</f>
        <v/>
      </c>
      <c r="G400" s="84" t="str">
        <f>IFERROR(VLOOKUP($E400,設定!$C:$G,3,0),"")</f>
        <v/>
      </c>
      <c r="H400" s="84" t="str">
        <f>IFERROR(VLOOKUP($E400,設定!$C:$G,4,0),"")</f>
        <v/>
      </c>
      <c r="I400" s="84" t="str">
        <f>IFERROR(VLOOKUP($E400,設定!$C:$G,5,0),"")</f>
        <v/>
      </c>
      <c r="J400" s="117"/>
      <c r="K400" s="85"/>
      <c r="L400" s="86"/>
      <c r="M400" s="86"/>
      <c r="N400" s="86"/>
      <c r="O400" s="86"/>
      <c r="P400" s="86"/>
      <c r="Q400" s="86"/>
      <c r="R400" s="86"/>
      <c r="S400" s="86"/>
      <c r="T400" s="86"/>
      <c r="U400" s="86"/>
      <c r="V400" s="86"/>
      <c r="W400" s="86"/>
      <c r="X400" s="86"/>
      <c r="Y400" s="86"/>
      <c r="Z400" s="86"/>
      <c r="AA400" s="86"/>
      <c r="AB400" s="86"/>
      <c r="AC400" s="86"/>
      <c r="AD400" s="86"/>
      <c r="AE400" s="86"/>
      <c r="AF400" s="86"/>
      <c r="AG400" s="86"/>
      <c r="AH400" s="86"/>
      <c r="AI400" s="86"/>
      <c r="AJ400" s="86"/>
      <c r="AK400" s="86"/>
      <c r="AL400" s="86"/>
      <c r="AM400" s="86"/>
      <c r="AN400" s="86"/>
      <c r="AO400" s="87"/>
      <c r="AP400" s="88">
        <f t="shared" si="6"/>
        <v>0</v>
      </c>
    </row>
    <row r="401" spans="2:42" s="3" customFormat="1" ht="24" customHeight="1" x14ac:dyDescent="0.2">
      <c r="B401" s="80"/>
      <c r="C401" s="81"/>
      <c r="D401" s="82"/>
      <c r="E401" s="83"/>
      <c r="F401" s="84" t="str">
        <f>IFERROR(VLOOKUP($E401,設定!$C:$G,2,0),"")</f>
        <v/>
      </c>
      <c r="G401" s="84" t="str">
        <f>IFERROR(VLOOKUP($E401,設定!$C:$G,3,0),"")</f>
        <v/>
      </c>
      <c r="H401" s="84" t="str">
        <f>IFERROR(VLOOKUP($E401,設定!$C:$G,4,0),"")</f>
        <v/>
      </c>
      <c r="I401" s="84" t="str">
        <f>IFERROR(VLOOKUP($E401,設定!$C:$G,5,0),"")</f>
        <v/>
      </c>
      <c r="J401" s="117"/>
      <c r="K401" s="85"/>
      <c r="L401" s="86"/>
      <c r="M401" s="86"/>
      <c r="N401" s="86"/>
      <c r="O401" s="86"/>
      <c r="P401" s="86"/>
      <c r="Q401" s="86"/>
      <c r="R401" s="86"/>
      <c r="S401" s="86"/>
      <c r="T401" s="86"/>
      <c r="U401" s="86"/>
      <c r="V401" s="86"/>
      <c r="W401" s="86"/>
      <c r="X401" s="86"/>
      <c r="Y401" s="86"/>
      <c r="Z401" s="86"/>
      <c r="AA401" s="86"/>
      <c r="AB401" s="86"/>
      <c r="AC401" s="86"/>
      <c r="AD401" s="86"/>
      <c r="AE401" s="86"/>
      <c r="AF401" s="86"/>
      <c r="AG401" s="86"/>
      <c r="AH401" s="86"/>
      <c r="AI401" s="86"/>
      <c r="AJ401" s="86"/>
      <c r="AK401" s="86"/>
      <c r="AL401" s="86"/>
      <c r="AM401" s="86"/>
      <c r="AN401" s="86"/>
      <c r="AO401" s="87"/>
      <c r="AP401" s="88">
        <f t="shared" si="6"/>
        <v>0</v>
      </c>
    </row>
    <row r="402" spans="2:42" s="3" customFormat="1" ht="24" customHeight="1" x14ac:dyDescent="0.2">
      <c r="B402" s="80"/>
      <c r="C402" s="81"/>
      <c r="D402" s="82"/>
      <c r="E402" s="83"/>
      <c r="F402" s="84" t="str">
        <f>IFERROR(VLOOKUP($E402,設定!$C:$G,2,0),"")</f>
        <v/>
      </c>
      <c r="G402" s="84" t="str">
        <f>IFERROR(VLOOKUP($E402,設定!$C:$G,3,0),"")</f>
        <v/>
      </c>
      <c r="H402" s="84" t="str">
        <f>IFERROR(VLOOKUP($E402,設定!$C:$G,4,0),"")</f>
        <v/>
      </c>
      <c r="I402" s="84" t="str">
        <f>IFERROR(VLOOKUP($E402,設定!$C:$G,5,0),"")</f>
        <v/>
      </c>
      <c r="J402" s="117"/>
      <c r="K402" s="85"/>
      <c r="L402" s="86"/>
      <c r="M402" s="86"/>
      <c r="N402" s="86"/>
      <c r="O402" s="86"/>
      <c r="P402" s="86"/>
      <c r="Q402" s="86"/>
      <c r="R402" s="86"/>
      <c r="S402" s="86"/>
      <c r="T402" s="86"/>
      <c r="U402" s="86"/>
      <c r="V402" s="86"/>
      <c r="W402" s="86"/>
      <c r="X402" s="86"/>
      <c r="Y402" s="86"/>
      <c r="Z402" s="86"/>
      <c r="AA402" s="86"/>
      <c r="AB402" s="86"/>
      <c r="AC402" s="86"/>
      <c r="AD402" s="86"/>
      <c r="AE402" s="86"/>
      <c r="AF402" s="86"/>
      <c r="AG402" s="86"/>
      <c r="AH402" s="86"/>
      <c r="AI402" s="86"/>
      <c r="AJ402" s="86"/>
      <c r="AK402" s="86"/>
      <c r="AL402" s="86"/>
      <c r="AM402" s="86"/>
      <c r="AN402" s="86"/>
      <c r="AO402" s="87"/>
      <c r="AP402" s="88">
        <f t="shared" si="6"/>
        <v>0</v>
      </c>
    </row>
    <row r="403" spans="2:42" s="3" customFormat="1" ht="24" customHeight="1" x14ac:dyDescent="0.2">
      <c r="B403" s="80"/>
      <c r="C403" s="81"/>
      <c r="D403" s="82"/>
      <c r="E403" s="83"/>
      <c r="F403" s="84" t="str">
        <f>IFERROR(VLOOKUP($E403,設定!$C:$G,2,0),"")</f>
        <v/>
      </c>
      <c r="G403" s="84" t="str">
        <f>IFERROR(VLOOKUP($E403,設定!$C:$G,3,0),"")</f>
        <v/>
      </c>
      <c r="H403" s="84" t="str">
        <f>IFERROR(VLOOKUP($E403,設定!$C:$G,4,0),"")</f>
        <v/>
      </c>
      <c r="I403" s="84" t="str">
        <f>IFERROR(VLOOKUP($E403,設定!$C:$G,5,0),"")</f>
        <v/>
      </c>
      <c r="J403" s="117"/>
      <c r="K403" s="85"/>
      <c r="L403" s="86"/>
      <c r="M403" s="86"/>
      <c r="N403" s="86"/>
      <c r="O403" s="86"/>
      <c r="P403" s="86"/>
      <c r="Q403" s="86"/>
      <c r="R403" s="86"/>
      <c r="S403" s="86"/>
      <c r="T403" s="86"/>
      <c r="U403" s="86"/>
      <c r="V403" s="86"/>
      <c r="W403" s="86"/>
      <c r="X403" s="86"/>
      <c r="Y403" s="86"/>
      <c r="Z403" s="86"/>
      <c r="AA403" s="86"/>
      <c r="AB403" s="86"/>
      <c r="AC403" s="86"/>
      <c r="AD403" s="86"/>
      <c r="AE403" s="86"/>
      <c r="AF403" s="86"/>
      <c r="AG403" s="86"/>
      <c r="AH403" s="86"/>
      <c r="AI403" s="86"/>
      <c r="AJ403" s="86"/>
      <c r="AK403" s="86"/>
      <c r="AL403" s="86"/>
      <c r="AM403" s="86"/>
      <c r="AN403" s="86"/>
      <c r="AO403" s="87"/>
      <c r="AP403" s="88">
        <f t="shared" si="6"/>
        <v>0</v>
      </c>
    </row>
    <row r="404" spans="2:42" s="3" customFormat="1" ht="24" customHeight="1" x14ac:dyDescent="0.2">
      <c r="B404" s="80"/>
      <c r="C404" s="81"/>
      <c r="D404" s="82"/>
      <c r="E404" s="83"/>
      <c r="F404" s="84" t="str">
        <f>IFERROR(VLOOKUP($E404,設定!$C:$G,2,0),"")</f>
        <v/>
      </c>
      <c r="G404" s="84" t="str">
        <f>IFERROR(VLOOKUP($E404,設定!$C:$G,3,0),"")</f>
        <v/>
      </c>
      <c r="H404" s="84" t="str">
        <f>IFERROR(VLOOKUP($E404,設定!$C:$G,4,0),"")</f>
        <v/>
      </c>
      <c r="I404" s="84" t="str">
        <f>IFERROR(VLOOKUP($E404,設定!$C:$G,5,0),"")</f>
        <v/>
      </c>
      <c r="J404" s="117"/>
      <c r="K404" s="85"/>
      <c r="L404" s="86"/>
      <c r="M404" s="86"/>
      <c r="N404" s="86"/>
      <c r="O404" s="86"/>
      <c r="P404" s="86"/>
      <c r="Q404" s="86"/>
      <c r="R404" s="86"/>
      <c r="S404" s="86"/>
      <c r="T404" s="86"/>
      <c r="U404" s="86"/>
      <c r="V404" s="86"/>
      <c r="W404" s="86"/>
      <c r="X404" s="86"/>
      <c r="Y404" s="86"/>
      <c r="Z404" s="86"/>
      <c r="AA404" s="86"/>
      <c r="AB404" s="86"/>
      <c r="AC404" s="86"/>
      <c r="AD404" s="86"/>
      <c r="AE404" s="86"/>
      <c r="AF404" s="86"/>
      <c r="AG404" s="86"/>
      <c r="AH404" s="86"/>
      <c r="AI404" s="86"/>
      <c r="AJ404" s="86"/>
      <c r="AK404" s="86"/>
      <c r="AL404" s="86"/>
      <c r="AM404" s="86"/>
      <c r="AN404" s="86"/>
      <c r="AO404" s="87"/>
      <c r="AP404" s="88">
        <f t="shared" si="6"/>
        <v>0</v>
      </c>
    </row>
    <row r="405" spans="2:42" s="3" customFormat="1" ht="24" customHeight="1" x14ac:dyDescent="0.2">
      <c r="B405" s="80"/>
      <c r="C405" s="81"/>
      <c r="D405" s="82"/>
      <c r="E405" s="83"/>
      <c r="F405" s="84" t="str">
        <f>IFERROR(VLOOKUP($E405,設定!$C:$G,2,0),"")</f>
        <v/>
      </c>
      <c r="G405" s="84" t="str">
        <f>IFERROR(VLOOKUP($E405,設定!$C:$G,3,0),"")</f>
        <v/>
      </c>
      <c r="H405" s="84" t="str">
        <f>IFERROR(VLOOKUP($E405,設定!$C:$G,4,0),"")</f>
        <v/>
      </c>
      <c r="I405" s="84" t="str">
        <f>IFERROR(VLOOKUP($E405,設定!$C:$G,5,0),"")</f>
        <v/>
      </c>
      <c r="J405" s="117"/>
      <c r="K405" s="85"/>
      <c r="L405" s="86"/>
      <c r="M405" s="86"/>
      <c r="N405" s="86"/>
      <c r="O405" s="86"/>
      <c r="P405" s="86"/>
      <c r="Q405" s="86"/>
      <c r="R405" s="86"/>
      <c r="S405" s="86"/>
      <c r="T405" s="86"/>
      <c r="U405" s="86"/>
      <c r="V405" s="86"/>
      <c r="W405" s="86"/>
      <c r="X405" s="86"/>
      <c r="Y405" s="86"/>
      <c r="Z405" s="86"/>
      <c r="AA405" s="86"/>
      <c r="AB405" s="86"/>
      <c r="AC405" s="86"/>
      <c r="AD405" s="86"/>
      <c r="AE405" s="86"/>
      <c r="AF405" s="86"/>
      <c r="AG405" s="86"/>
      <c r="AH405" s="86"/>
      <c r="AI405" s="86"/>
      <c r="AJ405" s="86"/>
      <c r="AK405" s="86"/>
      <c r="AL405" s="86"/>
      <c r="AM405" s="86"/>
      <c r="AN405" s="86"/>
      <c r="AO405" s="87"/>
      <c r="AP405" s="88">
        <f t="shared" si="6"/>
        <v>0</v>
      </c>
    </row>
    <row r="406" spans="2:42" s="3" customFormat="1" ht="24" customHeight="1" x14ac:dyDescent="0.2">
      <c r="B406" s="80"/>
      <c r="C406" s="81"/>
      <c r="D406" s="82"/>
      <c r="E406" s="83"/>
      <c r="F406" s="84" t="str">
        <f>IFERROR(VLOOKUP($E406,設定!$C:$G,2,0),"")</f>
        <v/>
      </c>
      <c r="G406" s="84" t="str">
        <f>IFERROR(VLOOKUP($E406,設定!$C:$G,3,0),"")</f>
        <v/>
      </c>
      <c r="H406" s="84" t="str">
        <f>IFERROR(VLOOKUP($E406,設定!$C:$G,4,0),"")</f>
        <v/>
      </c>
      <c r="I406" s="84" t="str">
        <f>IFERROR(VLOOKUP($E406,設定!$C:$G,5,0),"")</f>
        <v/>
      </c>
      <c r="J406" s="117"/>
      <c r="K406" s="85"/>
      <c r="L406" s="86"/>
      <c r="M406" s="86"/>
      <c r="N406" s="86"/>
      <c r="O406" s="86"/>
      <c r="P406" s="86"/>
      <c r="Q406" s="86"/>
      <c r="R406" s="86"/>
      <c r="S406" s="86"/>
      <c r="T406" s="86"/>
      <c r="U406" s="86"/>
      <c r="V406" s="86"/>
      <c r="W406" s="86"/>
      <c r="X406" s="86"/>
      <c r="Y406" s="86"/>
      <c r="Z406" s="86"/>
      <c r="AA406" s="86"/>
      <c r="AB406" s="86"/>
      <c r="AC406" s="86"/>
      <c r="AD406" s="86"/>
      <c r="AE406" s="86"/>
      <c r="AF406" s="86"/>
      <c r="AG406" s="86"/>
      <c r="AH406" s="86"/>
      <c r="AI406" s="86"/>
      <c r="AJ406" s="86"/>
      <c r="AK406" s="86"/>
      <c r="AL406" s="86"/>
      <c r="AM406" s="86"/>
      <c r="AN406" s="86"/>
      <c r="AO406" s="87"/>
      <c r="AP406" s="88">
        <f t="shared" si="6"/>
        <v>0</v>
      </c>
    </row>
    <row r="407" spans="2:42" s="3" customFormat="1" ht="24" customHeight="1" x14ac:dyDescent="0.2">
      <c r="B407" s="80"/>
      <c r="C407" s="81"/>
      <c r="D407" s="82"/>
      <c r="E407" s="83"/>
      <c r="F407" s="84" t="str">
        <f>IFERROR(VLOOKUP($E407,設定!$C:$G,2,0),"")</f>
        <v/>
      </c>
      <c r="G407" s="84" t="str">
        <f>IFERROR(VLOOKUP($E407,設定!$C:$G,3,0),"")</f>
        <v/>
      </c>
      <c r="H407" s="84" t="str">
        <f>IFERROR(VLOOKUP($E407,設定!$C:$G,4,0),"")</f>
        <v/>
      </c>
      <c r="I407" s="84" t="str">
        <f>IFERROR(VLOOKUP($E407,設定!$C:$G,5,0),"")</f>
        <v/>
      </c>
      <c r="J407" s="117"/>
      <c r="K407" s="85"/>
      <c r="L407" s="86"/>
      <c r="M407" s="86"/>
      <c r="N407" s="86"/>
      <c r="O407" s="86"/>
      <c r="P407" s="86"/>
      <c r="Q407" s="86"/>
      <c r="R407" s="86"/>
      <c r="S407" s="86"/>
      <c r="T407" s="86"/>
      <c r="U407" s="86"/>
      <c r="V407" s="86"/>
      <c r="W407" s="86"/>
      <c r="X407" s="86"/>
      <c r="Y407" s="86"/>
      <c r="Z407" s="86"/>
      <c r="AA407" s="86"/>
      <c r="AB407" s="86"/>
      <c r="AC407" s="86"/>
      <c r="AD407" s="86"/>
      <c r="AE407" s="86"/>
      <c r="AF407" s="86"/>
      <c r="AG407" s="86"/>
      <c r="AH407" s="86"/>
      <c r="AI407" s="86"/>
      <c r="AJ407" s="86"/>
      <c r="AK407" s="86"/>
      <c r="AL407" s="86"/>
      <c r="AM407" s="86"/>
      <c r="AN407" s="86"/>
      <c r="AO407" s="87"/>
      <c r="AP407" s="88">
        <f t="shared" si="6"/>
        <v>0</v>
      </c>
    </row>
    <row r="408" spans="2:42" s="3" customFormat="1" ht="24" customHeight="1" x14ac:dyDescent="0.2">
      <c r="B408" s="80"/>
      <c r="C408" s="81"/>
      <c r="D408" s="82"/>
      <c r="E408" s="83"/>
      <c r="F408" s="84" t="str">
        <f>IFERROR(VLOOKUP($E408,設定!$C:$G,2,0),"")</f>
        <v/>
      </c>
      <c r="G408" s="84" t="str">
        <f>IFERROR(VLOOKUP($E408,設定!$C:$G,3,0),"")</f>
        <v/>
      </c>
      <c r="H408" s="84" t="str">
        <f>IFERROR(VLOOKUP($E408,設定!$C:$G,4,0),"")</f>
        <v/>
      </c>
      <c r="I408" s="84" t="str">
        <f>IFERROR(VLOOKUP($E408,設定!$C:$G,5,0),"")</f>
        <v/>
      </c>
      <c r="J408" s="117"/>
      <c r="K408" s="85"/>
      <c r="L408" s="86"/>
      <c r="M408" s="86"/>
      <c r="N408" s="86"/>
      <c r="O408" s="86"/>
      <c r="P408" s="86"/>
      <c r="Q408" s="86"/>
      <c r="R408" s="86"/>
      <c r="S408" s="86"/>
      <c r="T408" s="86"/>
      <c r="U408" s="86"/>
      <c r="V408" s="86"/>
      <c r="W408" s="86"/>
      <c r="X408" s="86"/>
      <c r="Y408" s="86"/>
      <c r="Z408" s="86"/>
      <c r="AA408" s="86"/>
      <c r="AB408" s="86"/>
      <c r="AC408" s="86"/>
      <c r="AD408" s="86"/>
      <c r="AE408" s="86"/>
      <c r="AF408" s="86"/>
      <c r="AG408" s="86"/>
      <c r="AH408" s="86"/>
      <c r="AI408" s="86"/>
      <c r="AJ408" s="86"/>
      <c r="AK408" s="86"/>
      <c r="AL408" s="86"/>
      <c r="AM408" s="86"/>
      <c r="AN408" s="86"/>
      <c r="AO408" s="87"/>
      <c r="AP408" s="88">
        <f t="shared" si="6"/>
        <v>0</v>
      </c>
    </row>
    <row r="409" spans="2:42" s="3" customFormat="1" ht="24" customHeight="1" x14ac:dyDescent="0.2">
      <c r="B409" s="80"/>
      <c r="C409" s="81"/>
      <c r="D409" s="82"/>
      <c r="E409" s="83"/>
      <c r="F409" s="84" t="str">
        <f>IFERROR(VLOOKUP($E409,設定!$C:$G,2,0),"")</f>
        <v/>
      </c>
      <c r="G409" s="84" t="str">
        <f>IFERROR(VLOOKUP($E409,設定!$C:$G,3,0),"")</f>
        <v/>
      </c>
      <c r="H409" s="84" t="str">
        <f>IFERROR(VLOOKUP($E409,設定!$C:$G,4,0),"")</f>
        <v/>
      </c>
      <c r="I409" s="84" t="str">
        <f>IFERROR(VLOOKUP($E409,設定!$C:$G,5,0),"")</f>
        <v/>
      </c>
      <c r="J409" s="117"/>
      <c r="K409" s="85"/>
      <c r="L409" s="86"/>
      <c r="M409" s="86"/>
      <c r="N409" s="86"/>
      <c r="O409" s="86"/>
      <c r="P409" s="86"/>
      <c r="Q409" s="86"/>
      <c r="R409" s="86"/>
      <c r="S409" s="86"/>
      <c r="T409" s="86"/>
      <c r="U409" s="86"/>
      <c r="V409" s="86"/>
      <c r="W409" s="86"/>
      <c r="X409" s="86"/>
      <c r="Y409" s="86"/>
      <c r="Z409" s="86"/>
      <c r="AA409" s="86"/>
      <c r="AB409" s="86"/>
      <c r="AC409" s="86"/>
      <c r="AD409" s="86"/>
      <c r="AE409" s="86"/>
      <c r="AF409" s="86"/>
      <c r="AG409" s="86"/>
      <c r="AH409" s="86"/>
      <c r="AI409" s="86"/>
      <c r="AJ409" s="86"/>
      <c r="AK409" s="86"/>
      <c r="AL409" s="86"/>
      <c r="AM409" s="86"/>
      <c r="AN409" s="86"/>
      <c r="AO409" s="87"/>
      <c r="AP409" s="88">
        <f t="shared" si="6"/>
        <v>0</v>
      </c>
    </row>
    <row r="410" spans="2:42" s="3" customFormat="1" ht="24" customHeight="1" x14ac:dyDescent="0.2">
      <c r="B410" s="80"/>
      <c r="C410" s="81"/>
      <c r="D410" s="82"/>
      <c r="E410" s="83"/>
      <c r="F410" s="84" t="str">
        <f>IFERROR(VLOOKUP($E410,設定!$C:$G,2,0),"")</f>
        <v/>
      </c>
      <c r="G410" s="84" t="str">
        <f>IFERROR(VLOOKUP($E410,設定!$C:$G,3,0),"")</f>
        <v/>
      </c>
      <c r="H410" s="84" t="str">
        <f>IFERROR(VLOOKUP($E410,設定!$C:$G,4,0),"")</f>
        <v/>
      </c>
      <c r="I410" s="84" t="str">
        <f>IFERROR(VLOOKUP($E410,設定!$C:$G,5,0),"")</f>
        <v/>
      </c>
      <c r="J410" s="117"/>
      <c r="K410" s="85"/>
      <c r="L410" s="86"/>
      <c r="M410" s="86"/>
      <c r="N410" s="86"/>
      <c r="O410" s="86"/>
      <c r="P410" s="86"/>
      <c r="Q410" s="86"/>
      <c r="R410" s="86"/>
      <c r="S410" s="86"/>
      <c r="T410" s="86"/>
      <c r="U410" s="86"/>
      <c r="V410" s="86"/>
      <c r="W410" s="86"/>
      <c r="X410" s="86"/>
      <c r="Y410" s="86"/>
      <c r="Z410" s="86"/>
      <c r="AA410" s="86"/>
      <c r="AB410" s="86"/>
      <c r="AC410" s="86"/>
      <c r="AD410" s="86"/>
      <c r="AE410" s="86"/>
      <c r="AF410" s="86"/>
      <c r="AG410" s="86"/>
      <c r="AH410" s="86"/>
      <c r="AI410" s="86"/>
      <c r="AJ410" s="86"/>
      <c r="AK410" s="86"/>
      <c r="AL410" s="86"/>
      <c r="AM410" s="86"/>
      <c r="AN410" s="86"/>
      <c r="AO410" s="87"/>
      <c r="AP410" s="88">
        <f t="shared" si="6"/>
        <v>0</v>
      </c>
    </row>
    <row r="411" spans="2:42" s="3" customFormat="1" ht="24" customHeight="1" x14ac:dyDescent="0.2">
      <c r="B411" s="80"/>
      <c r="C411" s="81"/>
      <c r="D411" s="82"/>
      <c r="E411" s="83"/>
      <c r="F411" s="84" t="str">
        <f>IFERROR(VLOOKUP($E411,設定!$C:$G,2,0),"")</f>
        <v/>
      </c>
      <c r="G411" s="84" t="str">
        <f>IFERROR(VLOOKUP($E411,設定!$C:$G,3,0),"")</f>
        <v/>
      </c>
      <c r="H411" s="84" t="str">
        <f>IFERROR(VLOOKUP($E411,設定!$C:$G,4,0),"")</f>
        <v/>
      </c>
      <c r="I411" s="84" t="str">
        <f>IFERROR(VLOOKUP($E411,設定!$C:$G,5,0),"")</f>
        <v/>
      </c>
      <c r="J411" s="117"/>
      <c r="K411" s="85"/>
      <c r="L411" s="86"/>
      <c r="M411" s="86"/>
      <c r="N411" s="86"/>
      <c r="O411" s="86"/>
      <c r="P411" s="86"/>
      <c r="Q411" s="86"/>
      <c r="R411" s="86"/>
      <c r="S411" s="86"/>
      <c r="T411" s="86"/>
      <c r="U411" s="86"/>
      <c r="V411" s="86"/>
      <c r="W411" s="86"/>
      <c r="X411" s="86"/>
      <c r="Y411" s="86"/>
      <c r="Z411" s="86"/>
      <c r="AA411" s="86"/>
      <c r="AB411" s="86"/>
      <c r="AC411" s="86"/>
      <c r="AD411" s="86"/>
      <c r="AE411" s="86"/>
      <c r="AF411" s="86"/>
      <c r="AG411" s="86"/>
      <c r="AH411" s="86"/>
      <c r="AI411" s="86"/>
      <c r="AJ411" s="86"/>
      <c r="AK411" s="86"/>
      <c r="AL411" s="86"/>
      <c r="AM411" s="86"/>
      <c r="AN411" s="86"/>
      <c r="AO411" s="87"/>
      <c r="AP411" s="88">
        <f t="shared" si="6"/>
        <v>0</v>
      </c>
    </row>
    <row r="412" spans="2:42" s="3" customFormat="1" ht="24" customHeight="1" x14ac:dyDescent="0.2">
      <c r="B412" s="80"/>
      <c r="C412" s="81"/>
      <c r="D412" s="82"/>
      <c r="E412" s="83"/>
      <c r="F412" s="84" t="str">
        <f>IFERROR(VLOOKUP($E412,設定!$C:$G,2,0),"")</f>
        <v/>
      </c>
      <c r="G412" s="84" t="str">
        <f>IFERROR(VLOOKUP($E412,設定!$C:$G,3,0),"")</f>
        <v/>
      </c>
      <c r="H412" s="84" t="str">
        <f>IFERROR(VLOOKUP($E412,設定!$C:$G,4,0),"")</f>
        <v/>
      </c>
      <c r="I412" s="84" t="str">
        <f>IFERROR(VLOOKUP($E412,設定!$C:$G,5,0),"")</f>
        <v/>
      </c>
      <c r="J412" s="117"/>
      <c r="K412" s="85"/>
      <c r="L412" s="86"/>
      <c r="M412" s="86"/>
      <c r="N412" s="86"/>
      <c r="O412" s="86"/>
      <c r="P412" s="86"/>
      <c r="Q412" s="86"/>
      <c r="R412" s="86"/>
      <c r="S412" s="86"/>
      <c r="T412" s="86"/>
      <c r="U412" s="86"/>
      <c r="V412" s="86"/>
      <c r="W412" s="86"/>
      <c r="X412" s="86"/>
      <c r="Y412" s="86"/>
      <c r="Z412" s="86"/>
      <c r="AA412" s="86"/>
      <c r="AB412" s="86"/>
      <c r="AC412" s="86"/>
      <c r="AD412" s="86"/>
      <c r="AE412" s="86"/>
      <c r="AF412" s="86"/>
      <c r="AG412" s="86"/>
      <c r="AH412" s="86"/>
      <c r="AI412" s="86"/>
      <c r="AJ412" s="86"/>
      <c r="AK412" s="86"/>
      <c r="AL412" s="86"/>
      <c r="AM412" s="86"/>
      <c r="AN412" s="86"/>
      <c r="AO412" s="87"/>
      <c r="AP412" s="88">
        <f t="shared" si="6"/>
        <v>0</v>
      </c>
    </row>
    <row r="413" spans="2:42" s="3" customFormat="1" ht="24" customHeight="1" x14ac:dyDescent="0.2">
      <c r="B413" s="80"/>
      <c r="C413" s="81"/>
      <c r="D413" s="82"/>
      <c r="E413" s="83"/>
      <c r="F413" s="84" t="str">
        <f>IFERROR(VLOOKUP($E413,設定!$C:$G,2,0),"")</f>
        <v/>
      </c>
      <c r="G413" s="84" t="str">
        <f>IFERROR(VLOOKUP($E413,設定!$C:$G,3,0),"")</f>
        <v/>
      </c>
      <c r="H413" s="84" t="str">
        <f>IFERROR(VLOOKUP($E413,設定!$C:$G,4,0),"")</f>
        <v/>
      </c>
      <c r="I413" s="84" t="str">
        <f>IFERROR(VLOOKUP($E413,設定!$C:$G,5,0),"")</f>
        <v/>
      </c>
      <c r="J413" s="117"/>
      <c r="K413" s="85"/>
      <c r="L413" s="86"/>
      <c r="M413" s="86"/>
      <c r="N413" s="86"/>
      <c r="O413" s="86"/>
      <c r="P413" s="86"/>
      <c r="Q413" s="86"/>
      <c r="R413" s="86"/>
      <c r="S413" s="86"/>
      <c r="T413" s="86"/>
      <c r="U413" s="86"/>
      <c r="V413" s="86"/>
      <c r="W413" s="86"/>
      <c r="X413" s="86"/>
      <c r="Y413" s="86"/>
      <c r="Z413" s="86"/>
      <c r="AA413" s="86"/>
      <c r="AB413" s="86"/>
      <c r="AC413" s="86"/>
      <c r="AD413" s="86"/>
      <c r="AE413" s="86"/>
      <c r="AF413" s="86"/>
      <c r="AG413" s="86"/>
      <c r="AH413" s="86"/>
      <c r="AI413" s="86"/>
      <c r="AJ413" s="86"/>
      <c r="AK413" s="86"/>
      <c r="AL413" s="86"/>
      <c r="AM413" s="86"/>
      <c r="AN413" s="86"/>
      <c r="AO413" s="87"/>
      <c r="AP413" s="88">
        <f t="shared" si="6"/>
        <v>0</v>
      </c>
    </row>
    <row r="414" spans="2:42" s="3" customFormat="1" ht="24" customHeight="1" x14ac:dyDescent="0.2">
      <c r="B414" s="80"/>
      <c r="C414" s="81"/>
      <c r="D414" s="82"/>
      <c r="E414" s="83"/>
      <c r="F414" s="84" t="str">
        <f>IFERROR(VLOOKUP($E414,設定!$C:$G,2,0),"")</f>
        <v/>
      </c>
      <c r="G414" s="84" t="str">
        <f>IFERROR(VLOOKUP($E414,設定!$C:$G,3,0),"")</f>
        <v/>
      </c>
      <c r="H414" s="84" t="str">
        <f>IFERROR(VLOOKUP($E414,設定!$C:$G,4,0),"")</f>
        <v/>
      </c>
      <c r="I414" s="84" t="str">
        <f>IFERROR(VLOOKUP($E414,設定!$C:$G,5,0),"")</f>
        <v/>
      </c>
      <c r="J414" s="117"/>
      <c r="K414" s="85"/>
      <c r="L414" s="86"/>
      <c r="M414" s="86"/>
      <c r="N414" s="86"/>
      <c r="O414" s="86"/>
      <c r="P414" s="86"/>
      <c r="Q414" s="86"/>
      <c r="R414" s="86"/>
      <c r="S414" s="86"/>
      <c r="T414" s="86"/>
      <c r="U414" s="86"/>
      <c r="V414" s="86"/>
      <c r="W414" s="86"/>
      <c r="X414" s="86"/>
      <c r="Y414" s="86"/>
      <c r="Z414" s="86"/>
      <c r="AA414" s="86"/>
      <c r="AB414" s="86"/>
      <c r="AC414" s="86"/>
      <c r="AD414" s="86"/>
      <c r="AE414" s="86"/>
      <c r="AF414" s="86"/>
      <c r="AG414" s="86"/>
      <c r="AH414" s="86"/>
      <c r="AI414" s="86"/>
      <c r="AJ414" s="86"/>
      <c r="AK414" s="86"/>
      <c r="AL414" s="86"/>
      <c r="AM414" s="86"/>
      <c r="AN414" s="86"/>
      <c r="AO414" s="87"/>
      <c r="AP414" s="88">
        <f t="shared" si="6"/>
        <v>0</v>
      </c>
    </row>
    <row r="415" spans="2:42" s="3" customFormat="1" ht="24" customHeight="1" x14ac:dyDescent="0.2">
      <c r="B415" s="80"/>
      <c r="C415" s="81"/>
      <c r="D415" s="82"/>
      <c r="E415" s="83"/>
      <c r="F415" s="84" t="str">
        <f>IFERROR(VLOOKUP($E415,設定!$C:$G,2,0),"")</f>
        <v/>
      </c>
      <c r="G415" s="84" t="str">
        <f>IFERROR(VLOOKUP($E415,設定!$C:$G,3,0),"")</f>
        <v/>
      </c>
      <c r="H415" s="84" t="str">
        <f>IFERROR(VLOOKUP($E415,設定!$C:$G,4,0),"")</f>
        <v/>
      </c>
      <c r="I415" s="84" t="str">
        <f>IFERROR(VLOOKUP($E415,設定!$C:$G,5,0),"")</f>
        <v/>
      </c>
      <c r="J415" s="117"/>
      <c r="K415" s="85"/>
      <c r="L415" s="86"/>
      <c r="M415" s="86"/>
      <c r="N415" s="86"/>
      <c r="O415" s="86"/>
      <c r="P415" s="86"/>
      <c r="Q415" s="86"/>
      <c r="R415" s="86"/>
      <c r="S415" s="86"/>
      <c r="T415" s="86"/>
      <c r="U415" s="86"/>
      <c r="V415" s="86"/>
      <c r="W415" s="86"/>
      <c r="X415" s="86"/>
      <c r="Y415" s="86"/>
      <c r="Z415" s="86"/>
      <c r="AA415" s="86"/>
      <c r="AB415" s="86"/>
      <c r="AC415" s="86"/>
      <c r="AD415" s="86"/>
      <c r="AE415" s="86"/>
      <c r="AF415" s="86"/>
      <c r="AG415" s="86"/>
      <c r="AH415" s="86"/>
      <c r="AI415" s="86"/>
      <c r="AJ415" s="86"/>
      <c r="AK415" s="86"/>
      <c r="AL415" s="86"/>
      <c r="AM415" s="86"/>
      <c r="AN415" s="86"/>
      <c r="AO415" s="87"/>
      <c r="AP415" s="88">
        <f t="shared" si="6"/>
        <v>0</v>
      </c>
    </row>
    <row r="416" spans="2:42" s="3" customFormat="1" ht="24" customHeight="1" x14ac:dyDescent="0.2">
      <c r="B416" s="80"/>
      <c r="C416" s="81"/>
      <c r="D416" s="82"/>
      <c r="E416" s="83"/>
      <c r="F416" s="84" t="str">
        <f>IFERROR(VLOOKUP($E416,設定!$C:$G,2,0),"")</f>
        <v/>
      </c>
      <c r="G416" s="84" t="str">
        <f>IFERROR(VLOOKUP($E416,設定!$C:$G,3,0),"")</f>
        <v/>
      </c>
      <c r="H416" s="84" t="str">
        <f>IFERROR(VLOOKUP($E416,設定!$C:$G,4,0),"")</f>
        <v/>
      </c>
      <c r="I416" s="84" t="str">
        <f>IFERROR(VLOOKUP($E416,設定!$C:$G,5,0),"")</f>
        <v/>
      </c>
      <c r="J416" s="117"/>
      <c r="K416" s="85"/>
      <c r="L416" s="86"/>
      <c r="M416" s="86"/>
      <c r="N416" s="86"/>
      <c r="O416" s="86"/>
      <c r="P416" s="86"/>
      <c r="Q416" s="86"/>
      <c r="R416" s="86"/>
      <c r="S416" s="86"/>
      <c r="T416" s="86"/>
      <c r="U416" s="86"/>
      <c r="V416" s="86"/>
      <c r="W416" s="86"/>
      <c r="X416" s="86"/>
      <c r="Y416" s="86"/>
      <c r="Z416" s="86"/>
      <c r="AA416" s="86"/>
      <c r="AB416" s="86"/>
      <c r="AC416" s="86"/>
      <c r="AD416" s="86"/>
      <c r="AE416" s="86"/>
      <c r="AF416" s="86"/>
      <c r="AG416" s="86"/>
      <c r="AH416" s="86"/>
      <c r="AI416" s="86"/>
      <c r="AJ416" s="86"/>
      <c r="AK416" s="86"/>
      <c r="AL416" s="86"/>
      <c r="AM416" s="86"/>
      <c r="AN416" s="86"/>
      <c r="AO416" s="87"/>
      <c r="AP416" s="88">
        <f t="shared" si="6"/>
        <v>0</v>
      </c>
    </row>
    <row r="417" spans="2:42" s="3" customFormat="1" ht="24" customHeight="1" x14ac:dyDescent="0.2">
      <c r="B417" s="80"/>
      <c r="C417" s="81"/>
      <c r="D417" s="82"/>
      <c r="E417" s="83"/>
      <c r="F417" s="84" t="str">
        <f>IFERROR(VLOOKUP($E417,設定!$C:$G,2,0),"")</f>
        <v/>
      </c>
      <c r="G417" s="84" t="str">
        <f>IFERROR(VLOOKUP($E417,設定!$C:$G,3,0),"")</f>
        <v/>
      </c>
      <c r="H417" s="84" t="str">
        <f>IFERROR(VLOOKUP($E417,設定!$C:$G,4,0),"")</f>
        <v/>
      </c>
      <c r="I417" s="84" t="str">
        <f>IFERROR(VLOOKUP($E417,設定!$C:$G,5,0),"")</f>
        <v/>
      </c>
      <c r="J417" s="117"/>
      <c r="K417" s="85"/>
      <c r="L417" s="86"/>
      <c r="M417" s="86"/>
      <c r="N417" s="86"/>
      <c r="O417" s="86"/>
      <c r="P417" s="86"/>
      <c r="Q417" s="86"/>
      <c r="R417" s="86"/>
      <c r="S417" s="86"/>
      <c r="T417" s="86"/>
      <c r="U417" s="86"/>
      <c r="V417" s="86"/>
      <c r="W417" s="86"/>
      <c r="X417" s="86"/>
      <c r="Y417" s="86"/>
      <c r="Z417" s="86"/>
      <c r="AA417" s="86"/>
      <c r="AB417" s="86"/>
      <c r="AC417" s="86"/>
      <c r="AD417" s="86"/>
      <c r="AE417" s="86"/>
      <c r="AF417" s="86"/>
      <c r="AG417" s="86"/>
      <c r="AH417" s="86"/>
      <c r="AI417" s="86"/>
      <c r="AJ417" s="86"/>
      <c r="AK417" s="86"/>
      <c r="AL417" s="86"/>
      <c r="AM417" s="86"/>
      <c r="AN417" s="86"/>
      <c r="AO417" s="87"/>
      <c r="AP417" s="88">
        <f t="shared" si="6"/>
        <v>0</v>
      </c>
    </row>
    <row r="418" spans="2:42" s="3" customFormat="1" ht="24" customHeight="1" x14ac:dyDescent="0.2">
      <c r="B418" s="80"/>
      <c r="C418" s="81"/>
      <c r="D418" s="82"/>
      <c r="E418" s="83"/>
      <c r="F418" s="84" t="str">
        <f>IFERROR(VLOOKUP($E418,設定!$C:$G,2,0),"")</f>
        <v/>
      </c>
      <c r="G418" s="84" t="str">
        <f>IFERROR(VLOOKUP($E418,設定!$C:$G,3,0),"")</f>
        <v/>
      </c>
      <c r="H418" s="84" t="str">
        <f>IFERROR(VLOOKUP($E418,設定!$C:$G,4,0),"")</f>
        <v/>
      </c>
      <c r="I418" s="84" t="str">
        <f>IFERROR(VLOOKUP($E418,設定!$C:$G,5,0),"")</f>
        <v/>
      </c>
      <c r="J418" s="117"/>
      <c r="K418" s="85"/>
      <c r="L418" s="86"/>
      <c r="M418" s="86"/>
      <c r="N418" s="86"/>
      <c r="O418" s="86"/>
      <c r="P418" s="86"/>
      <c r="Q418" s="86"/>
      <c r="R418" s="86"/>
      <c r="S418" s="86"/>
      <c r="T418" s="86"/>
      <c r="U418" s="86"/>
      <c r="V418" s="86"/>
      <c r="W418" s="86"/>
      <c r="X418" s="86"/>
      <c r="Y418" s="86"/>
      <c r="Z418" s="86"/>
      <c r="AA418" s="86"/>
      <c r="AB418" s="86"/>
      <c r="AC418" s="86"/>
      <c r="AD418" s="86"/>
      <c r="AE418" s="86"/>
      <c r="AF418" s="86"/>
      <c r="AG418" s="86"/>
      <c r="AH418" s="86"/>
      <c r="AI418" s="86"/>
      <c r="AJ418" s="86"/>
      <c r="AK418" s="86"/>
      <c r="AL418" s="86"/>
      <c r="AM418" s="86"/>
      <c r="AN418" s="86"/>
      <c r="AO418" s="87"/>
      <c r="AP418" s="88">
        <f t="shared" si="6"/>
        <v>0</v>
      </c>
    </row>
    <row r="419" spans="2:42" s="3" customFormat="1" ht="24" customHeight="1" x14ac:dyDescent="0.2">
      <c r="B419" s="80"/>
      <c r="C419" s="81"/>
      <c r="D419" s="82"/>
      <c r="E419" s="83"/>
      <c r="F419" s="84" t="str">
        <f>IFERROR(VLOOKUP($E419,設定!$C:$G,2,0),"")</f>
        <v/>
      </c>
      <c r="G419" s="84" t="str">
        <f>IFERROR(VLOOKUP($E419,設定!$C:$G,3,0),"")</f>
        <v/>
      </c>
      <c r="H419" s="84" t="str">
        <f>IFERROR(VLOOKUP($E419,設定!$C:$G,4,0),"")</f>
        <v/>
      </c>
      <c r="I419" s="84" t="str">
        <f>IFERROR(VLOOKUP($E419,設定!$C:$G,5,0),"")</f>
        <v/>
      </c>
      <c r="J419" s="117"/>
      <c r="K419" s="85"/>
      <c r="L419" s="86"/>
      <c r="M419" s="86"/>
      <c r="N419" s="86"/>
      <c r="O419" s="86"/>
      <c r="P419" s="86"/>
      <c r="Q419" s="86"/>
      <c r="R419" s="86"/>
      <c r="S419" s="86"/>
      <c r="T419" s="86"/>
      <c r="U419" s="86"/>
      <c r="V419" s="86"/>
      <c r="W419" s="86"/>
      <c r="X419" s="86"/>
      <c r="Y419" s="86"/>
      <c r="Z419" s="86"/>
      <c r="AA419" s="86"/>
      <c r="AB419" s="86"/>
      <c r="AC419" s="86"/>
      <c r="AD419" s="86"/>
      <c r="AE419" s="86"/>
      <c r="AF419" s="86"/>
      <c r="AG419" s="86"/>
      <c r="AH419" s="86"/>
      <c r="AI419" s="86"/>
      <c r="AJ419" s="86"/>
      <c r="AK419" s="86"/>
      <c r="AL419" s="86"/>
      <c r="AM419" s="86"/>
      <c r="AN419" s="86"/>
      <c r="AO419" s="87"/>
      <c r="AP419" s="88">
        <f t="shared" si="6"/>
        <v>0</v>
      </c>
    </row>
    <row r="420" spans="2:42" s="3" customFormat="1" ht="24" customHeight="1" x14ac:dyDescent="0.2">
      <c r="B420" s="80"/>
      <c r="C420" s="81"/>
      <c r="D420" s="82"/>
      <c r="E420" s="83"/>
      <c r="F420" s="84" t="str">
        <f>IFERROR(VLOOKUP($E420,設定!$C:$G,2,0),"")</f>
        <v/>
      </c>
      <c r="G420" s="84" t="str">
        <f>IFERROR(VLOOKUP($E420,設定!$C:$G,3,0),"")</f>
        <v/>
      </c>
      <c r="H420" s="84" t="str">
        <f>IFERROR(VLOOKUP($E420,設定!$C:$G,4,0),"")</f>
        <v/>
      </c>
      <c r="I420" s="84" t="str">
        <f>IFERROR(VLOOKUP($E420,設定!$C:$G,5,0),"")</f>
        <v/>
      </c>
      <c r="J420" s="117"/>
      <c r="K420" s="85"/>
      <c r="L420" s="86"/>
      <c r="M420" s="86"/>
      <c r="N420" s="86"/>
      <c r="O420" s="86"/>
      <c r="P420" s="86"/>
      <c r="Q420" s="86"/>
      <c r="R420" s="86"/>
      <c r="S420" s="86"/>
      <c r="T420" s="86"/>
      <c r="U420" s="86"/>
      <c r="V420" s="86"/>
      <c r="W420" s="86"/>
      <c r="X420" s="86"/>
      <c r="Y420" s="86"/>
      <c r="Z420" s="86"/>
      <c r="AA420" s="86"/>
      <c r="AB420" s="86"/>
      <c r="AC420" s="86"/>
      <c r="AD420" s="86"/>
      <c r="AE420" s="86"/>
      <c r="AF420" s="86"/>
      <c r="AG420" s="86"/>
      <c r="AH420" s="86"/>
      <c r="AI420" s="86"/>
      <c r="AJ420" s="86"/>
      <c r="AK420" s="86"/>
      <c r="AL420" s="86"/>
      <c r="AM420" s="86"/>
      <c r="AN420" s="86"/>
      <c r="AO420" s="87"/>
      <c r="AP420" s="88">
        <f t="shared" si="6"/>
        <v>0</v>
      </c>
    </row>
    <row r="421" spans="2:42" s="3" customFormat="1" ht="24" customHeight="1" x14ac:dyDescent="0.2">
      <c r="B421" s="80"/>
      <c r="C421" s="81"/>
      <c r="D421" s="82"/>
      <c r="E421" s="83"/>
      <c r="F421" s="84" t="str">
        <f>IFERROR(VLOOKUP($E421,設定!$C:$G,2,0),"")</f>
        <v/>
      </c>
      <c r="G421" s="84" t="str">
        <f>IFERROR(VLOOKUP($E421,設定!$C:$G,3,0),"")</f>
        <v/>
      </c>
      <c r="H421" s="84" t="str">
        <f>IFERROR(VLOOKUP($E421,設定!$C:$G,4,0),"")</f>
        <v/>
      </c>
      <c r="I421" s="84" t="str">
        <f>IFERROR(VLOOKUP($E421,設定!$C:$G,5,0),"")</f>
        <v/>
      </c>
      <c r="J421" s="117"/>
      <c r="K421" s="85"/>
      <c r="L421" s="86"/>
      <c r="M421" s="86"/>
      <c r="N421" s="86"/>
      <c r="O421" s="86"/>
      <c r="P421" s="86"/>
      <c r="Q421" s="86"/>
      <c r="R421" s="86"/>
      <c r="S421" s="86"/>
      <c r="T421" s="86"/>
      <c r="U421" s="86"/>
      <c r="V421" s="86"/>
      <c r="W421" s="86"/>
      <c r="X421" s="86"/>
      <c r="Y421" s="86"/>
      <c r="Z421" s="86"/>
      <c r="AA421" s="86"/>
      <c r="AB421" s="86"/>
      <c r="AC421" s="86"/>
      <c r="AD421" s="86"/>
      <c r="AE421" s="86"/>
      <c r="AF421" s="86"/>
      <c r="AG421" s="86"/>
      <c r="AH421" s="86"/>
      <c r="AI421" s="86"/>
      <c r="AJ421" s="86"/>
      <c r="AK421" s="86"/>
      <c r="AL421" s="86"/>
      <c r="AM421" s="86"/>
      <c r="AN421" s="86"/>
      <c r="AO421" s="87"/>
      <c r="AP421" s="88">
        <f t="shared" si="6"/>
        <v>0</v>
      </c>
    </row>
    <row r="422" spans="2:42" s="3" customFormat="1" ht="24" customHeight="1" x14ac:dyDescent="0.2">
      <c r="B422" s="80"/>
      <c r="C422" s="81"/>
      <c r="D422" s="82"/>
      <c r="E422" s="83"/>
      <c r="F422" s="84" t="str">
        <f>IFERROR(VLOOKUP($E422,設定!$C:$G,2,0),"")</f>
        <v/>
      </c>
      <c r="G422" s="84" t="str">
        <f>IFERROR(VLOOKUP($E422,設定!$C:$G,3,0),"")</f>
        <v/>
      </c>
      <c r="H422" s="84" t="str">
        <f>IFERROR(VLOOKUP($E422,設定!$C:$G,4,0),"")</f>
        <v/>
      </c>
      <c r="I422" s="84" t="str">
        <f>IFERROR(VLOOKUP($E422,設定!$C:$G,5,0),"")</f>
        <v/>
      </c>
      <c r="J422" s="117"/>
      <c r="K422" s="85"/>
      <c r="L422" s="86"/>
      <c r="M422" s="86"/>
      <c r="N422" s="86"/>
      <c r="O422" s="86"/>
      <c r="P422" s="86"/>
      <c r="Q422" s="86"/>
      <c r="R422" s="86"/>
      <c r="S422" s="86"/>
      <c r="T422" s="86"/>
      <c r="U422" s="86"/>
      <c r="V422" s="86"/>
      <c r="W422" s="86"/>
      <c r="X422" s="86"/>
      <c r="Y422" s="86"/>
      <c r="Z422" s="86"/>
      <c r="AA422" s="86"/>
      <c r="AB422" s="86"/>
      <c r="AC422" s="86"/>
      <c r="AD422" s="86"/>
      <c r="AE422" s="86"/>
      <c r="AF422" s="86"/>
      <c r="AG422" s="86"/>
      <c r="AH422" s="86"/>
      <c r="AI422" s="86"/>
      <c r="AJ422" s="86"/>
      <c r="AK422" s="86"/>
      <c r="AL422" s="86"/>
      <c r="AM422" s="86"/>
      <c r="AN422" s="86"/>
      <c r="AO422" s="87"/>
      <c r="AP422" s="88">
        <f t="shared" si="6"/>
        <v>0</v>
      </c>
    </row>
    <row r="423" spans="2:42" s="3" customFormat="1" ht="24" customHeight="1" x14ac:dyDescent="0.2">
      <c r="B423" s="80"/>
      <c r="C423" s="81"/>
      <c r="D423" s="82"/>
      <c r="E423" s="83"/>
      <c r="F423" s="84" t="str">
        <f>IFERROR(VLOOKUP($E423,設定!$C:$G,2,0),"")</f>
        <v/>
      </c>
      <c r="G423" s="84" t="str">
        <f>IFERROR(VLOOKUP($E423,設定!$C:$G,3,0),"")</f>
        <v/>
      </c>
      <c r="H423" s="84" t="str">
        <f>IFERROR(VLOOKUP($E423,設定!$C:$G,4,0),"")</f>
        <v/>
      </c>
      <c r="I423" s="84" t="str">
        <f>IFERROR(VLOOKUP($E423,設定!$C:$G,5,0),"")</f>
        <v/>
      </c>
      <c r="J423" s="117"/>
      <c r="K423" s="85"/>
      <c r="L423" s="86"/>
      <c r="M423" s="86"/>
      <c r="N423" s="86"/>
      <c r="O423" s="86"/>
      <c r="P423" s="86"/>
      <c r="Q423" s="86"/>
      <c r="R423" s="86"/>
      <c r="S423" s="86"/>
      <c r="T423" s="86"/>
      <c r="U423" s="86"/>
      <c r="V423" s="86"/>
      <c r="W423" s="86"/>
      <c r="X423" s="86"/>
      <c r="Y423" s="86"/>
      <c r="Z423" s="86"/>
      <c r="AA423" s="86"/>
      <c r="AB423" s="86"/>
      <c r="AC423" s="86"/>
      <c r="AD423" s="86"/>
      <c r="AE423" s="86"/>
      <c r="AF423" s="86"/>
      <c r="AG423" s="86"/>
      <c r="AH423" s="86"/>
      <c r="AI423" s="86"/>
      <c r="AJ423" s="86"/>
      <c r="AK423" s="86"/>
      <c r="AL423" s="86"/>
      <c r="AM423" s="86"/>
      <c r="AN423" s="86"/>
      <c r="AO423" s="87"/>
      <c r="AP423" s="88">
        <f t="shared" si="6"/>
        <v>0</v>
      </c>
    </row>
    <row r="424" spans="2:42" s="3" customFormat="1" ht="24" customHeight="1" x14ac:dyDescent="0.2">
      <c r="B424" s="80"/>
      <c r="C424" s="81"/>
      <c r="D424" s="82"/>
      <c r="E424" s="83"/>
      <c r="F424" s="84" t="str">
        <f>IFERROR(VLOOKUP($E424,設定!$C:$G,2,0),"")</f>
        <v/>
      </c>
      <c r="G424" s="84" t="str">
        <f>IFERROR(VLOOKUP($E424,設定!$C:$G,3,0),"")</f>
        <v/>
      </c>
      <c r="H424" s="84" t="str">
        <f>IFERROR(VLOOKUP($E424,設定!$C:$G,4,0),"")</f>
        <v/>
      </c>
      <c r="I424" s="84" t="str">
        <f>IFERROR(VLOOKUP($E424,設定!$C:$G,5,0),"")</f>
        <v/>
      </c>
      <c r="J424" s="117"/>
      <c r="K424" s="85"/>
      <c r="L424" s="86"/>
      <c r="M424" s="86"/>
      <c r="N424" s="86"/>
      <c r="O424" s="86"/>
      <c r="P424" s="86"/>
      <c r="Q424" s="86"/>
      <c r="R424" s="86"/>
      <c r="S424" s="86"/>
      <c r="T424" s="86"/>
      <c r="U424" s="86"/>
      <c r="V424" s="86"/>
      <c r="W424" s="86"/>
      <c r="X424" s="86"/>
      <c r="Y424" s="86"/>
      <c r="Z424" s="86"/>
      <c r="AA424" s="86"/>
      <c r="AB424" s="86"/>
      <c r="AC424" s="86"/>
      <c r="AD424" s="86"/>
      <c r="AE424" s="86"/>
      <c r="AF424" s="86"/>
      <c r="AG424" s="86"/>
      <c r="AH424" s="86"/>
      <c r="AI424" s="86"/>
      <c r="AJ424" s="86"/>
      <c r="AK424" s="86"/>
      <c r="AL424" s="86"/>
      <c r="AM424" s="86"/>
      <c r="AN424" s="86"/>
      <c r="AO424" s="87"/>
      <c r="AP424" s="88">
        <f t="shared" si="6"/>
        <v>0</v>
      </c>
    </row>
    <row r="425" spans="2:42" s="3" customFormat="1" ht="24" customHeight="1" x14ac:dyDescent="0.2">
      <c r="B425" s="80"/>
      <c r="C425" s="81"/>
      <c r="D425" s="82"/>
      <c r="E425" s="83"/>
      <c r="F425" s="84" t="str">
        <f>IFERROR(VLOOKUP($E425,設定!$C:$G,2,0),"")</f>
        <v/>
      </c>
      <c r="G425" s="84" t="str">
        <f>IFERROR(VLOOKUP($E425,設定!$C:$G,3,0),"")</f>
        <v/>
      </c>
      <c r="H425" s="84" t="str">
        <f>IFERROR(VLOOKUP($E425,設定!$C:$G,4,0),"")</f>
        <v/>
      </c>
      <c r="I425" s="84" t="str">
        <f>IFERROR(VLOOKUP($E425,設定!$C:$G,5,0),"")</f>
        <v/>
      </c>
      <c r="J425" s="117"/>
      <c r="K425" s="85"/>
      <c r="L425" s="86"/>
      <c r="M425" s="86"/>
      <c r="N425" s="86"/>
      <c r="O425" s="86"/>
      <c r="P425" s="86"/>
      <c r="Q425" s="86"/>
      <c r="R425" s="86"/>
      <c r="S425" s="86"/>
      <c r="T425" s="86"/>
      <c r="U425" s="86"/>
      <c r="V425" s="86"/>
      <c r="W425" s="86"/>
      <c r="X425" s="86"/>
      <c r="Y425" s="86"/>
      <c r="Z425" s="86"/>
      <c r="AA425" s="86"/>
      <c r="AB425" s="86"/>
      <c r="AC425" s="86"/>
      <c r="AD425" s="86"/>
      <c r="AE425" s="86"/>
      <c r="AF425" s="86"/>
      <c r="AG425" s="86"/>
      <c r="AH425" s="86"/>
      <c r="AI425" s="86"/>
      <c r="AJ425" s="86"/>
      <c r="AK425" s="86"/>
      <c r="AL425" s="86"/>
      <c r="AM425" s="86"/>
      <c r="AN425" s="86"/>
      <c r="AO425" s="87"/>
      <c r="AP425" s="88">
        <f t="shared" si="6"/>
        <v>0</v>
      </c>
    </row>
    <row r="426" spans="2:42" s="3" customFormat="1" ht="24" customHeight="1" x14ac:dyDescent="0.2">
      <c r="B426" s="80"/>
      <c r="C426" s="81"/>
      <c r="D426" s="82"/>
      <c r="E426" s="83"/>
      <c r="F426" s="84" t="str">
        <f>IFERROR(VLOOKUP($E426,設定!$C:$G,2,0),"")</f>
        <v/>
      </c>
      <c r="G426" s="84" t="str">
        <f>IFERROR(VLOOKUP($E426,設定!$C:$G,3,0),"")</f>
        <v/>
      </c>
      <c r="H426" s="84" t="str">
        <f>IFERROR(VLOOKUP($E426,設定!$C:$G,4,0),"")</f>
        <v/>
      </c>
      <c r="I426" s="84" t="str">
        <f>IFERROR(VLOOKUP($E426,設定!$C:$G,5,0),"")</f>
        <v/>
      </c>
      <c r="J426" s="117"/>
      <c r="K426" s="85"/>
      <c r="L426" s="86"/>
      <c r="M426" s="86"/>
      <c r="N426" s="86"/>
      <c r="O426" s="86"/>
      <c r="P426" s="86"/>
      <c r="Q426" s="86"/>
      <c r="R426" s="86"/>
      <c r="S426" s="86"/>
      <c r="T426" s="86"/>
      <c r="U426" s="86"/>
      <c r="V426" s="86"/>
      <c r="W426" s="86"/>
      <c r="X426" s="86"/>
      <c r="Y426" s="86"/>
      <c r="Z426" s="86"/>
      <c r="AA426" s="86"/>
      <c r="AB426" s="86"/>
      <c r="AC426" s="86"/>
      <c r="AD426" s="86"/>
      <c r="AE426" s="86"/>
      <c r="AF426" s="86"/>
      <c r="AG426" s="86"/>
      <c r="AH426" s="86"/>
      <c r="AI426" s="86"/>
      <c r="AJ426" s="86"/>
      <c r="AK426" s="86"/>
      <c r="AL426" s="86"/>
      <c r="AM426" s="86"/>
      <c r="AN426" s="86"/>
      <c r="AO426" s="87"/>
      <c r="AP426" s="88">
        <f t="shared" si="6"/>
        <v>0</v>
      </c>
    </row>
    <row r="427" spans="2:42" s="3" customFormat="1" ht="24" customHeight="1" x14ac:dyDescent="0.2">
      <c r="B427" s="80"/>
      <c r="C427" s="81"/>
      <c r="D427" s="82"/>
      <c r="E427" s="83"/>
      <c r="F427" s="84" t="str">
        <f>IFERROR(VLOOKUP($E427,設定!$C:$G,2,0),"")</f>
        <v/>
      </c>
      <c r="G427" s="84" t="str">
        <f>IFERROR(VLOOKUP($E427,設定!$C:$G,3,0),"")</f>
        <v/>
      </c>
      <c r="H427" s="84" t="str">
        <f>IFERROR(VLOOKUP($E427,設定!$C:$G,4,0),"")</f>
        <v/>
      </c>
      <c r="I427" s="84" t="str">
        <f>IFERROR(VLOOKUP($E427,設定!$C:$G,5,0),"")</f>
        <v/>
      </c>
      <c r="J427" s="117"/>
      <c r="K427" s="85"/>
      <c r="L427" s="86"/>
      <c r="M427" s="86"/>
      <c r="N427" s="86"/>
      <c r="O427" s="86"/>
      <c r="P427" s="86"/>
      <c r="Q427" s="86"/>
      <c r="R427" s="86"/>
      <c r="S427" s="86"/>
      <c r="T427" s="86"/>
      <c r="U427" s="86"/>
      <c r="V427" s="86"/>
      <c r="W427" s="86"/>
      <c r="X427" s="86"/>
      <c r="Y427" s="86"/>
      <c r="Z427" s="86"/>
      <c r="AA427" s="86"/>
      <c r="AB427" s="86"/>
      <c r="AC427" s="86"/>
      <c r="AD427" s="86"/>
      <c r="AE427" s="86"/>
      <c r="AF427" s="86"/>
      <c r="AG427" s="86"/>
      <c r="AH427" s="86"/>
      <c r="AI427" s="86"/>
      <c r="AJ427" s="86"/>
      <c r="AK427" s="86"/>
      <c r="AL427" s="86"/>
      <c r="AM427" s="86"/>
      <c r="AN427" s="86"/>
      <c r="AO427" s="87"/>
      <c r="AP427" s="88">
        <f t="shared" si="6"/>
        <v>0</v>
      </c>
    </row>
    <row r="428" spans="2:42" s="3" customFormat="1" ht="24" customHeight="1" x14ac:dyDescent="0.2">
      <c r="B428" s="80"/>
      <c r="C428" s="81"/>
      <c r="D428" s="82"/>
      <c r="E428" s="83"/>
      <c r="F428" s="84" t="str">
        <f>IFERROR(VLOOKUP($E428,設定!$C:$G,2,0),"")</f>
        <v/>
      </c>
      <c r="G428" s="84" t="str">
        <f>IFERROR(VLOOKUP($E428,設定!$C:$G,3,0),"")</f>
        <v/>
      </c>
      <c r="H428" s="84" t="str">
        <f>IFERROR(VLOOKUP($E428,設定!$C:$G,4,0),"")</f>
        <v/>
      </c>
      <c r="I428" s="84" t="str">
        <f>IFERROR(VLOOKUP($E428,設定!$C:$G,5,0),"")</f>
        <v/>
      </c>
      <c r="J428" s="117"/>
      <c r="K428" s="85"/>
      <c r="L428" s="86"/>
      <c r="M428" s="86"/>
      <c r="N428" s="86"/>
      <c r="O428" s="86"/>
      <c r="P428" s="86"/>
      <c r="Q428" s="86"/>
      <c r="R428" s="86"/>
      <c r="S428" s="86"/>
      <c r="T428" s="86"/>
      <c r="U428" s="86"/>
      <c r="V428" s="86"/>
      <c r="W428" s="86"/>
      <c r="X428" s="86"/>
      <c r="Y428" s="86"/>
      <c r="Z428" s="86"/>
      <c r="AA428" s="86"/>
      <c r="AB428" s="86"/>
      <c r="AC428" s="86"/>
      <c r="AD428" s="86"/>
      <c r="AE428" s="86"/>
      <c r="AF428" s="86"/>
      <c r="AG428" s="86"/>
      <c r="AH428" s="86"/>
      <c r="AI428" s="86"/>
      <c r="AJ428" s="86"/>
      <c r="AK428" s="86"/>
      <c r="AL428" s="86"/>
      <c r="AM428" s="86"/>
      <c r="AN428" s="86"/>
      <c r="AO428" s="87"/>
      <c r="AP428" s="88">
        <f t="shared" si="6"/>
        <v>0</v>
      </c>
    </row>
    <row r="429" spans="2:42" s="3" customFormat="1" ht="24" customHeight="1" x14ac:dyDescent="0.2">
      <c r="B429" s="80"/>
      <c r="C429" s="81"/>
      <c r="D429" s="82"/>
      <c r="E429" s="83"/>
      <c r="F429" s="84" t="str">
        <f>IFERROR(VLOOKUP($E429,設定!$C:$G,2,0),"")</f>
        <v/>
      </c>
      <c r="G429" s="84" t="str">
        <f>IFERROR(VLOOKUP($E429,設定!$C:$G,3,0),"")</f>
        <v/>
      </c>
      <c r="H429" s="84" t="str">
        <f>IFERROR(VLOOKUP($E429,設定!$C:$G,4,0),"")</f>
        <v/>
      </c>
      <c r="I429" s="84" t="str">
        <f>IFERROR(VLOOKUP($E429,設定!$C:$G,5,0),"")</f>
        <v/>
      </c>
      <c r="J429" s="117"/>
      <c r="K429" s="85"/>
      <c r="L429" s="86"/>
      <c r="M429" s="86"/>
      <c r="N429" s="86"/>
      <c r="O429" s="86"/>
      <c r="P429" s="86"/>
      <c r="Q429" s="86"/>
      <c r="R429" s="86"/>
      <c r="S429" s="86"/>
      <c r="T429" s="86"/>
      <c r="U429" s="86"/>
      <c r="V429" s="86"/>
      <c r="W429" s="86"/>
      <c r="X429" s="86"/>
      <c r="Y429" s="86"/>
      <c r="Z429" s="86"/>
      <c r="AA429" s="86"/>
      <c r="AB429" s="86"/>
      <c r="AC429" s="86"/>
      <c r="AD429" s="86"/>
      <c r="AE429" s="86"/>
      <c r="AF429" s="86"/>
      <c r="AG429" s="86"/>
      <c r="AH429" s="86"/>
      <c r="AI429" s="86"/>
      <c r="AJ429" s="86"/>
      <c r="AK429" s="86"/>
      <c r="AL429" s="86"/>
      <c r="AM429" s="86"/>
      <c r="AN429" s="86"/>
      <c r="AO429" s="87"/>
      <c r="AP429" s="88">
        <f t="shared" si="6"/>
        <v>0</v>
      </c>
    </row>
    <row r="430" spans="2:42" s="3" customFormat="1" ht="24" customHeight="1" x14ac:dyDescent="0.2">
      <c r="B430" s="80"/>
      <c r="C430" s="81"/>
      <c r="D430" s="82"/>
      <c r="E430" s="83"/>
      <c r="F430" s="84" t="str">
        <f>IFERROR(VLOOKUP($E430,設定!$C:$G,2,0),"")</f>
        <v/>
      </c>
      <c r="G430" s="84" t="str">
        <f>IFERROR(VLOOKUP($E430,設定!$C:$G,3,0),"")</f>
        <v/>
      </c>
      <c r="H430" s="84" t="str">
        <f>IFERROR(VLOOKUP($E430,設定!$C:$G,4,0),"")</f>
        <v/>
      </c>
      <c r="I430" s="84" t="str">
        <f>IFERROR(VLOOKUP($E430,設定!$C:$G,5,0),"")</f>
        <v/>
      </c>
      <c r="J430" s="117"/>
      <c r="K430" s="85"/>
      <c r="L430" s="86"/>
      <c r="M430" s="86"/>
      <c r="N430" s="86"/>
      <c r="O430" s="86"/>
      <c r="P430" s="86"/>
      <c r="Q430" s="86"/>
      <c r="R430" s="86"/>
      <c r="S430" s="86"/>
      <c r="T430" s="86"/>
      <c r="U430" s="86"/>
      <c r="V430" s="86"/>
      <c r="W430" s="86"/>
      <c r="X430" s="86"/>
      <c r="Y430" s="86"/>
      <c r="Z430" s="86"/>
      <c r="AA430" s="86"/>
      <c r="AB430" s="86"/>
      <c r="AC430" s="86"/>
      <c r="AD430" s="86"/>
      <c r="AE430" s="86"/>
      <c r="AF430" s="86"/>
      <c r="AG430" s="86"/>
      <c r="AH430" s="86"/>
      <c r="AI430" s="86"/>
      <c r="AJ430" s="86"/>
      <c r="AK430" s="86"/>
      <c r="AL430" s="86"/>
      <c r="AM430" s="86"/>
      <c r="AN430" s="86"/>
      <c r="AO430" s="87"/>
      <c r="AP430" s="88">
        <f t="shared" si="6"/>
        <v>0</v>
      </c>
    </row>
    <row r="431" spans="2:42" s="3" customFormat="1" ht="24" customHeight="1" x14ac:dyDescent="0.2">
      <c r="B431" s="80"/>
      <c r="C431" s="81"/>
      <c r="D431" s="82"/>
      <c r="E431" s="83"/>
      <c r="F431" s="84" t="str">
        <f>IFERROR(VLOOKUP($E431,設定!$C:$G,2,0),"")</f>
        <v/>
      </c>
      <c r="G431" s="84" t="str">
        <f>IFERROR(VLOOKUP($E431,設定!$C:$G,3,0),"")</f>
        <v/>
      </c>
      <c r="H431" s="84" t="str">
        <f>IFERROR(VLOOKUP($E431,設定!$C:$G,4,0),"")</f>
        <v/>
      </c>
      <c r="I431" s="84" t="str">
        <f>IFERROR(VLOOKUP($E431,設定!$C:$G,5,0),"")</f>
        <v/>
      </c>
      <c r="J431" s="117"/>
      <c r="K431" s="85"/>
      <c r="L431" s="86"/>
      <c r="M431" s="86"/>
      <c r="N431" s="86"/>
      <c r="O431" s="86"/>
      <c r="P431" s="86"/>
      <c r="Q431" s="86"/>
      <c r="R431" s="86"/>
      <c r="S431" s="86"/>
      <c r="T431" s="86"/>
      <c r="U431" s="86"/>
      <c r="V431" s="86"/>
      <c r="W431" s="86"/>
      <c r="X431" s="86"/>
      <c r="Y431" s="86"/>
      <c r="Z431" s="86"/>
      <c r="AA431" s="86"/>
      <c r="AB431" s="86"/>
      <c r="AC431" s="86"/>
      <c r="AD431" s="86"/>
      <c r="AE431" s="86"/>
      <c r="AF431" s="86"/>
      <c r="AG431" s="86"/>
      <c r="AH431" s="86"/>
      <c r="AI431" s="86"/>
      <c r="AJ431" s="86"/>
      <c r="AK431" s="86"/>
      <c r="AL431" s="86"/>
      <c r="AM431" s="86"/>
      <c r="AN431" s="86"/>
      <c r="AO431" s="87"/>
      <c r="AP431" s="88">
        <f t="shared" si="6"/>
        <v>0</v>
      </c>
    </row>
    <row r="432" spans="2:42" s="3" customFormat="1" ht="24" customHeight="1" x14ac:dyDescent="0.2">
      <c r="B432" s="80"/>
      <c r="C432" s="81"/>
      <c r="D432" s="82"/>
      <c r="E432" s="83"/>
      <c r="F432" s="84" t="str">
        <f>IFERROR(VLOOKUP($E432,設定!$C:$G,2,0),"")</f>
        <v/>
      </c>
      <c r="G432" s="84" t="str">
        <f>IFERROR(VLOOKUP($E432,設定!$C:$G,3,0),"")</f>
        <v/>
      </c>
      <c r="H432" s="84" t="str">
        <f>IFERROR(VLOOKUP($E432,設定!$C:$G,4,0),"")</f>
        <v/>
      </c>
      <c r="I432" s="84" t="str">
        <f>IFERROR(VLOOKUP($E432,設定!$C:$G,5,0),"")</f>
        <v/>
      </c>
      <c r="J432" s="117"/>
      <c r="K432" s="85"/>
      <c r="L432" s="86"/>
      <c r="M432" s="86"/>
      <c r="N432" s="86"/>
      <c r="O432" s="86"/>
      <c r="P432" s="86"/>
      <c r="Q432" s="86"/>
      <c r="R432" s="86"/>
      <c r="S432" s="86"/>
      <c r="T432" s="86"/>
      <c r="U432" s="86"/>
      <c r="V432" s="86"/>
      <c r="W432" s="86"/>
      <c r="X432" s="86"/>
      <c r="Y432" s="86"/>
      <c r="Z432" s="86"/>
      <c r="AA432" s="86"/>
      <c r="AB432" s="86"/>
      <c r="AC432" s="86"/>
      <c r="AD432" s="86"/>
      <c r="AE432" s="86"/>
      <c r="AF432" s="86"/>
      <c r="AG432" s="86"/>
      <c r="AH432" s="86"/>
      <c r="AI432" s="86"/>
      <c r="AJ432" s="86"/>
      <c r="AK432" s="86"/>
      <c r="AL432" s="86"/>
      <c r="AM432" s="86"/>
      <c r="AN432" s="86"/>
      <c r="AO432" s="87"/>
      <c r="AP432" s="88">
        <f t="shared" si="6"/>
        <v>0</v>
      </c>
    </row>
    <row r="433" spans="2:42" s="3" customFormat="1" ht="24" customHeight="1" x14ac:dyDescent="0.2">
      <c r="B433" s="80"/>
      <c r="C433" s="81"/>
      <c r="D433" s="82"/>
      <c r="E433" s="83"/>
      <c r="F433" s="84" t="str">
        <f>IFERROR(VLOOKUP($E433,設定!$C:$G,2,0),"")</f>
        <v/>
      </c>
      <c r="G433" s="84" t="str">
        <f>IFERROR(VLOOKUP($E433,設定!$C:$G,3,0),"")</f>
        <v/>
      </c>
      <c r="H433" s="84" t="str">
        <f>IFERROR(VLOOKUP($E433,設定!$C:$G,4,0),"")</f>
        <v/>
      </c>
      <c r="I433" s="84" t="str">
        <f>IFERROR(VLOOKUP($E433,設定!$C:$G,5,0),"")</f>
        <v/>
      </c>
      <c r="J433" s="117"/>
      <c r="K433" s="85"/>
      <c r="L433" s="86"/>
      <c r="M433" s="86"/>
      <c r="N433" s="86"/>
      <c r="O433" s="86"/>
      <c r="P433" s="86"/>
      <c r="Q433" s="86"/>
      <c r="R433" s="86"/>
      <c r="S433" s="86"/>
      <c r="T433" s="86"/>
      <c r="U433" s="86"/>
      <c r="V433" s="86"/>
      <c r="W433" s="86"/>
      <c r="X433" s="86"/>
      <c r="Y433" s="86"/>
      <c r="Z433" s="86"/>
      <c r="AA433" s="86"/>
      <c r="AB433" s="86"/>
      <c r="AC433" s="86"/>
      <c r="AD433" s="86"/>
      <c r="AE433" s="86"/>
      <c r="AF433" s="86"/>
      <c r="AG433" s="86"/>
      <c r="AH433" s="86"/>
      <c r="AI433" s="86"/>
      <c r="AJ433" s="86"/>
      <c r="AK433" s="86"/>
      <c r="AL433" s="86"/>
      <c r="AM433" s="86"/>
      <c r="AN433" s="86"/>
      <c r="AO433" s="87"/>
      <c r="AP433" s="88">
        <f t="shared" si="6"/>
        <v>0</v>
      </c>
    </row>
    <row r="434" spans="2:42" s="3" customFormat="1" ht="24" customHeight="1" x14ac:dyDescent="0.2">
      <c r="B434" s="80"/>
      <c r="C434" s="81"/>
      <c r="D434" s="82"/>
      <c r="E434" s="83"/>
      <c r="F434" s="84" t="str">
        <f>IFERROR(VLOOKUP($E434,設定!$C:$G,2,0),"")</f>
        <v/>
      </c>
      <c r="G434" s="84" t="str">
        <f>IFERROR(VLOOKUP($E434,設定!$C:$G,3,0),"")</f>
        <v/>
      </c>
      <c r="H434" s="84" t="str">
        <f>IFERROR(VLOOKUP($E434,設定!$C:$G,4,0),"")</f>
        <v/>
      </c>
      <c r="I434" s="84" t="str">
        <f>IFERROR(VLOOKUP($E434,設定!$C:$G,5,0),"")</f>
        <v/>
      </c>
      <c r="J434" s="117"/>
      <c r="K434" s="85"/>
      <c r="L434" s="86"/>
      <c r="M434" s="86"/>
      <c r="N434" s="86"/>
      <c r="O434" s="86"/>
      <c r="P434" s="86"/>
      <c r="Q434" s="86"/>
      <c r="R434" s="86"/>
      <c r="S434" s="86"/>
      <c r="T434" s="86"/>
      <c r="U434" s="86"/>
      <c r="V434" s="86"/>
      <c r="W434" s="86"/>
      <c r="X434" s="86"/>
      <c r="Y434" s="86"/>
      <c r="Z434" s="86"/>
      <c r="AA434" s="86"/>
      <c r="AB434" s="86"/>
      <c r="AC434" s="86"/>
      <c r="AD434" s="86"/>
      <c r="AE434" s="86"/>
      <c r="AF434" s="86"/>
      <c r="AG434" s="86"/>
      <c r="AH434" s="86"/>
      <c r="AI434" s="86"/>
      <c r="AJ434" s="86"/>
      <c r="AK434" s="86"/>
      <c r="AL434" s="86"/>
      <c r="AM434" s="86"/>
      <c r="AN434" s="86"/>
      <c r="AO434" s="87"/>
      <c r="AP434" s="88">
        <f t="shared" si="6"/>
        <v>0</v>
      </c>
    </row>
    <row r="435" spans="2:42" s="3" customFormat="1" ht="24" customHeight="1" x14ac:dyDescent="0.2">
      <c r="B435" s="80"/>
      <c r="C435" s="81"/>
      <c r="D435" s="82"/>
      <c r="E435" s="83"/>
      <c r="F435" s="84" t="str">
        <f>IFERROR(VLOOKUP($E435,設定!$C:$G,2,0),"")</f>
        <v/>
      </c>
      <c r="G435" s="84" t="str">
        <f>IFERROR(VLOOKUP($E435,設定!$C:$G,3,0),"")</f>
        <v/>
      </c>
      <c r="H435" s="84" t="str">
        <f>IFERROR(VLOOKUP($E435,設定!$C:$G,4,0),"")</f>
        <v/>
      </c>
      <c r="I435" s="84" t="str">
        <f>IFERROR(VLOOKUP($E435,設定!$C:$G,5,0),"")</f>
        <v/>
      </c>
      <c r="J435" s="117"/>
      <c r="K435" s="85"/>
      <c r="L435" s="86"/>
      <c r="M435" s="86"/>
      <c r="N435" s="86"/>
      <c r="O435" s="86"/>
      <c r="P435" s="86"/>
      <c r="Q435" s="86"/>
      <c r="R435" s="86"/>
      <c r="S435" s="86"/>
      <c r="T435" s="86"/>
      <c r="U435" s="86"/>
      <c r="V435" s="86"/>
      <c r="W435" s="86"/>
      <c r="X435" s="86"/>
      <c r="Y435" s="86"/>
      <c r="Z435" s="86"/>
      <c r="AA435" s="86"/>
      <c r="AB435" s="86"/>
      <c r="AC435" s="86"/>
      <c r="AD435" s="86"/>
      <c r="AE435" s="86"/>
      <c r="AF435" s="86"/>
      <c r="AG435" s="86"/>
      <c r="AH435" s="86"/>
      <c r="AI435" s="86"/>
      <c r="AJ435" s="86"/>
      <c r="AK435" s="86"/>
      <c r="AL435" s="86"/>
      <c r="AM435" s="86"/>
      <c r="AN435" s="86"/>
      <c r="AO435" s="87"/>
      <c r="AP435" s="88">
        <f t="shared" si="6"/>
        <v>0</v>
      </c>
    </row>
    <row r="436" spans="2:42" s="3" customFormat="1" ht="24" customHeight="1" x14ac:dyDescent="0.2">
      <c r="B436" s="80"/>
      <c r="C436" s="81"/>
      <c r="D436" s="82"/>
      <c r="E436" s="83"/>
      <c r="F436" s="84" t="str">
        <f>IFERROR(VLOOKUP($E436,設定!$C:$G,2,0),"")</f>
        <v/>
      </c>
      <c r="G436" s="84" t="str">
        <f>IFERROR(VLOOKUP($E436,設定!$C:$G,3,0),"")</f>
        <v/>
      </c>
      <c r="H436" s="84" t="str">
        <f>IFERROR(VLOOKUP($E436,設定!$C:$G,4,0),"")</f>
        <v/>
      </c>
      <c r="I436" s="84" t="str">
        <f>IFERROR(VLOOKUP($E436,設定!$C:$G,5,0),"")</f>
        <v/>
      </c>
      <c r="J436" s="117"/>
      <c r="K436" s="85"/>
      <c r="L436" s="86"/>
      <c r="M436" s="86"/>
      <c r="N436" s="86"/>
      <c r="O436" s="86"/>
      <c r="P436" s="86"/>
      <c r="Q436" s="86"/>
      <c r="R436" s="86"/>
      <c r="S436" s="86"/>
      <c r="T436" s="86"/>
      <c r="U436" s="86"/>
      <c r="V436" s="86"/>
      <c r="W436" s="86"/>
      <c r="X436" s="86"/>
      <c r="Y436" s="86"/>
      <c r="Z436" s="86"/>
      <c r="AA436" s="86"/>
      <c r="AB436" s="86"/>
      <c r="AC436" s="86"/>
      <c r="AD436" s="86"/>
      <c r="AE436" s="86"/>
      <c r="AF436" s="86"/>
      <c r="AG436" s="86"/>
      <c r="AH436" s="86"/>
      <c r="AI436" s="86"/>
      <c r="AJ436" s="86"/>
      <c r="AK436" s="86"/>
      <c r="AL436" s="86"/>
      <c r="AM436" s="86"/>
      <c r="AN436" s="86"/>
      <c r="AO436" s="87"/>
      <c r="AP436" s="88">
        <f t="shared" si="6"/>
        <v>0</v>
      </c>
    </row>
    <row r="437" spans="2:42" s="3" customFormat="1" ht="24" customHeight="1" x14ac:dyDescent="0.2">
      <c r="B437" s="80"/>
      <c r="C437" s="81"/>
      <c r="D437" s="82"/>
      <c r="E437" s="83"/>
      <c r="F437" s="84" t="str">
        <f>IFERROR(VLOOKUP($E437,設定!$C:$G,2,0),"")</f>
        <v/>
      </c>
      <c r="G437" s="84" t="str">
        <f>IFERROR(VLOOKUP($E437,設定!$C:$G,3,0),"")</f>
        <v/>
      </c>
      <c r="H437" s="84" t="str">
        <f>IFERROR(VLOOKUP($E437,設定!$C:$G,4,0),"")</f>
        <v/>
      </c>
      <c r="I437" s="84" t="str">
        <f>IFERROR(VLOOKUP($E437,設定!$C:$G,5,0),"")</f>
        <v/>
      </c>
      <c r="J437" s="117"/>
      <c r="K437" s="85"/>
      <c r="L437" s="86"/>
      <c r="M437" s="86"/>
      <c r="N437" s="86"/>
      <c r="O437" s="86"/>
      <c r="P437" s="86"/>
      <c r="Q437" s="86"/>
      <c r="R437" s="86"/>
      <c r="S437" s="86"/>
      <c r="T437" s="86"/>
      <c r="U437" s="86"/>
      <c r="V437" s="86"/>
      <c r="W437" s="86"/>
      <c r="X437" s="86"/>
      <c r="Y437" s="86"/>
      <c r="Z437" s="86"/>
      <c r="AA437" s="86"/>
      <c r="AB437" s="86"/>
      <c r="AC437" s="86"/>
      <c r="AD437" s="86"/>
      <c r="AE437" s="86"/>
      <c r="AF437" s="86"/>
      <c r="AG437" s="86"/>
      <c r="AH437" s="86"/>
      <c r="AI437" s="86"/>
      <c r="AJ437" s="86"/>
      <c r="AK437" s="86"/>
      <c r="AL437" s="86"/>
      <c r="AM437" s="86"/>
      <c r="AN437" s="86"/>
      <c r="AO437" s="87"/>
      <c r="AP437" s="88">
        <f t="shared" si="6"/>
        <v>0</v>
      </c>
    </row>
    <row r="438" spans="2:42" s="3" customFormat="1" ht="24" customHeight="1" x14ac:dyDescent="0.2">
      <c r="B438" s="80"/>
      <c r="C438" s="81"/>
      <c r="D438" s="82"/>
      <c r="E438" s="83"/>
      <c r="F438" s="84" t="str">
        <f>IFERROR(VLOOKUP($E438,設定!$C:$G,2,0),"")</f>
        <v/>
      </c>
      <c r="G438" s="84" t="str">
        <f>IFERROR(VLOOKUP($E438,設定!$C:$G,3,0),"")</f>
        <v/>
      </c>
      <c r="H438" s="84" t="str">
        <f>IFERROR(VLOOKUP($E438,設定!$C:$G,4,0),"")</f>
        <v/>
      </c>
      <c r="I438" s="84" t="str">
        <f>IFERROR(VLOOKUP($E438,設定!$C:$G,5,0),"")</f>
        <v/>
      </c>
      <c r="J438" s="117"/>
      <c r="K438" s="85"/>
      <c r="L438" s="86"/>
      <c r="M438" s="86"/>
      <c r="N438" s="86"/>
      <c r="O438" s="86"/>
      <c r="P438" s="86"/>
      <c r="Q438" s="86"/>
      <c r="R438" s="86"/>
      <c r="S438" s="86"/>
      <c r="T438" s="86"/>
      <c r="U438" s="86"/>
      <c r="V438" s="86"/>
      <c r="W438" s="86"/>
      <c r="X438" s="86"/>
      <c r="Y438" s="86"/>
      <c r="Z438" s="86"/>
      <c r="AA438" s="86"/>
      <c r="AB438" s="86"/>
      <c r="AC438" s="86"/>
      <c r="AD438" s="86"/>
      <c r="AE438" s="86"/>
      <c r="AF438" s="86"/>
      <c r="AG438" s="86"/>
      <c r="AH438" s="86"/>
      <c r="AI438" s="86"/>
      <c r="AJ438" s="86"/>
      <c r="AK438" s="86"/>
      <c r="AL438" s="86"/>
      <c r="AM438" s="86"/>
      <c r="AN438" s="86"/>
      <c r="AO438" s="87"/>
      <c r="AP438" s="88">
        <f t="shared" si="6"/>
        <v>0</v>
      </c>
    </row>
    <row r="439" spans="2:42" s="3" customFormat="1" ht="24" customHeight="1" x14ac:dyDescent="0.2">
      <c r="B439" s="80"/>
      <c r="C439" s="81"/>
      <c r="D439" s="82"/>
      <c r="E439" s="83"/>
      <c r="F439" s="84" t="str">
        <f>IFERROR(VLOOKUP($E439,設定!$C:$G,2,0),"")</f>
        <v/>
      </c>
      <c r="G439" s="84" t="str">
        <f>IFERROR(VLOOKUP($E439,設定!$C:$G,3,0),"")</f>
        <v/>
      </c>
      <c r="H439" s="84" t="str">
        <f>IFERROR(VLOOKUP($E439,設定!$C:$G,4,0),"")</f>
        <v/>
      </c>
      <c r="I439" s="84" t="str">
        <f>IFERROR(VLOOKUP($E439,設定!$C:$G,5,0),"")</f>
        <v/>
      </c>
      <c r="J439" s="117"/>
      <c r="K439" s="85"/>
      <c r="L439" s="86"/>
      <c r="M439" s="86"/>
      <c r="N439" s="86"/>
      <c r="O439" s="86"/>
      <c r="P439" s="86"/>
      <c r="Q439" s="86"/>
      <c r="R439" s="86"/>
      <c r="S439" s="86"/>
      <c r="T439" s="86"/>
      <c r="U439" s="86"/>
      <c r="V439" s="86"/>
      <c r="W439" s="86"/>
      <c r="X439" s="86"/>
      <c r="Y439" s="86"/>
      <c r="Z439" s="86"/>
      <c r="AA439" s="86"/>
      <c r="AB439" s="86"/>
      <c r="AC439" s="86"/>
      <c r="AD439" s="86"/>
      <c r="AE439" s="86"/>
      <c r="AF439" s="86"/>
      <c r="AG439" s="86"/>
      <c r="AH439" s="86"/>
      <c r="AI439" s="86"/>
      <c r="AJ439" s="86"/>
      <c r="AK439" s="86"/>
      <c r="AL439" s="86"/>
      <c r="AM439" s="86"/>
      <c r="AN439" s="86"/>
      <c r="AO439" s="87"/>
      <c r="AP439" s="88">
        <f t="shared" si="6"/>
        <v>0</v>
      </c>
    </row>
    <row r="440" spans="2:42" s="3" customFormat="1" ht="24" customHeight="1" x14ac:dyDescent="0.2">
      <c r="B440" s="80"/>
      <c r="C440" s="81"/>
      <c r="D440" s="82"/>
      <c r="E440" s="83"/>
      <c r="F440" s="84" t="str">
        <f>IFERROR(VLOOKUP($E440,設定!$C:$G,2,0),"")</f>
        <v/>
      </c>
      <c r="G440" s="84" t="str">
        <f>IFERROR(VLOOKUP($E440,設定!$C:$G,3,0),"")</f>
        <v/>
      </c>
      <c r="H440" s="84" t="str">
        <f>IFERROR(VLOOKUP($E440,設定!$C:$G,4,0),"")</f>
        <v/>
      </c>
      <c r="I440" s="84" t="str">
        <f>IFERROR(VLOOKUP($E440,設定!$C:$G,5,0),"")</f>
        <v/>
      </c>
      <c r="J440" s="117"/>
      <c r="K440" s="85"/>
      <c r="L440" s="86"/>
      <c r="M440" s="86"/>
      <c r="N440" s="86"/>
      <c r="O440" s="86"/>
      <c r="P440" s="86"/>
      <c r="Q440" s="86"/>
      <c r="R440" s="86"/>
      <c r="S440" s="86"/>
      <c r="T440" s="86"/>
      <c r="U440" s="86"/>
      <c r="V440" s="86"/>
      <c r="W440" s="86"/>
      <c r="X440" s="86"/>
      <c r="Y440" s="86"/>
      <c r="Z440" s="86"/>
      <c r="AA440" s="86"/>
      <c r="AB440" s="86"/>
      <c r="AC440" s="86"/>
      <c r="AD440" s="86"/>
      <c r="AE440" s="86"/>
      <c r="AF440" s="86"/>
      <c r="AG440" s="86"/>
      <c r="AH440" s="86"/>
      <c r="AI440" s="86"/>
      <c r="AJ440" s="86"/>
      <c r="AK440" s="86"/>
      <c r="AL440" s="86"/>
      <c r="AM440" s="86"/>
      <c r="AN440" s="86"/>
      <c r="AO440" s="87"/>
      <c r="AP440" s="88">
        <f t="shared" si="6"/>
        <v>0</v>
      </c>
    </row>
    <row r="441" spans="2:42" s="3" customFormat="1" ht="24" customHeight="1" x14ac:dyDescent="0.2">
      <c r="B441" s="80"/>
      <c r="C441" s="81"/>
      <c r="D441" s="82"/>
      <c r="E441" s="83"/>
      <c r="F441" s="84" t="str">
        <f>IFERROR(VLOOKUP($E441,設定!$C:$G,2,0),"")</f>
        <v/>
      </c>
      <c r="G441" s="84" t="str">
        <f>IFERROR(VLOOKUP($E441,設定!$C:$G,3,0),"")</f>
        <v/>
      </c>
      <c r="H441" s="84" t="str">
        <f>IFERROR(VLOOKUP($E441,設定!$C:$G,4,0),"")</f>
        <v/>
      </c>
      <c r="I441" s="84" t="str">
        <f>IFERROR(VLOOKUP($E441,設定!$C:$G,5,0),"")</f>
        <v/>
      </c>
      <c r="J441" s="117"/>
      <c r="K441" s="85"/>
      <c r="L441" s="86"/>
      <c r="M441" s="86"/>
      <c r="N441" s="86"/>
      <c r="O441" s="86"/>
      <c r="P441" s="86"/>
      <c r="Q441" s="86"/>
      <c r="R441" s="86"/>
      <c r="S441" s="86"/>
      <c r="T441" s="86"/>
      <c r="U441" s="86"/>
      <c r="V441" s="86"/>
      <c r="W441" s="86"/>
      <c r="X441" s="86"/>
      <c r="Y441" s="86"/>
      <c r="Z441" s="86"/>
      <c r="AA441" s="86"/>
      <c r="AB441" s="86"/>
      <c r="AC441" s="86"/>
      <c r="AD441" s="86"/>
      <c r="AE441" s="86"/>
      <c r="AF441" s="86"/>
      <c r="AG441" s="86"/>
      <c r="AH441" s="86"/>
      <c r="AI441" s="86"/>
      <c r="AJ441" s="86"/>
      <c r="AK441" s="86"/>
      <c r="AL441" s="86"/>
      <c r="AM441" s="86"/>
      <c r="AN441" s="86"/>
      <c r="AO441" s="87"/>
      <c r="AP441" s="88">
        <f t="shared" si="6"/>
        <v>0</v>
      </c>
    </row>
    <row r="442" spans="2:42" s="3" customFormat="1" ht="24" customHeight="1" x14ac:dyDescent="0.2">
      <c r="B442" s="80"/>
      <c r="C442" s="81"/>
      <c r="D442" s="82"/>
      <c r="E442" s="83"/>
      <c r="F442" s="84" t="str">
        <f>IFERROR(VLOOKUP($E442,設定!$C:$G,2,0),"")</f>
        <v/>
      </c>
      <c r="G442" s="84" t="str">
        <f>IFERROR(VLOOKUP($E442,設定!$C:$G,3,0),"")</f>
        <v/>
      </c>
      <c r="H442" s="84" t="str">
        <f>IFERROR(VLOOKUP($E442,設定!$C:$G,4,0),"")</f>
        <v/>
      </c>
      <c r="I442" s="84" t="str">
        <f>IFERROR(VLOOKUP($E442,設定!$C:$G,5,0),"")</f>
        <v/>
      </c>
      <c r="J442" s="117"/>
      <c r="K442" s="85"/>
      <c r="L442" s="86"/>
      <c r="M442" s="86"/>
      <c r="N442" s="86"/>
      <c r="O442" s="86"/>
      <c r="P442" s="86"/>
      <c r="Q442" s="86"/>
      <c r="R442" s="86"/>
      <c r="S442" s="86"/>
      <c r="T442" s="86"/>
      <c r="U442" s="86"/>
      <c r="V442" s="86"/>
      <c r="W442" s="86"/>
      <c r="X442" s="86"/>
      <c r="Y442" s="86"/>
      <c r="Z442" s="86"/>
      <c r="AA442" s="86"/>
      <c r="AB442" s="86"/>
      <c r="AC442" s="86"/>
      <c r="AD442" s="86"/>
      <c r="AE442" s="86"/>
      <c r="AF442" s="86"/>
      <c r="AG442" s="86"/>
      <c r="AH442" s="86"/>
      <c r="AI442" s="86"/>
      <c r="AJ442" s="86"/>
      <c r="AK442" s="86"/>
      <c r="AL442" s="86"/>
      <c r="AM442" s="86"/>
      <c r="AN442" s="86"/>
      <c r="AO442" s="87"/>
      <c r="AP442" s="88">
        <f t="shared" si="6"/>
        <v>0</v>
      </c>
    </row>
    <row r="443" spans="2:42" s="3" customFormat="1" ht="24" customHeight="1" x14ac:dyDescent="0.2">
      <c r="B443" s="80"/>
      <c r="C443" s="81"/>
      <c r="D443" s="82"/>
      <c r="E443" s="83"/>
      <c r="F443" s="84" t="str">
        <f>IFERROR(VLOOKUP($E443,設定!$C:$G,2,0),"")</f>
        <v/>
      </c>
      <c r="G443" s="84" t="str">
        <f>IFERROR(VLOOKUP($E443,設定!$C:$G,3,0),"")</f>
        <v/>
      </c>
      <c r="H443" s="84" t="str">
        <f>IFERROR(VLOOKUP($E443,設定!$C:$G,4,0),"")</f>
        <v/>
      </c>
      <c r="I443" s="84" t="str">
        <f>IFERROR(VLOOKUP($E443,設定!$C:$G,5,0),"")</f>
        <v/>
      </c>
      <c r="J443" s="117"/>
      <c r="K443" s="85"/>
      <c r="L443" s="86"/>
      <c r="M443" s="86"/>
      <c r="N443" s="86"/>
      <c r="O443" s="86"/>
      <c r="P443" s="86"/>
      <c r="Q443" s="86"/>
      <c r="R443" s="86"/>
      <c r="S443" s="86"/>
      <c r="T443" s="86"/>
      <c r="U443" s="86"/>
      <c r="V443" s="86"/>
      <c r="W443" s="86"/>
      <c r="X443" s="86"/>
      <c r="Y443" s="86"/>
      <c r="Z443" s="86"/>
      <c r="AA443" s="86"/>
      <c r="AB443" s="86"/>
      <c r="AC443" s="86"/>
      <c r="AD443" s="86"/>
      <c r="AE443" s="86"/>
      <c r="AF443" s="86"/>
      <c r="AG443" s="86"/>
      <c r="AH443" s="86"/>
      <c r="AI443" s="86"/>
      <c r="AJ443" s="86"/>
      <c r="AK443" s="86"/>
      <c r="AL443" s="86"/>
      <c r="AM443" s="86"/>
      <c r="AN443" s="86"/>
      <c r="AO443" s="87"/>
      <c r="AP443" s="88">
        <f t="shared" si="6"/>
        <v>0</v>
      </c>
    </row>
    <row r="444" spans="2:42" s="3" customFormat="1" ht="24" customHeight="1" x14ac:dyDescent="0.2">
      <c r="B444" s="80"/>
      <c r="C444" s="81"/>
      <c r="D444" s="82"/>
      <c r="E444" s="83"/>
      <c r="F444" s="84" t="str">
        <f>IFERROR(VLOOKUP($E444,設定!$C:$G,2,0),"")</f>
        <v/>
      </c>
      <c r="G444" s="84" t="str">
        <f>IFERROR(VLOOKUP($E444,設定!$C:$G,3,0),"")</f>
        <v/>
      </c>
      <c r="H444" s="84" t="str">
        <f>IFERROR(VLOOKUP($E444,設定!$C:$G,4,0),"")</f>
        <v/>
      </c>
      <c r="I444" s="84" t="str">
        <f>IFERROR(VLOOKUP($E444,設定!$C:$G,5,0),"")</f>
        <v/>
      </c>
      <c r="J444" s="117"/>
      <c r="K444" s="85"/>
      <c r="L444" s="86"/>
      <c r="M444" s="86"/>
      <c r="N444" s="86"/>
      <c r="O444" s="86"/>
      <c r="P444" s="86"/>
      <c r="Q444" s="86"/>
      <c r="R444" s="86"/>
      <c r="S444" s="86"/>
      <c r="T444" s="86"/>
      <c r="U444" s="86"/>
      <c r="V444" s="86"/>
      <c r="W444" s="86"/>
      <c r="X444" s="86"/>
      <c r="Y444" s="86"/>
      <c r="Z444" s="86"/>
      <c r="AA444" s="86"/>
      <c r="AB444" s="86"/>
      <c r="AC444" s="86"/>
      <c r="AD444" s="86"/>
      <c r="AE444" s="86"/>
      <c r="AF444" s="86"/>
      <c r="AG444" s="86"/>
      <c r="AH444" s="86"/>
      <c r="AI444" s="86"/>
      <c r="AJ444" s="86"/>
      <c r="AK444" s="86"/>
      <c r="AL444" s="86"/>
      <c r="AM444" s="86"/>
      <c r="AN444" s="86"/>
      <c r="AO444" s="87"/>
      <c r="AP444" s="88">
        <f t="shared" si="6"/>
        <v>0</v>
      </c>
    </row>
    <row r="445" spans="2:42" s="3" customFormat="1" ht="24" customHeight="1" x14ac:dyDescent="0.2">
      <c r="B445" s="80"/>
      <c r="C445" s="81"/>
      <c r="D445" s="82"/>
      <c r="E445" s="83"/>
      <c r="F445" s="84" t="str">
        <f>IFERROR(VLOOKUP($E445,設定!$C:$G,2,0),"")</f>
        <v/>
      </c>
      <c r="G445" s="84" t="str">
        <f>IFERROR(VLOOKUP($E445,設定!$C:$G,3,0),"")</f>
        <v/>
      </c>
      <c r="H445" s="84" t="str">
        <f>IFERROR(VLOOKUP($E445,設定!$C:$G,4,0),"")</f>
        <v/>
      </c>
      <c r="I445" s="84" t="str">
        <f>IFERROR(VLOOKUP($E445,設定!$C:$G,5,0),"")</f>
        <v/>
      </c>
      <c r="J445" s="117"/>
      <c r="K445" s="85"/>
      <c r="L445" s="86"/>
      <c r="M445" s="86"/>
      <c r="N445" s="86"/>
      <c r="O445" s="86"/>
      <c r="P445" s="86"/>
      <c r="Q445" s="86"/>
      <c r="R445" s="86"/>
      <c r="S445" s="86"/>
      <c r="T445" s="86"/>
      <c r="U445" s="86"/>
      <c r="V445" s="86"/>
      <c r="W445" s="86"/>
      <c r="X445" s="86"/>
      <c r="Y445" s="86"/>
      <c r="Z445" s="86"/>
      <c r="AA445" s="86"/>
      <c r="AB445" s="86"/>
      <c r="AC445" s="86"/>
      <c r="AD445" s="86"/>
      <c r="AE445" s="86"/>
      <c r="AF445" s="86"/>
      <c r="AG445" s="86"/>
      <c r="AH445" s="86"/>
      <c r="AI445" s="86"/>
      <c r="AJ445" s="86"/>
      <c r="AK445" s="86"/>
      <c r="AL445" s="86"/>
      <c r="AM445" s="86"/>
      <c r="AN445" s="86"/>
      <c r="AO445" s="87"/>
      <c r="AP445" s="88">
        <f t="shared" si="6"/>
        <v>0</v>
      </c>
    </row>
    <row r="446" spans="2:42" s="3" customFormat="1" ht="24" customHeight="1" x14ac:dyDescent="0.2">
      <c r="B446" s="80"/>
      <c r="C446" s="81"/>
      <c r="D446" s="82"/>
      <c r="E446" s="83"/>
      <c r="F446" s="84" t="str">
        <f>IFERROR(VLOOKUP($E446,設定!$C:$G,2,0),"")</f>
        <v/>
      </c>
      <c r="G446" s="84" t="str">
        <f>IFERROR(VLOOKUP($E446,設定!$C:$G,3,0),"")</f>
        <v/>
      </c>
      <c r="H446" s="84" t="str">
        <f>IFERROR(VLOOKUP($E446,設定!$C:$G,4,0),"")</f>
        <v/>
      </c>
      <c r="I446" s="84" t="str">
        <f>IFERROR(VLOOKUP($E446,設定!$C:$G,5,0),"")</f>
        <v/>
      </c>
      <c r="J446" s="117"/>
      <c r="K446" s="85"/>
      <c r="L446" s="86"/>
      <c r="M446" s="86"/>
      <c r="N446" s="86"/>
      <c r="O446" s="86"/>
      <c r="P446" s="86"/>
      <c r="Q446" s="86"/>
      <c r="R446" s="86"/>
      <c r="S446" s="86"/>
      <c r="T446" s="86"/>
      <c r="U446" s="86"/>
      <c r="V446" s="86"/>
      <c r="W446" s="86"/>
      <c r="X446" s="86"/>
      <c r="Y446" s="86"/>
      <c r="Z446" s="86"/>
      <c r="AA446" s="86"/>
      <c r="AB446" s="86"/>
      <c r="AC446" s="86"/>
      <c r="AD446" s="86"/>
      <c r="AE446" s="86"/>
      <c r="AF446" s="86"/>
      <c r="AG446" s="86"/>
      <c r="AH446" s="86"/>
      <c r="AI446" s="86"/>
      <c r="AJ446" s="86"/>
      <c r="AK446" s="86"/>
      <c r="AL446" s="86"/>
      <c r="AM446" s="86"/>
      <c r="AN446" s="86"/>
      <c r="AO446" s="87"/>
      <c r="AP446" s="88">
        <f t="shared" si="6"/>
        <v>0</v>
      </c>
    </row>
    <row r="447" spans="2:42" s="3" customFormat="1" ht="24" customHeight="1" x14ac:dyDescent="0.2">
      <c r="B447" s="80"/>
      <c r="C447" s="81"/>
      <c r="D447" s="82"/>
      <c r="E447" s="83"/>
      <c r="F447" s="84" t="str">
        <f>IFERROR(VLOOKUP($E447,設定!$C:$G,2,0),"")</f>
        <v/>
      </c>
      <c r="G447" s="84" t="str">
        <f>IFERROR(VLOOKUP($E447,設定!$C:$G,3,0),"")</f>
        <v/>
      </c>
      <c r="H447" s="84" t="str">
        <f>IFERROR(VLOOKUP($E447,設定!$C:$G,4,0),"")</f>
        <v/>
      </c>
      <c r="I447" s="84" t="str">
        <f>IFERROR(VLOOKUP($E447,設定!$C:$G,5,0),"")</f>
        <v/>
      </c>
      <c r="J447" s="117"/>
      <c r="K447" s="85"/>
      <c r="L447" s="86"/>
      <c r="M447" s="86"/>
      <c r="N447" s="86"/>
      <c r="O447" s="86"/>
      <c r="P447" s="86"/>
      <c r="Q447" s="86"/>
      <c r="R447" s="86"/>
      <c r="S447" s="86"/>
      <c r="T447" s="86"/>
      <c r="U447" s="86"/>
      <c r="V447" s="86"/>
      <c r="W447" s="86"/>
      <c r="X447" s="86"/>
      <c r="Y447" s="86"/>
      <c r="Z447" s="86"/>
      <c r="AA447" s="86"/>
      <c r="AB447" s="86"/>
      <c r="AC447" s="86"/>
      <c r="AD447" s="86"/>
      <c r="AE447" s="86"/>
      <c r="AF447" s="86"/>
      <c r="AG447" s="86"/>
      <c r="AH447" s="86"/>
      <c r="AI447" s="86"/>
      <c r="AJ447" s="86"/>
      <c r="AK447" s="86"/>
      <c r="AL447" s="86"/>
      <c r="AM447" s="86"/>
      <c r="AN447" s="86"/>
      <c r="AO447" s="87"/>
      <c r="AP447" s="88">
        <f t="shared" si="6"/>
        <v>0</v>
      </c>
    </row>
    <row r="448" spans="2:42" s="3" customFormat="1" ht="24" customHeight="1" x14ac:dyDescent="0.2">
      <c r="B448" s="80"/>
      <c r="C448" s="81"/>
      <c r="D448" s="82"/>
      <c r="E448" s="83"/>
      <c r="F448" s="84" t="str">
        <f>IFERROR(VLOOKUP($E448,設定!$C:$G,2,0),"")</f>
        <v/>
      </c>
      <c r="G448" s="84" t="str">
        <f>IFERROR(VLOOKUP($E448,設定!$C:$G,3,0),"")</f>
        <v/>
      </c>
      <c r="H448" s="84" t="str">
        <f>IFERROR(VLOOKUP($E448,設定!$C:$G,4,0),"")</f>
        <v/>
      </c>
      <c r="I448" s="84" t="str">
        <f>IFERROR(VLOOKUP($E448,設定!$C:$G,5,0),"")</f>
        <v/>
      </c>
      <c r="J448" s="117"/>
      <c r="K448" s="85"/>
      <c r="L448" s="86"/>
      <c r="M448" s="86"/>
      <c r="N448" s="86"/>
      <c r="O448" s="86"/>
      <c r="P448" s="86"/>
      <c r="Q448" s="86"/>
      <c r="R448" s="86"/>
      <c r="S448" s="86"/>
      <c r="T448" s="86"/>
      <c r="U448" s="86"/>
      <c r="V448" s="86"/>
      <c r="W448" s="86"/>
      <c r="X448" s="86"/>
      <c r="Y448" s="86"/>
      <c r="Z448" s="86"/>
      <c r="AA448" s="86"/>
      <c r="AB448" s="86"/>
      <c r="AC448" s="86"/>
      <c r="AD448" s="86"/>
      <c r="AE448" s="86"/>
      <c r="AF448" s="86"/>
      <c r="AG448" s="86"/>
      <c r="AH448" s="86"/>
      <c r="AI448" s="86"/>
      <c r="AJ448" s="86"/>
      <c r="AK448" s="86"/>
      <c r="AL448" s="86"/>
      <c r="AM448" s="86"/>
      <c r="AN448" s="86"/>
      <c r="AO448" s="87"/>
      <c r="AP448" s="88">
        <f t="shared" si="6"/>
        <v>0</v>
      </c>
    </row>
    <row r="449" spans="2:42" s="3" customFormat="1" ht="24" customHeight="1" x14ac:dyDescent="0.2">
      <c r="B449" s="80"/>
      <c r="C449" s="81"/>
      <c r="D449" s="82"/>
      <c r="E449" s="83"/>
      <c r="F449" s="84" t="str">
        <f>IFERROR(VLOOKUP($E449,設定!$C:$G,2,0),"")</f>
        <v/>
      </c>
      <c r="G449" s="84" t="str">
        <f>IFERROR(VLOOKUP($E449,設定!$C:$G,3,0),"")</f>
        <v/>
      </c>
      <c r="H449" s="84" t="str">
        <f>IFERROR(VLOOKUP($E449,設定!$C:$G,4,0),"")</f>
        <v/>
      </c>
      <c r="I449" s="84" t="str">
        <f>IFERROR(VLOOKUP($E449,設定!$C:$G,5,0),"")</f>
        <v/>
      </c>
      <c r="J449" s="117"/>
      <c r="K449" s="85"/>
      <c r="L449" s="86"/>
      <c r="M449" s="86"/>
      <c r="N449" s="86"/>
      <c r="O449" s="86"/>
      <c r="P449" s="86"/>
      <c r="Q449" s="86"/>
      <c r="R449" s="86"/>
      <c r="S449" s="86"/>
      <c r="T449" s="86"/>
      <c r="U449" s="86"/>
      <c r="V449" s="86"/>
      <c r="W449" s="86"/>
      <c r="X449" s="86"/>
      <c r="Y449" s="86"/>
      <c r="Z449" s="86"/>
      <c r="AA449" s="86"/>
      <c r="AB449" s="86"/>
      <c r="AC449" s="86"/>
      <c r="AD449" s="86"/>
      <c r="AE449" s="86"/>
      <c r="AF449" s="86"/>
      <c r="AG449" s="86"/>
      <c r="AH449" s="86"/>
      <c r="AI449" s="86"/>
      <c r="AJ449" s="86"/>
      <c r="AK449" s="86"/>
      <c r="AL449" s="86"/>
      <c r="AM449" s="86"/>
      <c r="AN449" s="86"/>
      <c r="AO449" s="87"/>
      <c r="AP449" s="88">
        <f t="shared" si="6"/>
        <v>0</v>
      </c>
    </row>
    <row r="450" spans="2:42" s="3" customFormat="1" ht="24" customHeight="1" x14ac:dyDescent="0.2">
      <c r="B450" s="80"/>
      <c r="C450" s="81"/>
      <c r="D450" s="82"/>
      <c r="E450" s="83"/>
      <c r="F450" s="84" t="str">
        <f>IFERROR(VLOOKUP($E450,設定!$C:$G,2,0),"")</f>
        <v/>
      </c>
      <c r="G450" s="84" t="str">
        <f>IFERROR(VLOOKUP($E450,設定!$C:$G,3,0),"")</f>
        <v/>
      </c>
      <c r="H450" s="84" t="str">
        <f>IFERROR(VLOOKUP($E450,設定!$C:$G,4,0),"")</f>
        <v/>
      </c>
      <c r="I450" s="84" t="str">
        <f>IFERROR(VLOOKUP($E450,設定!$C:$G,5,0),"")</f>
        <v/>
      </c>
      <c r="J450" s="117"/>
      <c r="K450" s="85"/>
      <c r="L450" s="86"/>
      <c r="M450" s="86"/>
      <c r="N450" s="86"/>
      <c r="O450" s="86"/>
      <c r="P450" s="86"/>
      <c r="Q450" s="86"/>
      <c r="R450" s="86"/>
      <c r="S450" s="86"/>
      <c r="T450" s="86"/>
      <c r="U450" s="86"/>
      <c r="V450" s="86"/>
      <c r="W450" s="86"/>
      <c r="X450" s="86"/>
      <c r="Y450" s="86"/>
      <c r="Z450" s="86"/>
      <c r="AA450" s="86"/>
      <c r="AB450" s="86"/>
      <c r="AC450" s="86"/>
      <c r="AD450" s="86"/>
      <c r="AE450" s="86"/>
      <c r="AF450" s="86"/>
      <c r="AG450" s="86"/>
      <c r="AH450" s="86"/>
      <c r="AI450" s="86"/>
      <c r="AJ450" s="86"/>
      <c r="AK450" s="86"/>
      <c r="AL450" s="86"/>
      <c r="AM450" s="86"/>
      <c r="AN450" s="86"/>
      <c r="AO450" s="87"/>
      <c r="AP450" s="88">
        <f t="shared" si="6"/>
        <v>0</v>
      </c>
    </row>
    <row r="451" spans="2:42" s="3" customFormat="1" ht="24" customHeight="1" x14ac:dyDescent="0.2">
      <c r="B451" s="80"/>
      <c r="C451" s="81"/>
      <c r="D451" s="82"/>
      <c r="E451" s="83"/>
      <c r="F451" s="84" t="str">
        <f>IFERROR(VLOOKUP($E451,設定!$C:$G,2,0),"")</f>
        <v/>
      </c>
      <c r="G451" s="84" t="str">
        <f>IFERROR(VLOOKUP($E451,設定!$C:$G,3,0),"")</f>
        <v/>
      </c>
      <c r="H451" s="84" t="str">
        <f>IFERROR(VLOOKUP($E451,設定!$C:$G,4,0),"")</f>
        <v/>
      </c>
      <c r="I451" s="84" t="str">
        <f>IFERROR(VLOOKUP($E451,設定!$C:$G,5,0),"")</f>
        <v/>
      </c>
      <c r="J451" s="117"/>
      <c r="K451" s="85"/>
      <c r="L451" s="86"/>
      <c r="M451" s="86"/>
      <c r="N451" s="86"/>
      <c r="O451" s="86"/>
      <c r="P451" s="86"/>
      <c r="Q451" s="86"/>
      <c r="R451" s="86"/>
      <c r="S451" s="86"/>
      <c r="T451" s="86"/>
      <c r="U451" s="86"/>
      <c r="V451" s="86"/>
      <c r="W451" s="86"/>
      <c r="X451" s="86"/>
      <c r="Y451" s="86"/>
      <c r="Z451" s="86"/>
      <c r="AA451" s="86"/>
      <c r="AB451" s="86"/>
      <c r="AC451" s="86"/>
      <c r="AD451" s="86"/>
      <c r="AE451" s="86"/>
      <c r="AF451" s="86"/>
      <c r="AG451" s="86"/>
      <c r="AH451" s="86"/>
      <c r="AI451" s="86"/>
      <c r="AJ451" s="86"/>
      <c r="AK451" s="86"/>
      <c r="AL451" s="86"/>
      <c r="AM451" s="86"/>
      <c r="AN451" s="86"/>
      <c r="AO451" s="87"/>
      <c r="AP451" s="88">
        <f t="shared" si="6"/>
        <v>0</v>
      </c>
    </row>
    <row r="452" spans="2:42" s="3" customFormat="1" ht="24" customHeight="1" x14ac:dyDescent="0.2">
      <c r="B452" s="80"/>
      <c r="C452" s="81"/>
      <c r="D452" s="82"/>
      <c r="E452" s="83"/>
      <c r="F452" s="84" t="str">
        <f>IFERROR(VLOOKUP($E452,設定!$C:$G,2,0),"")</f>
        <v/>
      </c>
      <c r="G452" s="84" t="str">
        <f>IFERROR(VLOOKUP($E452,設定!$C:$G,3,0),"")</f>
        <v/>
      </c>
      <c r="H452" s="84" t="str">
        <f>IFERROR(VLOOKUP($E452,設定!$C:$G,4,0),"")</f>
        <v/>
      </c>
      <c r="I452" s="84" t="str">
        <f>IFERROR(VLOOKUP($E452,設定!$C:$G,5,0),"")</f>
        <v/>
      </c>
      <c r="J452" s="117"/>
      <c r="K452" s="85"/>
      <c r="L452" s="86"/>
      <c r="M452" s="86"/>
      <c r="N452" s="86"/>
      <c r="O452" s="86"/>
      <c r="P452" s="86"/>
      <c r="Q452" s="86"/>
      <c r="R452" s="86"/>
      <c r="S452" s="86"/>
      <c r="T452" s="86"/>
      <c r="U452" s="86"/>
      <c r="V452" s="86"/>
      <c r="W452" s="86"/>
      <c r="X452" s="86"/>
      <c r="Y452" s="86"/>
      <c r="Z452" s="86"/>
      <c r="AA452" s="86"/>
      <c r="AB452" s="86"/>
      <c r="AC452" s="86"/>
      <c r="AD452" s="86"/>
      <c r="AE452" s="86"/>
      <c r="AF452" s="86"/>
      <c r="AG452" s="86"/>
      <c r="AH452" s="86"/>
      <c r="AI452" s="86"/>
      <c r="AJ452" s="86"/>
      <c r="AK452" s="86"/>
      <c r="AL452" s="86"/>
      <c r="AM452" s="86"/>
      <c r="AN452" s="86"/>
      <c r="AO452" s="87"/>
      <c r="AP452" s="88">
        <f t="shared" si="6"/>
        <v>0</v>
      </c>
    </row>
    <row r="453" spans="2:42" s="3" customFormat="1" ht="24" customHeight="1" x14ac:dyDescent="0.2">
      <c r="B453" s="80"/>
      <c r="C453" s="81"/>
      <c r="D453" s="82"/>
      <c r="E453" s="83"/>
      <c r="F453" s="84" t="str">
        <f>IFERROR(VLOOKUP($E453,設定!$C:$G,2,0),"")</f>
        <v/>
      </c>
      <c r="G453" s="84" t="str">
        <f>IFERROR(VLOOKUP($E453,設定!$C:$G,3,0),"")</f>
        <v/>
      </c>
      <c r="H453" s="84" t="str">
        <f>IFERROR(VLOOKUP($E453,設定!$C:$G,4,0),"")</f>
        <v/>
      </c>
      <c r="I453" s="84" t="str">
        <f>IFERROR(VLOOKUP($E453,設定!$C:$G,5,0),"")</f>
        <v/>
      </c>
      <c r="J453" s="117"/>
      <c r="K453" s="85"/>
      <c r="L453" s="86"/>
      <c r="M453" s="86"/>
      <c r="N453" s="86"/>
      <c r="O453" s="86"/>
      <c r="P453" s="86"/>
      <c r="Q453" s="86"/>
      <c r="R453" s="86"/>
      <c r="S453" s="86"/>
      <c r="T453" s="86"/>
      <c r="U453" s="86"/>
      <c r="V453" s="86"/>
      <c r="W453" s="86"/>
      <c r="X453" s="86"/>
      <c r="Y453" s="86"/>
      <c r="Z453" s="86"/>
      <c r="AA453" s="86"/>
      <c r="AB453" s="86"/>
      <c r="AC453" s="86"/>
      <c r="AD453" s="86"/>
      <c r="AE453" s="86"/>
      <c r="AF453" s="86"/>
      <c r="AG453" s="86"/>
      <c r="AH453" s="86"/>
      <c r="AI453" s="86"/>
      <c r="AJ453" s="86"/>
      <c r="AK453" s="86"/>
      <c r="AL453" s="86"/>
      <c r="AM453" s="86"/>
      <c r="AN453" s="86"/>
      <c r="AO453" s="87"/>
      <c r="AP453" s="88">
        <f t="shared" si="6"/>
        <v>0</v>
      </c>
    </row>
    <row r="454" spans="2:42" s="3" customFormat="1" ht="24" customHeight="1" x14ac:dyDescent="0.2">
      <c r="B454" s="80"/>
      <c r="C454" s="81"/>
      <c r="D454" s="82"/>
      <c r="E454" s="83"/>
      <c r="F454" s="84" t="str">
        <f>IFERROR(VLOOKUP($E454,設定!$C:$G,2,0),"")</f>
        <v/>
      </c>
      <c r="G454" s="84" t="str">
        <f>IFERROR(VLOOKUP($E454,設定!$C:$G,3,0),"")</f>
        <v/>
      </c>
      <c r="H454" s="84" t="str">
        <f>IFERROR(VLOOKUP($E454,設定!$C:$G,4,0),"")</f>
        <v/>
      </c>
      <c r="I454" s="84" t="str">
        <f>IFERROR(VLOOKUP($E454,設定!$C:$G,5,0),"")</f>
        <v/>
      </c>
      <c r="J454" s="117"/>
      <c r="K454" s="85"/>
      <c r="L454" s="86"/>
      <c r="M454" s="86"/>
      <c r="N454" s="86"/>
      <c r="O454" s="86"/>
      <c r="P454" s="86"/>
      <c r="Q454" s="86"/>
      <c r="R454" s="86"/>
      <c r="S454" s="86"/>
      <c r="T454" s="86"/>
      <c r="U454" s="86"/>
      <c r="V454" s="86"/>
      <c r="W454" s="86"/>
      <c r="X454" s="86"/>
      <c r="Y454" s="86"/>
      <c r="Z454" s="86"/>
      <c r="AA454" s="86"/>
      <c r="AB454" s="86"/>
      <c r="AC454" s="86"/>
      <c r="AD454" s="86"/>
      <c r="AE454" s="86"/>
      <c r="AF454" s="86"/>
      <c r="AG454" s="86"/>
      <c r="AH454" s="86"/>
      <c r="AI454" s="86"/>
      <c r="AJ454" s="86"/>
      <c r="AK454" s="86"/>
      <c r="AL454" s="86"/>
      <c r="AM454" s="86"/>
      <c r="AN454" s="86"/>
      <c r="AO454" s="87"/>
      <c r="AP454" s="88">
        <f t="shared" si="6"/>
        <v>0</v>
      </c>
    </row>
    <row r="455" spans="2:42" s="3" customFormat="1" ht="24" customHeight="1" x14ac:dyDescent="0.2">
      <c r="B455" s="80"/>
      <c r="C455" s="81"/>
      <c r="D455" s="82"/>
      <c r="E455" s="83"/>
      <c r="F455" s="84" t="str">
        <f>IFERROR(VLOOKUP($E455,設定!$C:$G,2,0),"")</f>
        <v/>
      </c>
      <c r="G455" s="84" t="str">
        <f>IFERROR(VLOOKUP($E455,設定!$C:$G,3,0),"")</f>
        <v/>
      </c>
      <c r="H455" s="84" t="str">
        <f>IFERROR(VLOOKUP($E455,設定!$C:$G,4,0),"")</f>
        <v/>
      </c>
      <c r="I455" s="84" t="str">
        <f>IFERROR(VLOOKUP($E455,設定!$C:$G,5,0),"")</f>
        <v/>
      </c>
      <c r="J455" s="117"/>
      <c r="K455" s="85"/>
      <c r="L455" s="86"/>
      <c r="M455" s="86"/>
      <c r="N455" s="86"/>
      <c r="O455" s="86"/>
      <c r="P455" s="86"/>
      <c r="Q455" s="86"/>
      <c r="R455" s="86"/>
      <c r="S455" s="86"/>
      <c r="T455" s="86"/>
      <c r="U455" s="86"/>
      <c r="V455" s="86"/>
      <c r="W455" s="86"/>
      <c r="X455" s="86"/>
      <c r="Y455" s="86"/>
      <c r="Z455" s="86"/>
      <c r="AA455" s="86"/>
      <c r="AB455" s="86"/>
      <c r="AC455" s="86"/>
      <c r="AD455" s="86"/>
      <c r="AE455" s="86"/>
      <c r="AF455" s="86"/>
      <c r="AG455" s="86"/>
      <c r="AH455" s="86"/>
      <c r="AI455" s="86"/>
      <c r="AJ455" s="86"/>
      <c r="AK455" s="86"/>
      <c r="AL455" s="86"/>
      <c r="AM455" s="86"/>
      <c r="AN455" s="86"/>
      <c r="AO455" s="87"/>
      <c r="AP455" s="88">
        <f t="shared" si="6"/>
        <v>0</v>
      </c>
    </row>
    <row r="456" spans="2:42" s="3" customFormat="1" ht="24" customHeight="1" x14ac:dyDescent="0.2">
      <c r="B456" s="80"/>
      <c r="C456" s="81"/>
      <c r="D456" s="82"/>
      <c r="E456" s="83"/>
      <c r="F456" s="84" t="str">
        <f>IFERROR(VLOOKUP($E456,設定!$C:$G,2,0),"")</f>
        <v/>
      </c>
      <c r="G456" s="84" t="str">
        <f>IFERROR(VLOOKUP($E456,設定!$C:$G,3,0),"")</f>
        <v/>
      </c>
      <c r="H456" s="84" t="str">
        <f>IFERROR(VLOOKUP($E456,設定!$C:$G,4,0),"")</f>
        <v/>
      </c>
      <c r="I456" s="84" t="str">
        <f>IFERROR(VLOOKUP($E456,設定!$C:$G,5,0),"")</f>
        <v/>
      </c>
      <c r="J456" s="117"/>
      <c r="K456" s="85"/>
      <c r="L456" s="86"/>
      <c r="M456" s="86"/>
      <c r="N456" s="86"/>
      <c r="O456" s="86"/>
      <c r="P456" s="86"/>
      <c r="Q456" s="86"/>
      <c r="R456" s="86"/>
      <c r="S456" s="86"/>
      <c r="T456" s="86"/>
      <c r="U456" s="86"/>
      <c r="V456" s="86"/>
      <c r="W456" s="86"/>
      <c r="X456" s="86"/>
      <c r="Y456" s="86"/>
      <c r="Z456" s="86"/>
      <c r="AA456" s="86"/>
      <c r="AB456" s="86"/>
      <c r="AC456" s="86"/>
      <c r="AD456" s="86"/>
      <c r="AE456" s="86"/>
      <c r="AF456" s="86"/>
      <c r="AG456" s="86"/>
      <c r="AH456" s="86"/>
      <c r="AI456" s="86"/>
      <c r="AJ456" s="86"/>
      <c r="AK456" s="86"/>
      <c r="AL456" s="86"/>
      <c r="AM456" s="86"/>
      <c r="AN456" s="86"/>
      <c r="AO456" s="87"/>
      <c r="AP456" s="88">
        <f t="shared" ref="AP456:AP519" si="7">J456*SUM(K456:AO456)</f>
        <v>0</v>
      </c>
    </row>
    <row r="457" spans="2:42" s="3" customFormat="1" ht="24" customHeight="1" x14ac:dyDescent="0.2">
      <c r="B457" s="80"/>
      <c r="C457" s="81"/>
      <c r="D457" s="82"/>
      <c r="E457" s="83"/>
      <c r="F457" s="84" t="str">
        <f>IFERROR(VLOOKUP($E457,設定!$C:$G,2,0),"")</f>
        <v/>
      </c>
      <c r="G457" s="84" t="str">
        <f>IFERROR(VLOOKUP($E457,設定!$C:$G,3,0),"")</f>
        <v/>
      </c>
      <c r="H457" s="84" t="str">
        <f>IFERROR(VLOOKUP($E457,設定!$C:$G,4,0),"")</f>
        <v/>
      </c>
      <c r="I457" s="84" t="str">
        <f>IFERROR(VLOOKUP($E457,設定!$C:$G,5,0),"")</f>
        <v/>
      </c>
      <c r="J457" s="117"/>
      <c r="K457" s="85"/>
      <c r="L457" s="86"/>
      <c r="M457" s="86"/>
      <c r="N457" s="86"/>
      <c r="O457" s="86"/>
      <c r="P457" s="86"/>
      <c r="Q457" s="86"/>
      <c r="R457" s="86"/>
      <c r="S457" s="86"/>
      <c r="T457" s="86"/>
      <c r="U457" s="86"/>
      <c r="V457" s="86"/>
      <c r="W457" s="86"/>
      <c r="X457" s="86"/>
      <c r="Y457" s="86"/>
      <c r="Z457" s="86"/>
      <c r="AA457" s="86"/>
      <c r="AB457" s="86"/>
      <c r="AC457" s="86"/>
      <c r="AD457" s="86"/>
      <c r="AE457" s="86"/>
      <c r="AF457" s="86"/>
      <c r="AG457" s="86"/>
      <c r="AH457" s="86"/>
      <c r="AI457" s="86"/>
      <c r="AJ457" s="86"/>
      <c r="AK457" s="86"/>
      <c r="AL457" s="86"/>
      <c r="AM457" s="86"/>
      <c r="AN457" s="86"/>
      <c r="AO457" s="87"/>
      <c r="AP457" s="88">
        <f t="shared" si="7"/>
        <v>0</v>
      </c>
    </row>
    <row r="458" spans="2:42" s="3" customFormat="1" ht="24" customHeight="1" x14ac:dyDescent="0.2">
      <c r="B458" s="80"/>
      <c r="C458" s="81"/>
      <c r="D458" s="82"/>
      <c r="E458" s="83"/>
      <c r="F458" s="84" t="str">
        <f>IFERROR(VLOOKUP($E458,設定!$C:$G,2,0),"")</f>
        <v/>
      </c>
      <c r="G458" s="84" t="str">
        <f>IFERROR(VLOOKUP($E458,設定!$C:$G,3,0),"")</f>
        <v/>
      </c>
      <c r="H458" s="84" t="str">
        <f>IFERROR(VLOOKUP($E458,設定!$C:$G,4,0),"")</f>
        <v/>
      </c>
      <c r="I458" s="84" t="str">
        <f>IFERROR(VLOOKUP($E458,設定!$C:$G,5,0),"")</f>
        <v/>
      </c>
      <c r="J458" s="117"/>
      <c r="K458" s="85"/>
      <c r="L458" s="86"/>
      <c r="M458" s="86"/>
      <c r="N458" s="86"/>
      <c r="O458" s="86"/>
      <c r="P458" s="86"/>
      <c r="Q458" s="86"/>
      <c r="R458" s="86"/>
      <c r="S458" s="86"/>
      <c r="T458" s="86"/>
      <c r="U458" s="86"/>
      <c r="V458" s="86"/>
      <c r="W458" s="86"/>
      <c r="X458" s="86"/>
      <c r="Y458" s="86"/>
      <c r="Z458" s="86"/>
      <c r="AA458" s="86"/>
      <c r="AB458" s="86"/>
      <c r="AC458" s="86"/>
      <c r="AD458" s="86"/>
      <c r="AE458" s="86"/>
      <c r="AF458" s="86"/>
      <c r="AG458" s="86"/>
      <c r="AH458" s="86"/>
      <c r="AI458" s="86"/>
      <c r="AJ458" s="86"/>
      <c r="AK458" s="86"/>
      <c r="AL458" s="86"/>
      <c r="AM458" s="86"/>
      <c r="AN458" s="86"/>
      <c r="AO458" s="87"/>
      <c r="AP458" s="88">
        <f t="shared" si="7"/>
        <v>0</v>
      </c>
    </row>
    <row r="459" spans="2:42" s="3" customFormat="1" ht="24" customHeight="1" x14ac:dyDescent="0.2">
      <c r="B459" s="80"/>
      <c r="C459" s="81"/>
      <c r="D459" s="82"/>
      <c r="E459" s="83"/>
      <c r="F459" s="84" t="str">
        <f>IFERROR(VLOOKUP($E459,設定!$C:$G,2,0),"")</f>
        <v/>
      </c>
      <c r="G459" s="84" t="str">
        <f>IFERROR(VLOOKUP($E459,設定!$C:$G,3,0),"")</f>
        <v/>
      </c>
      <c r="H459" s="84" t="str">
        <f>IFERROR(VLOOKUP($E459,設定!$C:$G,4,0),"")</f>
        <v/>
      </c>
      <c r="I459" s="84" t="str">
        <f>IFERROR(VLOOKUP($E459,設定!$C:$G,5,0),"")</f>
        <v/>
      </c>
      <c r="J459" s="117"/>
      <c r="K459" s="85"/>
      <c r="L459" s="86"/>
      <c r="M459" s="86"/>
      <c r="N459" s="86"/>
      <c r="O459" s="86"/>
      <c r="P459" s="86"/>
      <c r="Q459" s="86"/>
      <c r="R459" s="86"/>
      <c r="S459" s="86"/>
      <c r="T459" s="86"/>
      <c r="U459" s="86"/>
      <c r="V459" s="86"/>
      <c r="W459" s="86"/>
      <c r="X459" s="86"/>
      <c r="Y459" s="86"/>
      <c r="Z459" s="86"/>
      <c r="AA459" s="86"/>
      <c r="AB459" s="86"/>
      <c r="AC459" s="86"/>
      <c r="AD459" s="86"/>
      <c r="AE459" s="86"/>
      <c r="AF459" s="86"/>
      <c r="AG459" s="86"/>
      <c r="AH459" s="86"/>
      <c r="AI459" s="86"/>
      <c r="AJ459" s="86"/>
      <c r="AK459" s="86"/>
      <c r="AL459" s="86"/>
      <c r="AM459" s="86"/>
      <c r="AN459" s="86"/>
      <c r="AO459" s="87"/>
      <c r="AP459" s="88">
        <f t="shared" si="7"/>
        <v>0</v>
      </c>
    </row>
    <row r="460" spans="2:42" s="3" customFormat="1" ht="24" customHeight="1" x14ac:dyDescent="0.2">
      <c r="B460" s="80"/>
      <c r="C460" s="81"/>
      <c r="D460" s="82"/>
      <c r="E460" s="83"/>
      <c r="F460" s="84" t="str">
        <f>IFERROR(VLOOKUP($E460,設定!$C:$G,2,0),"")</f>
        <v/>
      </c>
      <c r="G460" s="84" t="str">
        <f>IFERROR(VLOOKUP($E460,設定!$C:$G,3,0),"")</f>
        <v/>
      </c>
      <c r="H460" s="84" t="str">
        <f>IFERROR(VLOOKUP($E460,設定!$C:$G,4,0),"")</f>
        <v/>
      </c>
      <c r="I460" s="84" t="str">
        <f>IFERROR(VLOOKUP($E460,設定!$C:$G,5,0),"")</f>
        <v/>
      </c>
      <c r="J460" s="117"/>
      <c r="K460" s="85"/>
      <c r="L460" s="86"/>
      <c r="M460" s="86"/>
      <c r="N460" s="86"/>
      <c r="O460" s="86"/>
      <c r="P460" s="86"/>
      <c r="Q460" s="86"/>
      <c r="R460" s="86"/>
      <c r="S460" s="86"/>
      <c r="T460" s="86"/>
      <c r="U460" s="86"/>
      <c r="V460" s="86"/>
      <c r="W460" s="86"/>
      <c r="X460" s="86"/>
      <c r="Y460" s="86"/>
      <c r="Z460" s="86"/>
      <c r="AA460" s="86"/>
      <c r="AB460" s="86"/>
      <c r="AC460" s="86"/>
      <c r="AD460" s="86"/>
      <c r="AE460" s="86"/>
      <c r="AF460" s="86"/>
      <c r="AG460" s="86"/>
      <c r="AH460" s="86"/>
      <c r="AI460" s="86"/>
      <c r="AJ460" s="86"/>
      <c r="AK460" s="86"/>
      <c r="AL460" s="86"/>
      <c r="AM460" s="86"/>
      <c r="AN460" s="86"/>
      <c r="AO460" s="87"/>
      <c r="AP460" s="88">
        <f t="shared" si="7"/>
        <v>0</v>
      </c>
    </row>
    <row r="461" spans="2:42" s="3" customFormat="1" ht="24" customHeight="1" x14ac:dyDescent="0.2">
      <c r="B461" s="80"/>
      <c r="C461" s="81"/>
      <c r="D461" s="82"/>
      <c r="E461" s="83"/>
      <c r="F461" s="84" t="str">
        <f>IFERROR(VLOOKUP($E461,設定!$C:$G,2,0),"")</f>
        <v/>
      </c>
      <c r="G461" s="84" t="str">
        <f>IFERROR(VLOOKUP($E461,設定!$C:$G,3,0),"")</f>
        <v/>
      </c>
      <c r="H461" s="84" t="str">
        <f>IFERROR(VLOOKUP($E461,設定!$C:$G,4,0),"")</f>
        <v/>
      </c>
      <c r="I461" s="84" t="str">
        <f>IFERROR(VLOOKUP($E461,設定!$C:$G,5,0),"")</f>
        <v/>
      </c>
      <c r="J461" s="117"/>
      <c r="K461" s="85"/>
      <c r="L461" s="86"/>
      <c r="M461" s="86"/>
      <c r="N461" s="86"/>
      <c r="O461" s="86"/>
      <c r="P461" s="86"/>
      <c r="Q461" s="86"/>
      <c r="R461" s="86"/>
      <c r="S461" s="86"/>
      <c r="T461" s="86"/>
      <c r="U461" s="86"/>
      <c r="V461" s="86"/>
      <c r="W461" s="86"/>
      <c r="X461" s="86"/>
      <c r="Y461" s="86"/>
      <c r="Z461" s="86"/>
      <c r="AA461" s="86"/>
      <c r="AB461" s="86"/>
      <c r="AC461" s="86"/>
      <c r="AD461" s="86"/>
      <c r="AE461" s="86"/>
      <c r="AF461" s="86"/>
      <c r="AG461" s="86"/>
      <c r="AH461" s="86"/>
      <c r="AI461" s="86"/>
      <c r="AJ461" s="86"/>
      <c r="AK461" s="86"/>
      <c r="AL461" s="86"/>
      <c r="AM461" s="86"/>
      <c r="AN461" s="86"/>
      <c r="AO461" s="87"/>
      <c r="AP461" s="88">
        <f t="shared" si="7"/>
        <v>0</v>
      </c>
    </row>
    <row r="462" spans="2:42" s="3" customFormat="1" ht="24" customHeight="1" x14ac:dyDescent="0.2">
      <c r="B462" s="80"/>
      <c r="C462" s="81"/>
      <c r="D462" s="82"/>
      <c r="E462" s="83"/>
      <c r="F462" s="84" t="str">
        <f>IFERROR(VLOOKUP($E462,設定!$C:$G,2,0),"")</f>
        <v/>
      </c>
      <c r="G462" s="84" t="str">
        <f>IFERROR(VLOOKUP($E462,設定!$C:$G,3,0),"")</f>
        <v/>
      </c>
      <c r="H462" s="84" t="str">
        <f>IFERROR(VLOOKUP($E462,設定!$C:$G,4,0),"")</f>
        <v/>
      </c>
      <c r="I462" s="84" t="str">
        <f>IFERROR(VLOOKUP($E462,設定!$C:$G,5,0),"")</f>
        <v/>
      </c>
      <c r="J462" s="117"/>
      <c r="K462" s="85"/>
      <c r="L462" s="86"/>
      <c r="M462" s="86"/>
      <c r="N462" s="86"/>
      <c r="O462" s="86"/>
      <c r="P462" s="86"/>
      <c r="Q462" s="86"/>
      <c r="R462" s="86"/>
      <c r="S462" s="86"/>
      <c r="T462" s="86"/>
      <c r="U462" s="86"/>
      <c r="V462" s="86"/>
      <c r="W462" s="86"/>
      <c r="X462" s="86"/>
      <c r="Y462" s="86"/>
      <c r="Z462" s="86"/>
      <c r="AA462" s="86"/>
      <c r="AB462" s="86"/>
      <c r="AC462" s="86"/>
      <c r="AD462" s="86"/>
      <c r="AE462" s="86"/>
      <c r="AF462" s="86"/>
      <c r="AG462" s="86"/>
      <c r="AH462" s="86"/>
      <c r="AI462" s="86"/>
      <c r="AJ462" s="86"/>
      <c r="AK462" s="86"/>
      <c r="AL462" s="86"/>
      <c r="AM462" s="86"/>
      <c r="AN462" s="86"/>
      <c r="AO462" s="87"/>
      <c r="AP462" s="88">
        <f t="shared" si="7"/>
        <v>0</v>
      </c>
    </row>
    <row r="463" spans="2:42" s="3" customFormat="1" ht="24" customHeight="1" x14ac:dyDescent="0.2">
      <c r="B463" s="80"/>
      <c r="C463" s="81"/>
      <c r="D463" s="82"/>
      <c r="E463" s="83"/>
      <c r="F463" s="84" t="str">
        <f>IFERROR(VLOOKUP($E463,設定!$C:$G,2,0),"")</f>
        <v/>
      </c>
      <c r="G463" s="84" t="str">
        <f>IFERROR(VLOOKUP($E463,設定!$C:$G,3,0),"")</f>
        <v/>
      </c>
      <c r="H463" s="84" t="str">
        <f>IFERROR(VLOOKUP($E463,設定!$C:$G,4,0),"")</f>
        <v/>
      </c>
      <c r="I463" s="84" t="str">
        <f>IFERROR(VLOOKUP($E463,設定!$C:$G,5,0),"")</f>
        <v/>
      </c>
      <c r="J463" s="117"/>
      <c r="K463" s="85"/>
      <c r="L463" s="86"/>
      <c r="M463" s="86"/>
      <c r="N463" s="86"/>
      <c r="O463" s="86"/>
      <c r="P463" s="86"/>
      <c r="Q463" s="86"/>
      <c r="R463" s="86"/>
      <c r="S463" s="86"/>
      <c r="T463" s="86"/>
      <c r="U463" s="86"/>
      <c r="V463" s="86"/>
      <c r="W463" s="86"/>
      <c r="X463" s="86"/>
      <c r="Y463" s="86"/>
      <c r="Z463" s="86"/>
      <c r="AA463" s="86"/>
      <c r="AB463" s="86"/>
      <c r="AC463" s="86"/>
      <c r="AD463" s="86"/>
      <c r="AE463" s="86"/>
      <c r="AF463" s="86"/>
      <c r="AG463" s="86"/>
      <c r="AH463" s="86"/>
      <c r="AI463" s="86"/>
      <c r="AJ463" s="86"/>
      <c r="AK463" s="86"/>
      <c r="AL463" s="86"/>
      <c r="AM463" s="86"/>
      <c r="AN463" s="86"/>
      <c r="AO463" s="87"/>
      <c r="AP463" s="88">
        <f t="shared" si="7"/>
        <v>0</v>
      </c>
    </row>
    <row r="464" spans="2:42" s="3" customFormat="1" ht="24" customHeight="1" x14ac:dyDescent="0.2">
      <c r="B464" s="80"/>
      <c r="C464" s="81"/>
      <c r="D464" s="82"/>
      <c r="E464" s="83"/>
      <c r="F464" s="84" t="str">
        <f>IFERROR(VLOOKUP($E464,設定!$C:$G,2,0),"")</f>
        <v/>
      </c>
      <c r="G464" s="84" t="str">
        <f>IFERROR(VLOOKUP($E464,設定!$C:$G,3,0),"")</f>
        <v/>
      </c>
      <c r="H464" s="84" t="str">
        <f>IFERROR(VLOOKUP($E464,設定!$C:$G,4,0),"")</f>
        <v/>
      </c>
      <c r="I464" s="84" t="str">
        <f>IFERROR(VLOOKUP($E464,設定!$C:$G,5,0),"")</f>
        <v/>
      </c>
      <c r="J464" s="117"/>
      <c r="K464" s="85"/>
      <c r="L464" s="86"/>
      <c r="M464" s="86"/>
      <c r="N464" s="86"/>
      <c r="O464" s="86"/>
      <c r="P464" s="86"/>
      <c r="Q464" s="86"/>
      <c r="R464" s="86"/>
      <c r="S464" s="86"/>
      <c r="T464" s="86"/>
      <c r="U464" s="86"/>
      <c r="V464" s="86"/>
      <c r="W464" s="86"/>
      <c r="X464" s="86"/>
      <c r="Y464" s="86"/>
      <c r="Z464" s="86"/>
      <c r="AA464" s="86"/>
      <c r="AB464" s="86"/>
      <c r="AC464" s="86"/>
      <c r="AD464" s="86"/>
      <c r="AE464" s="86"/>
      <c r="AF464" s="86"/>
      <c r="AG464" s="86"/>
      <c r="AH464" s="86"/>
      <c r="AI464" s="86"/>
      <c r="AJ464" s="86"/>
      <c r="AK464" s="86"/>
      <c r="AL464" s="86"/>
      <c r="AM464" s="86"/>
      <c r="AN464" s="86"/>
      <c r="AO464" s="87"/>
      <c r="AP464" s="88">
        <f t="shared" si="7"/>
        <v>0</v>
      </c>
    </row>
    <row r="465" spans="2:42" s="3" customFormat="1" ht="24" customHeight="1" x14ac:dyDescent="0.2">
      <c r="B465" s="80"/>
      <c r="C465" s="81"/>
      <c r="D465" s="82"/>
      <c r="E465" s="83"/>
      <c r="F465" s="84" t="str">
        <f>IFERROR(VLOOKUP($E465,設定!$C:$G,2,0),"")</f>
        <v/>
      </c>
      <c r="G465" s="84" t="str">
        <f>IFERROR(VLOOKUP($E465,設定!$C:$G,3,0),"")</f>
        <v/>
      </c>
      <c r="H465" s="84" t="str">
        <f>IFERROR(VLOOKUP($E465,設定!$C:$G,4,0),"")</f>
        <v/>
      </c>
      <c r="I465" s="84" t="str">
        <f>IFERROR(VLOOKUP($E465,設定!$C:$G,5,0),"")</f>
        <v/>
      </c>
      <c r="J465" s="117"/>
      <c r="K465" s="85"/>
      <c r="L465" s="86"/>
      <c r="M465" s="86"/>
      <c r="N465" s="86"/>
      <c r="O465" s="86"/>
      <c r="P465" s="86"/>
      <c r="Q465" s="86"/>
      <c r="R465" s="86"/>
      <c r="S465" s="86"/>
      <c r="T465" s="86"/>
      <c r="U465" s="86"/>
      <c r="V465" s="86"/>
      <c r="W465" s="86"/>
      <c r="X465" s="86"/>
      <c r="Y465" s="86"/>
      <c r="Z465" s="86"/>
      <c r="AA465" s="86"/>
      <c r="AB465" s="86"/>
      <c r="AC465" s="86"/>
      <c r="AD465" s="86"/>
      <c r="AE465" s="86"/>
      <c r="AF465" s="86"/>
      <c r="AG465" s="86"/>
      <c r="AH465" s="86"/>
      <c r="AI465" s="86"/>
      <c r="AJ465" s="86"/>
      <c r="AK465" s="86"/>
      <c r="AL465" s="86"/>
      <c r="AM465" s="86"/>
      <c r="AN465" s="86"/>
      <c r="AO465" s="87"/>
      <c r="AP465" s="88">
        <f t="shared" si="7"/>
        <v>0</v>
      </c>
    </row>
    <row r="466" spans="2:42" s="3" customFormat="1" ht="24" customHeight="1" x14ac:dyDescent="0.2">
      <c r="B466" s="80"/>
      <c r="C466" s="81"/>
      <c r="D466" s="82"/>
      <c r="E466" s="83"/>
      <c r="F466" s="84" t="str">
        <f>IFERROR(VLOOKUP($E466,設定!$C:$G,2,0),"")</f>
        <v/>
      </c>
      <c r="G466" s="84" t="str">
        <f>IFERROR(VLOOKUP($E466,設定!$C:$G,3,0),"")</f>
        <v/>
      </c>
      <c r="H466" s="84" t="str">
        <f>IFERROR(VLOOKUP($E466,設定!$C:$G,4,0),"")</f>
        <v/>
      </c>
      <c r="I466" s="84" t="str">
        <f>IFERROR(VLOOKUP($E466,設定!$C:$G,5,0),"")</f>
        <v/>
      </c>
      <c r="J466" s="117"/>
      <c r="K466" s="85"/>
      <c r="L466" s="86"/>
      <c r="M466" s="86"/>
      <c r="N466" s="86"/>
      <c r="O466" s="86"/>
      <c r="P466" s="86"/>
      <c r="Q466" s="86"/>
      <c r="R466" s="86"/>
      <c r="S466" s="86"/>
      <c r="T466" s="86"/>
      <c r="U466" s="86"/>
      <c r="V466" s="86"/>
      <c r="W466" s="86"/>
      <c r="X466" s="86"/>
      <c r="Y466" s="86"/>
      <c r="Z466" s="86"/>
      <c r="AA466" s="86"/>
      <c r="AB466" s="86"/>
      <c r="AC466" s="86"/>
      <c r="AD466" s="86"/>
      <c r="AE466" s="86"/>
      <c r="AF466" s="86"/>
      <c r="AG466" s="86"/>
      <c r="AH466" s="86"/>
      <c r="AI466" s="86"/>
      <c r="AJ466" s="86"/>
      <c r="AK466" s="86"/>
      <c r="AL466" s="86"/>
      <c r="AM466" s="86"/>
      <c r="AN466" s="86"/>
      <c r="AO466" s="87"/>
      <c r="AP466" s="88">
        <f t="shared" si="7"/>
        <v>0</v>
      </c>
    </row>
    <row r="467" spans="2:42" s="3" customFormat="1" ht="24" customHeight="1" x14ac:dyDescent="0.2">
      <c r="B467" s="80"/>
      <c r="C467" s="81"/>
      <c r="D467" s="82"/>
      <c r="E467" s="83"/>
      <c r="F467" s="84" t="str">
        <f>IFERROR(VLOOKUP($E467,設定!$C:$G,2,0),"")</f>
        <v/>
      </c>
      <c r="G467" s="84" t="str">
        <f>IFERROR(VLOOKUP($E467,設定!$C:$G,3,0),"")</f>
        <v/>
      </c>
      <c r="H467" s="84" t="str">
        <f>IFERROR(VLOOKUP($E467,設定!$C:$G,4,0),"")</f>
        <v/>
      </c>
      <c r="I467" s="84" t="str">
        <f>IFERROR(VLOOKUP($E467,設定!$C:$G,5,0),"")</f>
        <v/>
      </c>
      <c r="J467" s="117"/>
      <c r="K467" s="85"/>
      <c r="L467" s="86"/>
      <c r="M467" s="86"/>
      <c r="N467" s="86"/>
      <c r="O467" s="86"/>
      <c r="P467" s="86"/>
      <c r="Q467" s="86"/>
      <c r="R467" s="86"/>
      <c r="S467" s="86"/>
      <c r="T467" s="86"/>
      <c r="U467" s="86"/>
      <c r="V467" s="86"/>
      <c r="W467" s="86"/>
      <c r="X467" s="86"/>
      <c r="Y467" s="86"/>
      <c r="Z467" s="86"/>
      <c r="AA467" s="86"/>
      <c r="AB467" s="86"/>
      <c r="AC467" s="86"/>
      <c r="AD467" s="86"/>
      <c r="AE467" s="86"/>
      <c r="AF467" s="86"/>
      <c r="AG467" s="86"/>
      <c r="AH467" s="86"/>
      <c r="AI467" s="86"/>
      <c r="AJ467" s="86"/>
      <c r="AK467" s="86"/>
      <c r="AL467" s="86"/>
      <c r="AM467" s="86"/>
      <c r="AN467" s="86"/>
      <c r="AO467" s="87"/>
      <c r="AP467" s="88">
        <f t="shared" si="7"/>
        <v>0</v>
      </c>
    </row>
    <row r="468" spans="2:42" s="3" customFormat="1" ht="24" customHeight="1" x14ac:dyDescent="0.2">
      <c r="B468" s="80"/>
      <c r="C468" s="81"/>
      <c r="D468" s="82"/>
      <c r="E468" s="83"/>
      <c r="F468" s="84" t="str">
        <f>IFERROR(VLOOKUP($E468,設定!$C:$G,2,0),"")</f>
        <v/>
      </c>
      <c r="G468" s="84" t="str">
        <f>IFERROR(VLOOKUP($E468,設定!$C:$G,3,0),"")</f>
        <v/>
      </c>
      <c r="H468" s="84" t="str">
        <f>IFERROR(VLOOKUP($E468,設定!$C:$G,4,0),"")</f>
        <v/>
      </c>
      <c r="I468" s="84" t="str">
        <f>IFERROR(VLOOKUP($E468,設定!$C:$G,5,0),"")</f>
        <v/>
      </c>
      <c r="J468" s="117"/>
      <c r="K468" s="85"/>
      <c r="L468" s="86"/>
      <c r="M468" s="86"/>
      <c r="N468" s="86"/>
      <c r="O468" s="86"/>
      <c r="P468" s="86"/>
      <c r="Q468" s="86"/>
      <c r="R468" s="86"/>
      <c r="S468" s="86"/>
      <c r="T468" s="86"/>
      <c r="U468" s="86"/>
      <c r="V468" s="86"/>
      <c r="W468" s="86"/>
      <c r="X468" s="86"/>
      <c r="Y468" s="86"/>
      <c r="Z468" s="86"/>
      <c r="AA468" s="86"/>
      <c r="AB468" s="86"/>
      <c r="AC468" s="86"/>
      <c r="AD468" s="86"/>
      <c r="AE468" s="86"/>
      <c r="AF468" s="86"/>
      <c r="AG468" s="86"/>
      <c r="AH468" s="86"/>
      <c r="AI468" s="86"/>
      <c r="AJ468" s="86"/>
      <c r="AK468" s="86"/>
      <c r="AL468" s="86"/>
      <c r="AM468" s="86"/>
      <c r="AN468" s="86"/>
      <c r="AO468" s="87"/>
      <c r="AP468" s="88">
        <f t="shared" si="7"/>
        <v>0</v>
      </c>
    </row>
    <row r="469" spans="2:42" s="3" customFormat="1" ht="24" customHeight="1" x14ac:dyDescent="0.2">
      <c r="B469" s="80"/>
      <c r="C469" s="81"/>
      <c r="D469" s="82"/>
      <c r="E469" s="83"/>
      <c r="F469" s="84" t="str">
        <f>IFERROR(VLOOKUP($E469,設定!$C:$G,2,0),"")</f>
        <v/>
      </c>
      <c r="G469" s="84" t="str">
        <f>IFERROR(VLOOKUP($E469,設定!$C:$G,3,0),"")</f>
        <v/>
      </c>
      <c r="H469" s="84" t="str">
        <f>IFERROR(VLOOKUP($E469,設定!$C:$G,4,0),"")</f>
        <v/>
      </c>
      <c r="I469" s="84" t="str">
        <f>IFERROR(VLOOKUP($E469,設定!$C:$G,5,0),"")</f>
        <v/>
      </c>
      <c r="J469" s="117"/>
      <c r="K469" s="85"/>
      <c r="L469" s="86"/>
      <c r="M469" s="86"/>
      <c r="N469" s="86"/>
      <c r="O469" s="86"/>
      <c r="P469" s="86"/>
      <c r="Q469" s="86"/>
      <c r="R469" s="86"/>
      <c r="S469" s="86"/>
      <c r="T469" s="86"/>
      <c r="U469" s="86"/>
      <c r="V469" s="86"/>
      <c r="W469" s="86"/>
      <c r="X469" s="86"/>
      <c r="Y469" s="86"/>
      <c r="Z469" s="86"/>
      <c r="AA469" s="86"/>
      <c r="AB469" s="86"/>
      <c r="AC469" s="86"/>
      <c r="AD469" s="86"/>
      <c r="AE469" s="86"/>
      <c r="AF469" s="86"/>
      <c r="AG469" s="86"/>
      <c r="AH469" s="86"/>
      <c r="AI469" s="86"/>
      <c r="AJ469" s="86"/>
      <c r="AK469" s="86"/>
      <c r="AL469" s="86"/>
      <c r="AM469" s="86"/>
      <c r="AN469" s="86"/>
      <c r="AO469" s="87"/>
      <c r="AP469" s="88">
        <f t="shared" si="7"/>
        <v>0</v>
      </c>
    </row>
    <row r="470" spans="2:42" s="3" customFormat="1" ht="24" customHeight="1" x14ac:dyDescent="0.2">
      <c r="B470" s="80"/>
      <c r="C470" s="81"/>
      <c r="D470" s="82"/>
      <c r="E470" s="83"/>
      <c r="F470" s="84" t="str">
        <f>IFERROR(VLOOKUP($E470,設定!$C:$G,2,0),"")</f>
        <v/>
      </c>
      <c r="G470" s="84" t="str">
        <f>IFERROR(VLOOKUP($E470,設定!$C:$G,3,0),"")</f>
        <v/>
      </c>
      <c r="H470" s="84" t="str">
        <f>IFERROR(VLOOKUP($E470,設定!$C:$G,4,0),"")</f>
        <v/>
      </c>
      <c r="I470" s="84" t="str">
        <f>IFERROR(VLOOKUP($E470,設定!$C:$G,5,0),"")</f>
        <v/>
      </c>
      <c r="J470" s="117"/>
      <c r="K470" s="85"/>
      <c r="L470" s="86"/>
      <c r="M470" s="86"/>
      <c r="N470" s="86"/>
      <c r="O470" s="86"/>
      <c r="P470" s="86"/>
      <c r="Q470" s="86"/>
      <c r="R470" s="86"/>
      <c r="S470" s="86"/>
      <c r="T470" s="86"/>
      <c r="U470" s="86"/>
      <c r="V470" s="86"/>
      <c r="W470" s="86"/>
      <c r="X470" s="86"/>
      <c r="Y470" s="86"/>
      <c r="Z470" s="86"/>
      <c r="AA470" s="86"/>
      <c r="AB470" s="86"/>
      <c r="AC470" s="86"/>
      <c r="AD470" s="86"/>
      <c r="AE470" s="86"/>
      <c r="AF470" s="86"/>
      <c r="AG470" s="86"/>
      <c r="AH470" s="86"/>
      <c r="AI470" s="86"/>
      <c r="AJ470" s="86"/>
      <c r="AK470" s="86"/>
      <c r="AL470" s="86"/>
      <c r="AM470" s="86"/>
      <c r="AN470" s="86"/>
      <c r="AO470" s="87"/>
      <c r="AP470" s="88">
        <f t="shared" si="7"/>
        <v>0</v>
      </c>
    </row>
    <row r="471" spans="2:42" s="3" customFormat="1" ht="24" customHeight="1" x14ac:dyDescent="0.2">
      <c r="B471" s="80"/>
      <c r="C471" s="81"/>
      <c r="D471" s="82"/>
      <c r="E471" s="83"/>
      <c r="F471" s="84" t="str">
        <f>IFERROR(VLOOKUP($E471,設定!$C:$G,2,0),"")</f>
        <v/>
      </c>
      <c r="G471" s="84" t="str">
        <f>IFERROR(VLOOKUP($E471,設定!$C:$G,3,0),"")</f>
        <v/>
      </c>
      <c r="H471" s="84" t="str">
        <f>IFERROR(VLOOKUP($E471,設定!$C:$G,4,0),"")</f>
        <v/>
      </c>
      <c r="I471" s="84" t="str">
        <f>IFERROR(VLOOKUP($E471,設定!$C:$G,5,0),"")</f>
        <v/>
      </c>
      <c r="J471" s="117"/>
      <c r="K471" s="85"/>
      <c r="L471" s="86"/>
      <c r="M471" s="86"/>
      <c r="N471" s="86"/>
      <c r="O471" s="86"/>
      <c r="P471" s="86"/>
      <c r="Q471" s="86"/>
      <c r="R471" s="86"/>
      <c r="S471" s="86"/>
      <c r="T471" s="86"/>
      <c r="U471" s="86"/>
      <c r="V471" s="86"/>
      <c r="W471" s="86"/>
      <c r="X471" s="86"/>
      <c r="Y471" s="86"/>
      <c r="Z471" s="86"/>
      <c r="AA471" s="86"/>
      <c r="AB471" s="86"/>
      <c r="AC471" s="86"/>
      <c r="AD471" s="86"/>
      <c r="AE471" s="86"/>
      <c r="AF471" s="86"/>
      <c r="AG471" s="86"/>
      <c r="AH471" s="86"/>
      <c r="AI471" s="86"/>
      <c r="AJ471" s="86"/>
      <c r="AK471" s="86"/>
      <c r="AL471" s="86"/>
      <c r="AM471" s="86"/>
      <c r="AN471" s="86"/>
      <c r="AO471" s="87"/>
      <c r="AP471" s="88">
        <f t="shared" si="7"/>
        <v>0</v>
      </c>
    </row>
    <row r="472" spans="2:42" s="3" customFormat="1" ht="24" customHeight="1" x14ac:dyDescent="0.2">
      <c r="B472" s="80"/>
      <c r="C472" s="81"/>
      <c r="D472" s="82"/>
      <c r="E472" s="83"/>
      <c r="F472" s="84" t="str">
        <f>IFERROR(VLOOKUP($E472,設定!$C:$G,2,0),"")</f>
        <v/>
      </c>
      <c r="G472" s="84" t="str">
        <f>IFERROR(VLOOKUP($E472,設定!$C:$G,3,0),"")</f>
        <v/>
      </c>
      <c r="H472" s="84" t="str">
        <f>IFERROR(VLOOKUP($E472,設定!$C:$G,4,0),"")</f>
        <v/>
      </c>
      <c r="I472" s="84" t="str">
        <f>IFERROR(VLOOKUP($E472,設定!$C:$G,5,0),"")</f>
        <v/>
      </c>
      <c r="J472" s="117"/>
      <c r="K472" s="85"/>
      <c r="L472" s="86"/>
      <c r="M472" s="86"/>
      <c r="N472" s="86"/>
      <c r="O472" s="86"/>
      <c r="P472" s="86"/>
      <c r="Q472" s="86"/>
      <c r="R472" s="86"/>
      <c r="S472" s="86"/>
      <c r="T472" s="86"/>
      <c r="U472" s="86"/>
      <c r="V472" s="86"/>
      <c r="W472" s="86"/>
      <c r="X472" s="86"/>
      <c r="Y472" s="86"/>
      <c r="Z472" s="86"/>
      <c r="AA472" s="86"/>
      <c r="AB472" s="86"/>
      <c r="AC472" s="86"/>
      <c r="AD472" s="86"/>
      <c r="AE472" s="86"/>
      <c r="AF472" s="86"/>
      <c r="AG472" s="86"/>
      <c r="AH472" s="86"/>
      <c r="AI472" s="86"/>
      <c r="AJ472" s="86"/>
      <c r="AK472" s="86"/>
      <c r="AL472" s="86"/>
      <c r="AM472" s="86"/>
      <c r="AN472" s="86"/>
      <c r="AO472" s="87"/>
      <c r="AP472" s="88">
        <f t="shared" si="7"/>
        <v>0</v>
      </c>
    </row>
    <row r="473" spans="2:42" s="3" customFormat="1" ht="24" customHeight="1" x14ac:dyDescent="0.2">
      <c r="B473" s="80"/>
      <c r="C473" s="81"/>
      <c r="D473" s="82"/>
      <c r="E473" s="83"/>
      <c r="F473" s="84" t="str">
        <f>IFERROR(VLOOKUP($E473,設定!$C:$G,2,0),"")</f>
        <v/>
      </c>
      <c r="G473" s="84" t="str">
        <f>IFERROR(VLOOKUP($E473,設定!$C:$G,3,0),"")</f>
        <v/>
      </c>
      <c r="H473" s="84" t="str">
        <f>IFERROR(VLOOKUP($E473,設定!$C:$G,4,0),"")</f>
        <v/>
      </c>
      <c r="I473" s="84" t="str">
        <f>IFERROR(VLOOKUP($E473,設定!$C:$G,5,0),"")</f>
        <v/>
      </c>
      <c r="J473" s="117"/>
      <c r="K473" s="85"/>
      <c r="L473" s="86"/>
      <c r="M473" s="86"/>
      <c r="N473" s="86"/>
      <c r="O473" s="86"/>
      <c r="P473" s="86"/>
      <c r="Q473" s="86"/>
      <c r="R473" s="86"/>
      <c r="S473" s="86"/>
      <c r="T473" s="86"/>
      <c r="U473" s="86"/>
      <c r="V473" s="86"/>
      <c r="W473" s="86"/>
      <c r="X473" s="86"/>
      <c r="Y473" s="86"/>
      <c r="Z473" s="86"/>
      <c r="AA473" s="86"/>
      <c r="AB473" s="86"/>
      <c r="AC473" s="86"/>
      <c r="AD473" s="86"/>
      <c r="AE473" s="86"/>
      <c r="AF473" s="86"/>
      <c r="AG473" s="86"/>
      <c r="AH473" s="86"/>
      <c r="AI473" s="86"/>
      <c r="AJ473" s="86"/>
      <c r="AK473" s="86"/>
      <c r="AL473" s="86"/>
      <c r="AM473" s="86"/>
      <c r="AN473" s="86"/>
      <c r="AO473" s="87"/>
      <c r="AP473" s="88">
        <f t="shared" si="7"/>
        <v>0</v>
      </c>
    </row>
    <row r="474" spans="2:42" s="3" customFormat="1" ht="24" customHeight="1" x14ac:dyDescent="0.2">
      <c r="B474" s="80"/>
      <c r="C474" s="81"/>
      <c r="D474" s="82"/>
      <c r="E474" s="83"/>
      <c r="F474" s="84" t="str">
        <f>IFERROR(VLOOKUP($E474,設定!$C:$G,2,0),"")</f>
        <v/>
      </c>
      <c r="G474" s="84" t="str">
        <f>IFERROR(VLOOKUP($E474,設定!$C:$G,3,0),"")</f>
        <v/>
      </c>
      <c r="H474" s="84" t="str">
        <f>IFERROR(VLOOKUP($E474,設定!$C:$G,4,0),"")</f>
        <v/>
      </c>
      <c r="I474" s="84" t="str">
        <f>IFERROR(VLOOKUP($E474,設定!$C:$G,5,0),"")</f>
        <v/>
      </c>
      <c r="J474" s="117"/>
      <c r="K474" s="85"/>
      <c r="L474" s="86"/>
      <c r="M474" s="86"/>
      <c r="N474" s="86"/>
      <c r="O474" s="86"/>
      <c r="P474" s="86"/>
      <c r="Q474" s="86"/>
      <c r="R474" s="86"/>
      <c r="S474" s="86"/>
      <c r="T474" s="86"/>
      <c r="U474" s="86"/>
      <c r="V474" s="86"/>
      <c r="W474" s="86"/>
      <c r="X474" s="86"/>
      <c r="Y474" s="86"/>
      <c r="Z474" s="86"/>
      <c r="AA474" s="86"/>
      <c r="AB474" s="86"/>
      <c r="AC474" s="86"/>
      <c r="AD474" s="86"/>
      <c r="AE474" s="86"/>
      <c r="AF474" s="86"/>
      <c r="AG474" s="86"/>
      <c r="AH474" s="86"/>
      <c r="AI474" s="86"/>
      <c r="AJ474" s="86"/>
      <c r="AK474" s="86"/>
      <c r="AL474" s="86"/>
      <c r="AM474" s="86"/>
      <c r="AN474" s="86"/>
      <c r="AO474" s="87"/>
      <c r="AP474" s="88">
        <f t="shared" si="7"/>
        <v>0</v>
      </c>
    </row>
    <row r="475" spans="2:42" s="3" customFormat="1" ht="24" customHeight="1" x14ac:dyDescent="0.2">
      <c r="B475" s="80"/>
      <c r="C475" s="81"/>
      <c r="D475" s="82"/>
      <c r="E475" s="83"/>
      <c r="F475" s="84" t="str">
        <f>IFERROR(VLOOKUP($E475,設定!$C:$G,2,0),"")</f>
        <v/>
      </c>
      <c r="G475" s="84" t="str">
        <f>IFERROR(VLOOKUP($E475,設定!$C:$G,3,0),"")</f>
        <v/>
      </c>
      <c r="H475" s="84" t="str">
        <f>IFERROR(VLOOKUP($E475,設定!$C:$G,4,0),"")</f>
        <v/>
      </c>
      <c r="I475" s="84" t="str">
        <f>IFERROR(VLOOKUP($E475,設定!$C:$G,5,0),"")</f>
        <v/>
      </c>
      <c r="J475" s="117"/>
      <c r="K475" s="85"/>
      <c r="L475" s="86"/>
      <c r="M475" s="86"/>
      <c r="N475" s="86"/>
      <c r="O475" s="86"/>
      <c r="P475" s="86"/>
      <c r="Q475" s="86"/>
      <c r="R475" s="86"/>
      <c r="S475" s="86"/>
      <c r="T475" s="86"/>
      <c r="U475" s="86"/>
      <c r="V475" s="86"/>
      <c r="W475" s="86"/>
      <c r="X475" s="86"/>
      <c r="Y475" s="86"/>
      <c r="Z475" s="86"/>
      <c r="AA475" s="86"/>
      <c r="AB475" s="86"/>
      <c r="AC475" s="86"/>
      <c r="AD475" s="86"/>
      <c r="AE475" s="86"/>
      <c r="AF475" s="86"/>
      <c r="AG475" s="86"/>
      <c r="AH475" s="86"/>
      <c r="AI475" s="86"/>
      <c r="AJ475" s="86"/>
      <c r="AK475" s="86"/>
      <c r="AL475" s="86"/>
      <c r="AM475" s="86"/>
      <c r="AN475" s="86"/>
      <c r="AO475" s="87"/>
      <c r="AP475" s="88">
        <f t="shared" si="7"/>
        <v>0</v>
      </c>
    </row>
    <row r="476" spans="2:42" s="3" customFormat="1" ht="24" customHeight="1" x14ac:dyDescent="0.2">
      <c r="B476" s="80"/>
      <c r="C476" s="81"/>
      <c r="D476" s="82"/>
      <c r="E476" s="83"/>
      <c r="F476" s="84" t="str">
        <f>IFERROR(VLOOKUP($E476,設定!$C:$G,2,0),"")</f>
        <v/>
      </c>
      <c r="G476" s="84" t="str">
        <f>IFERROR(VLOOKUP($E476,設定!$C:$G,3,0),"")</f>
        <v/>
      </c>
      <c r="H476" s="84" t="str">
        <f>IFERROR(VLOOKUP($E476,設定!$C:$G,4,0),"")</f>
        <v/>
      </c>
      <c r="I476" s="84" t="str">
        <f>IFERROR(VLOOKUP($E476,設定!$C:$G,5,0),"")</f>
        <v/>
      </c>
      <c r="J476" s="117"/>
      <c r="K476" s="85"/>
      <c r="L476" s="86"/>
      <c r="M476" s="86"/>
      <c r="N476" s="86"/>
      <c r="O476" s="86"/>
      <c r="P476" s="86"/>
      <c r="Q476" s="86"/>
      <c r="R476" s="86"/>
      <c r="S476" s="86"/>
      <c r="T476" s="86"/>
      <c r="U476" s="86"/>
      <c r="V476" s="86"/>
      <c r="W476" s="86"/>
      <c r="X476" s="86"/>
      <c r="Y476" s="86"/>
      <c r="Z476" s="86"/>
      <c r="AA476" s="86"/>
      <c r="AB476" s="86"/>
      <c r="AC476" s="86"/>
      <c r="AD476" s="86"/>
      <c r="AE476" s="86"/>
      <c r="AF476" s="86"/>
      <c r="AG476" s="86"/>
      <c r="AH476" s="86"/>
      <c r="AI476" s="86"/>
      <c r="AJ476" s="86"/>
      <c r="AK476" s="86"/>
      <c r="AL476" s="86"/>
      <c r="AM476" s="86"/>
      <c r="AN476" s="86"/>
      <c r="AO476" s="87"/>
      <c r="AP476" s="88">
        <f t="shared" si="7"/>
        <v>0</v>
      </c>
    </row>
    <row r="477" spans="2:42" s="3" customFormat="1" ht="24" customHeight="1" x14ac:dyDescent="0.2">
      <c r="B477" s="80"/>
      <c r="C477" s="81"/>
      <c r="D477" s="82"/>
      <c r="E477" s="83"/>
      <c r="F477" s="84" t="str">
        <f>IFERROR(VLOOKUP($E477,設定!$C:$G,2,0),"")</f>
        <v/>
      </c>
      <c r="G477" s="84" t="str">
        <f>IFERROR(VLOOKUP($E477,設定!$C:$G,3,0),"")</f>
        <v/>
      </c>
      <c r="H477" s="84" t="str">
        <f>IFERROR(VLOOKUP($E477,設定!$C:$G,4,0),"")</f>
        <v/>
      </c>
      <c r="I477" s="84" t="str">
        <f>IFERROR(VLOOKUP($E477,設定!$C:$G,5,0),"")</f>
        <v/>
      </c>
      <c r="J477" s="117"/>
      <c r="K477" s="85"/>
      <c r="L477" s="86"/>
      <c r="M477" s="86"/>
      <c r="N477" s="86"/>
      <c r="O477" s="86"/>
      <c r="P477" s="86"/>
      <c r="Q477" s="86"/>
      <c r="R477" s="86"/>
      <c r="S477" s="86"/>
      <c r="T477" s="86"/>
      <c r="U477" s="86"/>
      <c r="V477" s="86"/>
      <c r="W477" s="86"/>
      <c r="X477" s="86"/>
      <c r="Y477" s="86"/>
      <c r="Z477" s="86"/>
      <c r="AA477" s="86"/>
      <c r="AB477" s="86"/>
      <c r="AC477" s="86"/>
      <c r="AD477" s="86"/>
      <c r="AE477" s="86"/>
      <c r="AF477" s="86"/>
      <c r="AG477" s="86"/>
      <c r="AH477" s="86"/>
      <c r="AI477" s="86"/>
      <c r="AJ477" s="86"/>
      <c r="AK477" s="86"/>
      <c r="AL477" s="86"/>
      <c r="AM477" s="86"/>
      <c r="AN477" s="86"/>
      <c r="AO477" s="87"/>
      <c r="AP477" s="88">
        <f t="shared" si="7"/>
        <v>0</v>
      </c>
    </row>
    <row r="478" spans="2:42" s="3" customFormat="1" ht="24" customHeight="1" x14ac:dyDescent="0.2">
      <c r="B478" s="80"/>
      <c r="C478" s="81"/>
      <c r="D478" s="82"/>
      <c r="E478" s="83"/>
      <c r="F478" s="84" t="str">
        <f>IFERROR(VLOOKUP($E478,設定!$C:$G,2,0),"")</f>
        <v/>
      </c>
      <c r="G478" s="84" t="str">
        <f>IFERROR(VLOOKUP($E478,設定!$C:$G,3,0),"")</f>
        <v/>
      </c>
      <c r="H478" s="84" t="str">
        <f>IFERROR(VLOOKUP($E478,設定!$C:$G,4,0),"")</f>
        <v/>
      </c>
      <c r="I478" s="84" t="str">
        <f>IFERROR(VLOOKUP($E478,設定!$C:$G,5,0),"")</f>
        <v/>
      </c>
      <c r="J478" s="117"/>
      <c r="K478" s="85"/>
      <c r="L478" s="86"/>
      <c r="M478" s="86"/>
      <c r="N478" s="86"/>
      <c r="O478" s="86"/>
      <c r="P478" s="86"/>
      <c r="Q478" s="86"/>
      <c r="R478" s="86"/>
      <c r="S478" s="86"/>
      <c r="T478" s="86"/>
      <c r="U478" s="86"/>
      <c r="V478" s="86"/>
      <c r="W478" s="86"/>
      <c r="X478" s="86"/>
      <c r="Y478" s="86"/>
      <c r="Z478" s="86"/>
      <c r="AA478" s="86"/>
      <c r="AB478" s="86"/>
      <c r="AC478" s="86"/>
      <c r="AD478" s="86"/>
      <c r="AE478" s="86"/>
      <c r="AF478" s="86"/>
      <c r="AG478" s="86"/>
      <c r="AH478" s="86"/>
      <c r="AI478" s="86"/>
      <c r="AJ478" s="86"/>
      <c r="AK478" s="86"/>
      <c r="AL478" s="86"/>
      <c r="AM478" s="86"/>
      <c r="AN478" s="86"/>
      <c r="AO478" s="87"/>
      <c r="AP478" s="88">
        <f t="shared" si="7"/>
        <v>0</v>
      </c>
    </row>
    <row r="479" spans="2:42" s="3" customFormat="1" ht="24" customHeight="1" x14ac:dyDescent="0.2">
      <c r="B479" s="80"/>
      <c r="C479" s="81"/>
      <c r="D479" s="82"/>
      <c r="E479" s="83"/>
      <c r="F479" s="84" t="str">
        <f>IFERROR(VLOOKUP($E479,設定!$C:$G,2,0),"")</f>
        <v/>
      </c>
      <c r="G479" s="84" t="str">
        <f>IFERROR(VLOOKUP($E479,設定!$C:$G,3,0),"")</f>
        <v/>
      </c>
      <c r="H479" s="84" t="str">
        <f>IFERROR(VLOOKUP($E479,設定!$C:$G,4,0),"")</f>
        <v/>
      </c>
      <c r="I479" s="84" t="str">
        <f>IFERROR(VLOOKUP($E479,設定!$C:$G,5,0),"")</f>
        <v/>
      </c>
      <c r="J479" s="117"/>
      <c r="K479" s="85"/>
      <c r="L479" s="86"/>
      <c r="M479" s="86"/>
      <c r="N479" s="86"/>
      <c r="O479" s="86"/>
      <c r="P479" s="86"/>
      <c r="Q479" s="86"/>
      <c r="R479" s="86"/>
      <c r="S479" s="86"/>
      <c r="T479" s="86"/>
      <c r="U479" s="86"/>
      <c r="V479" s="86"/>
      <c r="W479" s="86"/>
      <c r="X479" s="86"/>
      <c r="Y479" s="86"/>
      <c r="Z479" s="86"/>
      <c r="AA479" s="86"/>
      <c r="AB479" s="86"/>
      <c r="AC479" s="86"/>
      <c r="AD479" s="86"/>
      <c r="AE479" s="86"/>
      <c r="AF479" s="86"/>
      <c r="AG479" s="86"/>
      <c r="AH479" s="86"/>
      <c r="AI479" s="86"/>
      <c r="AJ479" s="86"/>
      <c r="AK479" s="86"/>
      <c r="AL479" s="86"/>
      <c r="AM479" s="86"/>
      <c r="AN479" s="86"/>
      <c r="AO479" s="87"/>
      <c r="AP479" s="88">
        <f t="shared" si="7"/>
        <v>0</v>
      </c>
    </row>
    <row r="480" spans="2:42" s="3" customFormat="1" ht="24" customHeight="1" x14ac:dyDescent="0.2">
      <c r="B480" s="80"/>
      <c r="C480" s="81"/>
      <c r="D480" s="82"/>
      <c r="E480" s="83"/>
      <c r="F480" s="84" t="str">
        <f>IFERROR(VLOOKUP($E480,設定!$C:$G,2,0),"")</f>
        <v/>
      </c>
      <c r="G480" s="84" t="str">
        <f>IFERROR(VLOOKUP($E480,設定!$C:$G,3,0),"")</f>
        <v/>
      </c>
      <c r="H480" s="84" t="str">
        <f>IFERROR(VLOOKUP($E480,設定!$C:$G,4,0),"")</f>
        <v/>
      </c>
      <c r="I480" s="84" t="str">
        <f>IFERROR(VLOOKUP($E480,設定!$C:$G,5,0),"")</f>
        <v/>
      </c>
      <c r="J480" s="117"/>
      <c r="K480" s="85"/>
      <c r="L480" s="86"/>
      <c r="M480" s="86"/>
      <c r="N480" s="86"/>
      <c r="O480" s="86"/>
      <c r="P480" s="86"/>
      <c r="Q480" s="86"/>
      <c r="R480" s="86"/>
      <c r="S480" s="86"/>
      <c r="T480" s="86"/>
      <c r="U480" s="86"/>
      <c r="V480" s="86"/>
      <c r="W480" s="86"/>
      <c r="X480" s="86"/>
      <c r="Y480" s="86"/>
      <c r="Z480" s="86"/>
      <c r="AA480" s="86"/>
      <c r="AB480" s="86"/>
      <c r="AC480" s="86"/>
      <c r="AD480" s="86"/>
      <c r="AE480" s="86"/>
      <c r="AF480" s="86"/>
      <c r="AG480" s="86"/>
      <c r="AH480" s="86"/>
      <c r="AI480" s="86"/>
      <c r="AJ480" s="86"/>
      <c r="AK480" s="86"/>
      <c r="AL480" s="86"/>
      <c r="AM480" s="86"/>
      <c r="AN480" s="86"/>
      <c r="AO480" s="87"/>
      <c r="AP480" s="88">
        <f t="shared" si="7"/>
        <v>0</v>
      </c>
    </row>
    <row r="481" spans="2:42" s="3" customFormat="1" ht="24" customHeight="1" x14ac:dyDescent="0.2">
      <c r="B481" s="80"/>
      <c r="C481" s="81"/>
      <c r="D481" s="82"/>
      <c r="E481" s="83"/>
      <c r="F481" s="84" t="str">
        <f>IFERROR(VLOOKUP($E481,設定!$C:$G,2,0),"")</f>
        <v/>
      </c>
      <c r="G481" s="84" t="str">
        <f>IFERROR(VLOOKUP($E481,設定!$C:$G,3,0),"")</f>
        <v/>
      </c>
      <c r="H481" s="84" t="str">
        <f>IFERROR(VLOOKUP($E481,設定!$C:$G,4,0),"")</f>
        <v/>
      </c>
      <c r="I481" s="84" t="str">
        <f>IFERROR(VLOOKUP($E481,設定!$C:$G,5,0),"")</f>
        <v/>
      </c>
      <c r="J481" s="117"/>
      <c r="K481" s="85"/>
      <c r="L481" s="86"/>
      <c r="M481" s="86"/>
      <c r="N481" s="86"/>
      <c r="O481" s="86"/>
      <c r="P481" s="86"/>
      <c r="Q481" s="86"/>
      <c r="R481" s="86"/>
      <c r="S481" s="86"/>
      <c r="T481" s="86"/>
      <c r="U481" s="86"/>
      <c r="V481" s="86"/>
      <c r="W481" s="86"/>
      <c r="X481" s="86"/>
      <c r="Y481" s="86"/>
      <c r="Z481" s="86"/>
      <c r="AA481" s="86"/>
      <c r="AB481" s="86"/>
      <c r="AC481" s="86"/>
      <c r="AD481" s="86"/>
      <c r="AE481" s="86"/>
      <c r="AF481" s="86"/>
      <c r="AG481" s="86"/>
      <c r="AH481" s="86"/>
      <c r="AI481" s="86"/>
      <c r="AJ481" s="86"/>
      <c r="AK481" s="86"/>
      <c r="AL481" s="86"/>
      <c r="AM481" s="86"/>
      <c r="AN481" s="86"/>
      <c r="AO481" s="87"/>
      <c r="AP481" s="88">
        <f t="shared" si="7"/>
        <v>0</v>
      </c>
    </row>
    <row r="482" spans="2:42" s="3" customFormat="1" ht="24" customHeight="1" x14ac:dyDescent="0.2">
      <c r="B482" s="80"/>
      <c r="C482" s="81"/>
      <c r="D482" s="82"/>
      <c r="E482" s="83"/>
      <c r="F482" s="84" t="str">
        <f>IFERROR(VLOOKUP($E482,設定!$C:$G,2,0),"")</f>
        <v/>
      </c>
      <c r="G482" s="84" t="str">
        <f>IFERROR(VLOOKUP($E482,設定!$C:$G,3,0),"")</f>
        <v/>
      </c>
      <c r="H482" s="84" t="str">
        <f>IFERROR(VLOOKUP($E482,設定!$C:$G,4,0),"")</f>
        <v/>
      </c>
      <c r="I482" s="84" t="str">
        <f>IFERROR(VLOOKUP($E482,設定!$C:$G,5,0),"")</f>
        <v/>
      </c>
      <c r="J482" s="117"/>
      <c r="K482" s="85"/>
      <c r="L482" s="86"/>
      <c r="M482" s="86"/>
      <c r="N482" s="86"/>
      <c r="O482" s="86"/>
      <c r="P482" s="86"/>
      <c r="Q482" s="86"/>
      <c r="R482" s="86"/>
      <c r="S482" s="86"/>
      <c r="T482" s="86"/>
      <c r="U482" s="86"/>
      <c r="V482" s="86"/>
      <c r="W482" s="86"/>
      <c r="X482" s="86"/>
      <c r="Y482" s="86"/>
      <c r="Z482" s="86"/>
      <c r="AA482" s="86"/>
      <c r="AB482" s="86"/>
      <c r="AC482" s="86"/>
      <c r="AD482" s="86"/>
      <c r="AE482" s="86"/>
      <c r="AF482" s="86"/>
      <c r="AG482" s="86"/>
      <c r="AH482" s="86"/>
      <c r="AI482" s="86"/>
      <c r="AJ482" s="86"/>
      <c r="AK482" s="86"/>
      <c r="AL482" s="86"/>
      <c r="AM482" s="86"/>
      <c r="AN482" s="86"/>
      <c r="AO482" s="87"/>
      <c r="AP482" s="88">
        <f t="shared" si="7"/>
        <v>0</v>
      </c>
    </row>
    <row r="483" spans="2:42" s="3" customFormat="1" ht="24" customHeight="1" x14ac:dyDescent="0.2">
      <c r="B483" s="80"/>
      <c r="C483" s="81"/>
      <c r="D483" s="82"/>
      <c r="E483" s="83"/>
      <c r="F483" s="84" t="str">
        <f>IFERROR(VLOOKUP($E483,設定!$C:$G,2,0),"")</f>
        <v/>
      </c>
      <c r="G483" s="84" t="str">
        <f>IFERROR(VLOOKUP($E483,設定!$C:$G,3,0),"")</f>
        <v/>
      </c>
      <c r="H483" s="84" t="str">
        <f>IFERROR(VLOOKUP($E483,設定!$C:$G,4,0),"")</f>
        <v/>
      </c>
      <c r="I483" s="84" t="str">
        <f>IFERROR(VLOOKUP($E483,設定!$C:$G,5,0),"")</f>
        <v/>
      </c>
      <c r="J483" s="117"/>
      <c r="K483" s="85"/>
      <c r="L483" s="86"/>
      <c r="M483" s="86"/>
      <c r="N483" s="86"/>
      <c r="O483" s="86"/>
      <c r="P483" s="86"/>
      <c r="Q483" s="86"/>
      <c r="R483" s="86"/>
      <c r="S483" s="86"/>
      <c r="T483" s="86"/>
      <c r="U483" s="86"/>
      <c r="V483" s="86"/>
      <c r="W483" s="86"/>
      <c r="X483" s="86"/>
      <c r="Y483" s="86"/>
      <c r="Z483" s="86"/>
      <c r="AA483" s="86"/>
      <c r="AB483" s="86"/>
      <c r="AC483" s="86"/>
      <c r="AD483" s="86"/>
      <c r="AE483" s="86"/>
      <c r="AF483" s="86"/>
      <c r="AG483" s="86"/>
      <c r="AH483" s="86"/>
      <c r="AI483" s="86"/>
      <c r="AJ483" s="86"/>
      <c r="AK483" s="86"/>
      <c r="AL483" s="86"/>
      <c r="AM483" s="86"/>
      <c r="AN483" s="86"/>
      <c r="AO483" s="87"/>
      <c r="AP483" s="88">
        <f t="shared" si="7"/>
        <v>0</v>
      </c>
    </row>
    <row r="484" spans="2:42" s="3" customFormat="1" ht="24" customHeight="1" x14ac:dyDescent="0.2">
      <c r="B484" s="80"/>
      <c r="C484" s="81"/>
      <c r="D484" s="82"/>
      <c r="E484" s="83"/>
      <c r="F484" s="84" t="str">
        <f>IFERROR(VLOOKUP($E484,設定!$C:$G,2,0),"")</f>
        <v/>
      </c>
      <c r="G484" s="84" t="str">
        <f>IFERROR(VLOOKUP($E484,設定!$C:$G,3,0),"")</f>
        <v/>
      </c>
      <c r="H484" s="84" t="str">
        <f>IFERROR(VLOOKUP($E484,設定!$C:$G,4,0),"")</f>
        <v/>
      </c>
      <c r="I484" s="84" t="str">
        <f>IFERROR(VLOOKUP($E484,設定!$C:$G,5,0),"")</f>
        <v/>
      </c>
      <c r="J484" s="117"/>
      <c r="K484" s="85"/>
      <c r="L484" s="86"/>
      <c r="M484" s="86"/>
      <c r="N484" s="86"/>
      <c r="O484" s="86"/>
      <c r="P484" s="86"/>
      <c r="Q484" s="86"/>
      <c r="R484" s="86"/>
      <c r="S484" s="86"/>
      <c r="T484" s="86"/>
      <c r="U484" s="86"/>
      <c r="V484" s="86"/>
      <c r="W484" s="86"/>
      <c r="X484" s="86"/>
      <c r="Y484" s="86"/>
      <c r="Z484" s="86"/>
      <c r="AA484" s="86"/>
      <c r="AB484" s="86"/>
      <c r="AC484" s="86"/>
      <c r="AD484" s="86"/>
      <c r="AE484" s="86"/>
      <c r="AF484" s="86"/>
      <c r="AG484" s="86"/>
      <c r="AH484" s="86"/>
      <c r="AI484" s="86"/>
      <c r="AJ484" s="86"/>
      <c r="AK484" s="86"/>
      <c r="AL484" s="86"/>
      <c r="AM484" s="86"/>
      <c r="AN484" s="86"/>
      <c r="AO484" s="87"/>
      <c r="AP484" s="88">
        <f t="shared" si="7"/>
        <v>0</v>
      </c>
    </row>
    <row r="485" spans="2:42" s="3" customFormat="1" ht="24" customHeight="1" x14ac:dyDescent="0.2">
      <c r="B485" s="80"/>
      <c r="C485" s="81"/>
      <c r="D485" s="82"/>
      <c r="E485" s="83"/>
      <c r="F485" s="84" t="str">
        <f>IFERROR(VLOOKUP($E485,設定!$C:$G,2,0),"")</f>
        <v/>
      </c>
      <c r="G485" s="84" t="str">
        <f>IFERROR(VLOOKUP($E485,設定!$C:$G,3,0),"")</f>
        <v/>
      </c>
      <c r="H485" s="84" t="str">
        <f>IFERROR(VLOOKUP($E485,設定!$C:$G,4,0),"")</f>
        <v/>
      </c>
      <c r="I485" s="84" t="str">
        <f>IFERROR(VLOOKUP($E485,設定!$C:$G,5,0),"")</f>
        <v/>
      </c>
      <c r="J485" s="117"/>
      <c r="K485" s="85"/>
      <c r="L485" s="86"/>
      <c r="M485" s="86"/>
      <c r="N485" s="86"/>
      <c r="O485" s="86"/>
      <c r="P485" s="86"/>
      <c r="Q485" s="86"/>
      <c r="R485" s="86"/>
      <c r="S485" s="86"/>
      <c r="T485" s="86"/>
      <c r="U485" s="86"/>
      <c r="V485" s="86"/>
      <c r="W485" s="86"/>
      <c r="X485" s="86"/>
      <c r="Y485" s="86"/>
      <c r="Z485" s="86"/>
      <c r="AA485" s="86"/>
      <c r="AB485" s="86"/>
      <c r="AC485" s="86"/>
      <c r="AD485" s="86"/>
      <c r="AE485" s="86"/>
      <c r="AF485" s="86"/>
      <c r="AG485" s="86"/>
      <c r="AH485" s="86"/>
      <c r="AI485" s="86"/>
      <c r="AJ485" s="86"/>
      <c r="AK485" s="86"/>
      <c r="AL485" s="86"/>
      <c r="AM485" s="86"/>
      <c r="AN485" s="86"/>
      <c r="AO485" s="87"/>
      <c r="AP485" s="88">
        <f t="shared" si="7"/>
        <v>0</v>
      </c>
    </row>
    <row r="486" spans="2:42" s="3" customFormat="1" ht="24" customHeight="1" x14ac:dyDescent="0.2">
      <c r="B486" s="80"/>
      <c r="C486" s="81"/>
      <c r="D486" s="82"/>
      <c r="E486" s="83"/>
      <c r="F486" s="84" t="str">
        <f>IFERROR(VLOOKUP($E486,設定!$C:$G,2,0),"")</f>
        <v/>
      </c>
      <c r="G486" s="84" t="str">
        <f>IFERROR(VLOOKUP($E486,設定!$C:$G,3,0),"")</f>
        <v/>
      </c>
      <c r="H486" s="84" t="str">
        <f>IFERROR(VLOOKUP($E486,設定!$C:$G,4,0),"")</f>
        <v/>
      </c>
      <c r="I486" s="84" t="str">
        <f>IFERROR(VLOOKUP($E486,設定!$C:$G,5,0),"")</f>
        <v/>
      </c>
      <c r="J486" s="117"/>
      <c r="K486" s="85"/>
      <c r="L486" s="86"/>
      <c r="M486" s="86"/>
      <c r="N486" s="86"/>
      <c r="O486" s="86"/>
      <c r="P486" s="86"/>
      <c r="Q486" s="86"/>
      <c r="R486" s="86"/>
      <c r="S486" s="86"/>
      <c r="T486" s="86"/>
      <c r="U486" s="86"/>
      <c r="V486" s="86"/>
      <c r="W486" s="86"/>
      <c r="X486" s="86"/>
      <c r="Y486" s="86"/>
      <c r="Z486" s="86"/>
      <c r="AA486" s="86"/>
      <c r="AB486" s="86"/>
      <c r="AC486" s="86"/>
      <c r="AD486" s="86"/>
      <c r="AE486" s="86"/>
      <c r="AF486" s="86"/>
      <c r="AG486" s="86"/>
      <c r="AH486" s="86"/>
      <c r="AI486" s="86"/>
      <c r="AJ486" s="86"/>
      <c r="AK486" s="86"/>
      <c r="AL486" s="86"/>
      <c r="AM486" s="86"/>
      <c r="AN486" s="86"/>
      <c r="AO486" s="87"/>
      <c r="AP486" s="88">
        <f t="shared" si="7"/>
        <v>0</v>
      </c>
    </row>
    <row r="487" spans="2:42" s="3" customFormat="1" ht="24" customHeight="1" x14ac:dyDescent="0.2">
      <c r="B487" s="80"/>
      <c r="C487" s="81"/>
      <c r="D487" s="82"/>
      <c r="E487" s="83"/>
      <c r="F487" s="84" t="str">
        <f>IFERROR(VLOOKUP($E487,設定!$C:$G,2,0),"")</f>
        <v/>
      </c>
      <c r="G487" s="84" t="str">
        <f>IFERROR(VLOOKUP($E487,設定!$C:$G,3,0),"")</f>
        <v/>
      </c>
      <c r="H487" s="84" t="str">
        <f>IFERROR(VLOOKUP($E487,設定!$C:$G,4,0),"")</f>
        <v/>
      </c>
      <c r="I487" s="84" t="str">
        <f>IFERROR(VLOOKUP($E487,設定!$C:$G,5,0),"")</f>
        <v/>
      </c>
      <c r="J487" s="117"/>
      <c r="K487" s="85"/>
      <c r="L487" s="86"/>
      <c r="M487" s="86"/>
      <c r="N487" s="86"/>
      <c r="O487" s="86"/>
      <c r="P487" s="86"/>
      <c r="Q487" s="86"/>
      <c r="R487" s="86"/>
      <c r="S487" s="86"/>
      <c r="T487" s="86"/>
      <c r="U487" s="86"/>
      <c r="V487" s="86"/>
      <c r="W487" s="86"/>
      <c r="X487" s="86"/>
      <c r="Y487" s="86"/>
      <c r="Z487" s="86"/>
      <c r="AA487" s="86"/>
      <c r="AB487" s="86"/>
      <c r="AC487" s="86"/>
      <c r="AD487" s="86"/>
      <c r="AE487" s="86"/>
      <c r="AF487" s="86"/>
      <c r="AG487" s="86"/>
      <c r="AH487" s="86"/>
      <c r="AI487" s="86"/>
      <c r="AJ487" s="86"/>
      <c r="AK487" s="86"/>
      <c r="AL487" s="86"/>
      <c r="AM487" s="86"/>
      <c r="AN487" s="86"/>
      <c r="AO487" s="87"/>
      <c r="AP487" s="88">
        <f t="shared" si="7"/>
        <v>0</v>
      </c>
    </row>
    <row r="488" spans="2:42" s="3" customFormat="1" ht="24" customHeight="1" x14ac:dyDescent="0.2">
      <c r="B488" s="80"/>
      <c r="C488" s="81"/>
      <c r="D488" s="82"/>
      <c r="E488" s="83"/>
      <c r="F488" s="84" t="str">
        <f>IFERROR(VLOOKUP($E488,設定!$C:$G,2,0),"")</f>
        <v/>
      </c>
      <c r="G488" s="84" t="str">
        <f>IFERROR(VLOOKUP($E488,設定!$C:$G,3,0),"")</f>
        <v/>
      </c>
      <c r="H488" s="84" t="str">
        <f>IFERROR(VLOOKUP($E488,設定!$C:$G,4,0),"")</f>
        <v/>
      </c>
      <c r="I488" s="84" t="str">
        <f>IFERROR(VLOOKUP($E488,設定!$C:$G,5,0),"")</f>
        <v/>
      </c>
      <c r="J488" s="117"/>
      <c r="K488" s="85"/>
      <c r="L488" s="86"/>
      <c r="M488" s="86"/>
      <c r="N488" s="86"/>
      <c r="O488" s="86"/>
      <c r="P488" s="86"/>
      <c r="Q488" s="86"/>
      <c r="R488" s="86"/>
      <c r="S488" s="86"/>
      <c r="T488" s="86"/>
      <c r="U488" s="86"/>
      <c r="V488" s="86"/>
      <c r="W488" s="86"/>
      <c r="X488" s="86"/>
      <c r="Y488" s="86"/>
      <c r="Z488" s="86"/>
      <c r="AA488" s="86"/>
      <c r="AB488" s="86"/>
      <c r="AC488" s="86"/>
      <c r="AD488" s="86"/>
      <c r="AE488" s="86"/>
      <c r="AF488" s="86"/>
      <c r="AG488" s="86"/>
      <c r="AH488" s="86"/>
      <c r="AI488" s="86"/>
      <c r="AJ488" s="86"/>
      <c r="AK488" s="86"/>
      <c r="AL488" s="86"/>
      <c r="AM488" s="86"/>
      <c r="AN488" s="86"/>
      <c r="AO488" s="87"/>
      <c r="AP488" s="88">
        <f t="shared" si="7"/>
        <v>0</v>
      </c>
    </row>
    <row r="489" spans="2:42" s="3" customFormat="1" ht="24" customHeight="1" x14ac:dyDescent="0.2">
      <c r="B489" s="80"/>
      <c r="C489" s="81"/>
      <c r="D489" s="82"/>
      <c r="E489" s="83"/>
      <c r="F489" s="84" t="str">
        <f>IFERROR(VLOOKUP($E489,設定!$C:$G,2,0),"")</f>
        <v/>
      </c>
      <c r="G489" s="84" t="str">
        <f>IFERROR(VLOOKUP($E489,設定!$C:$G,3,0),"")</f>
        <v/>
      </c>
      <c r="H489" s="84" t="str">
        <f>IFERROR(VLOOKUP($E489,設定!$C:$G,4,0),"")</f>
        <v/>
      </c>
      <c r="I489" s="84" t="str">
        <f>IFERROR(VLOOKUP($E489,設定!$C:$G,5,0),"")</f>
        <v/>
      </c>
      <c r="J489" s="117"/>
      <c r="K489" s="85"/>
      <c r="L489" s="86"/>
      <c r="M489" s="86"/>
      <c r="N489" s="86"/>
      <c r="O489" s="86"/>
      <c r="P489" s="86"/>
      <c r="Q489" s="86"/>
      <c r="R489" s="86"/>
      <c r="S489" s="86"/>
      <c r="T489" s="86"/>
      <c r="U489" s="86"/>
      <c r="V489" s="86"/>
      <c r="W489" s="86"/>
      <c r="X489" s="86"/>
      <c r="Y489" s="86"/>
      <c r="Z489" s="86"/>
      <c r="AA489" s="86"/>
      <c r="AB489" s="86"/>
      <c r="AC489" s="86"/>
      <c r="AD489" s="86"/>
      <c r="AE489" s="86"/>
      <c r="AF489" s="86"/>
      <c r="AG489" s="86"/>
      <c r="AH489" s="86"/>
      <c r="AI489" s="86"/>
      <c r="AJ489" s="86"/>
      <c r="AK489" s="86"/>
      <c r="AL489" s="86"/>
      <c r="AM489" s="86"/>
      <c r="AN489" s="86"/>
      <c r="AO489" s="87"/>
      <c r="AP489" s="88">
        <f t="shared" si="7"/>
        <v>0</v>
      </c>
    </row>
    <row r="490" spans="2:42" s="3" customFormat="1" ht="24" customHeight="1" x14ac:dyDescent="0.2">
      <c r="B490" s="80"/>
      <c r="C490" s="81"/>
      <c r="D490" s="82"/>
      <c r="E490" s="83"/>
      <c r="F490" s="84" t="str">
        <f>IFERROR(VLOOKUP($E490,設定!$C:$G,2,0),"")</f>
        <v/>
      </c>
      <c r="G490" s="84" t="str">
        <f>IFERROR(VLOOKUP($E490,設定!$C:$G,3,0),"")</f>
        <v/>
      </c>
      <c r="H490" s="84" t="str">
        <f>IFERROR(VLOOKUP($E490,設定!$C:$G,4,0),"")</f>
        <v/>
      </c>
      <c r="I490" s="84" t="str">
        <f>IFERROR(VLOOKUP($E490,設定!$C:$G,5,0),"")</f>
        <v/>
      </c>
      <c r="J490" s="117"/>
      <c r="K490" s="85"/>
      <c r="L490" s="86"/>
      <c r="M490" s="86"/>
      <c r="N490" s="86"/>
      <c r="O490" s="86"/>
      <c r="P490" s="86"/>
      <c r="Q490" s="86"/>
      <c r="R490" s="86"/>
      <c r="S490" s="86"/>
      <c r="T490" s="86"/>
      <c r="U490" s="86"/>
      <c r="V490" s="86"/>
      <c r="W490" s="86"/>
      <c r="X490" s="86"/>
      <c r="Y490" s="86"/>
      <c r="Z490" s="86"/>
      <c r="AA490" s="86"/>
      <c r="AB490" s="86"/>
      <c r="AC490" s="86"/>
      <c r="AD490" s="86"/>
      <c r="AE490" s="86"/>
      <c r="AF490" s="86"/>
      <c r="AG490" s="86"/>
      <c r="AH490" s="86"/>
      <c r="AI490" s="86"/>
      <c r="AJ490" s="86"/>
      <c r="AK490" s="86"/>
      <c r="AL490" s="86"/>
      <c r="AM490" s="86"/>
      <c r="AN490" s="86"/>
      <c r="AO490" s="87"/>
      <c r="AP490" s="88">
        <f t="shared" si="7"/>
        <v>0</v>
      </c>
    </row>
    <row r="491" spans="2:42" s="3" customFormat="1" ht="24" customHeight="1" x14ac:dyDescent="0.2">
      <c r="B491" s="80"/>
      <c r="C491" s="81"/>
      <c r="D491" s="82"/>
      <c r="E491" s="83"/>
      <c r="F491" s="84" t="str">
        <f>IFERROR(VLOOKUP($E491,設定!$C:$G,2,0),"")</f>
        <v/>
      </c>
      <c r="G491" s="84" t="str">
        <f>IFERROR(VLOOKUP($E491,設定!$C:$G,3,0),"")</f>
        <v/>
      </c>
      <c r="H491" s="84" t="str">
        <f>IFERROR(VLOOKUP($E491,設定!$C:$G,4,0),"")</f>
        <v/>
      </c>
      <c r="I491" s="84" t="str">
        <f>IFERROR(VLOOKUP($E491,設定!$C:$G,5,0),"")</f>
        <v/>
      </c>
      <c r="J491" s="117"/>
      <c r="K491" s="85"/>
      <c r="L491" s="86"/>
      <c r="M491" s="86"/>
      <c r="N491" s="86"/>
      <c r="O491" s="86"/>
      <c r="P491" s="86"/>
      <c r="Q491" s="86"/>
      <c r="R491" s="86"/>
      <c r="S491" s="86"/>
      <c r="T491" s="86"/>
      <c r="U491" s="86"/>
      <c r="V491" s="86"/>
      <c r="W491" s="86"/>
      <c r="X491" s="86"/>
      <c r="Y491" s="86"/>
      <c r="Z491" s="86"/>
      <c r="AA491" s="86"/>
      <c r="AB491" s="86"/>
      <c r="AC491" s="86"/>
      <c r="AD491" s="86"/>
      <c r="AE491" s="86"/>
      <c r="AF491" s="86"/>
      <c r="AG491" s="86"/>
      <c r="AH491" s="86"/>
      <c r="AI491" s="86"/>
      <c r="AJ491" s="86"/>
      <c r="AK491" s="86"/>
      <c r="AL491" s="86"/>
      <c r="AM491" s="86"/>
      <c r="AN491" s="86"/>
      <c r="AO491" s="87"/>
      <c r="AP491" s="88">
        <f t="shared" si="7"/>
        <v>0</v>
      </c>
    </row>
    <row r="492" spans="2:42" s="3" customFormat="1" ht="24" customHeight="1" x14ac:dyDescent="0.2">
      <c r="B492" s="80"/>
      <c r="C492" s="81"/>
      <c r="D492" s="82"/>
      <c r="E492" s="83"/>
      <c r="F492" s="84" t="str">
        <f>IFERROR(VLOOKUP($E492,設定!$C:$G,2,0),"")</f>
        <v/>
      </c>
      <c r="G492" s="84" t="str">
        <f>IFERROR(VLOOKUP($E492,設定!$C:$G,3,0),"")</f>
        <v/>
      </c>
      <c r="H492" s="84" t="str">
        <f>IFERROR(VLOOKUP($E492,設定!$C:$G,4,0),"")</f>
        <v/>
      </c>
      <c r="I492" s="84" t="str">
        <f>IFERROR(VLOOKUP($E492,設定!$C:$G,5,0),"")</f>
        <v/>
      </c>
      <c r="J492" s="117"/>
      <c r="K492" s="85"/>
      <c r="L492" s="86"/>
      <c r="M492" s="86"/>
      <c r="N492" s="86"/>
      <c r="O492" s="86"/>
      <c r="P492" s="86"/>
      <c r="Q492" s="86"/>
      <c r="R492" s="86"/>
      <c r="S492" s="86"/>
      <c r="T492" s="86"/>
      <c r="U492" s="86"/>
      <c r="V492" s="86"/>
      <c r="W492" s="86"/>
      <c r="X492" s="86"/>
      <c r="Y492" s="86"/>
      <c r="Z492" s="86"/>
      <c r="AA492" s="86"/>
      <c r="AB492" s="86"/>
      <c r="AC492" s="86"/>
      <c r="AD492" s="86"/>
      <c r="AE492" s="86"/>
      <c r="AF492" s="86"/>
      <c r="AG492" s="86"/>
      <c r="AH492" s="86"/>
      <c r="AI492" s="86"/>
      <c r="AJ492" s="86"/>
      <c r="AK492" s="86"/>
      <c r="AL492" s="86"/>
      <c r="AM492" s="86"/>
      <c r="AN492" s="86"/>
      <c r="AO492" s="87"/>
      <c r="AP492" s="88">
        <f t="shared" si="7"/>
        <v>0</v>
      </c>
    </row>
    <row r="493" spans="2:42" s="3" customFormat="1" ht="24" customHeight="1" x14ac:dyDescent="0.2">
      <c r="B493" s="80"/>
      <c r="C493" s="81"/>
      <c r="D493" s="82"/>
      <c r="E493" s="83"/>
      <c r="F493" s="84" t="str">
        <f>IFERROR(VLOOKUP($E493,設定!$C:$G,2,0),"")</f>
        <v/>
      </c>
      <c r="G493" s="84" t="str">
        <f>IFERROR(VLOOKUP($E493,設定!$C:$G,3,0),"")</f>
        <v/>
      </c>
      <c r="H493" s="84" t="str">
        <f>IFERROR(VLOOKUP($E493,設定!$C:$G,4,0),"")</f>
        <v/>
      </c>
      <c r="I493" s="84" t="str">
        <f>IFERROR(VLOOKUP($E493,設定!$C:$G,5,0),"")</f>
        <v/>
      </c>
      <c r="J493" s="117"/>
      <c r="K493" s="85"/>
      <c r="L493" s="86"/>
      <c r="M493" s="86"/>
      <c r="N493" s="86"/>
      <c r="O493" s="86"/>
      <c r="P493" s="86"/>
      <c r="Q493" s="86"/>
      <c r="R493" s="86"/>
      <c r="S493" s="86"/>
      <c r="T493" s="86"/>
      <c r="U493" s="86"/>
      <c r="V493" s="86"/>
      <c r="W493" s="86"/>
      <c r="X493" s="86"/>
      <c r="Y493" s="86"/>
      <c r="Z493" s="86"/>
      <c r="AA493" s="86"/>
      <c r="AB493" s="86"/>
      <c r="AC493" s="86"/>
      <c r="AD493" s="86"/>
      <c r="AE493" s="86"/>
      <c r="AF493" s="86"/>
      <c r="AG493" s="86"/>
      <c r="AH493" s="86"/>
      <c r="AI493" s="86"/>
      <c r="AJ493" s="86"/>
      <c r="AK493" s="86"/>
      <c r="AL493" s="86"/>
      <c r="AM493" s="86"/>
      <c r="AN493" s="86"/>
      <c r="AO493" s="87"/>
      <c r="AP493" s="88">
        <f t="shared" si="7"/>
        <v>0</v>
      </c>
    </row>
    <row r="494" spans="2:42" s="3" customFormat="1" ht="24" customHeight="1" x14ac:dyDescent="0.2">
      <c r="B494" s="80"/>
      <c r="C494" s="81"/>
      <c r="D494" s="82"/>
      <c r="E494" s="83"/>
      <c r="F494" s="84" t="str">
        <f>IFERROR(VLOOKUP($E494,設定!$C:$G,2,0),"")</f>
        <v/>
      </c>
      <c r="G494" s="84" t="str">
        <f>IFERROR(VLOOKUP($E494,設定!$C:$G,3,0),"")</f>
        <v/>
      </c>
      <c r="H494" s="84" t="str">
        <f>IFERROR(VLOOKUP($E494,設定!$C:$G,4,0),"")</f>
        <v/>
      </c>
      <c r="I494" s="84" t="str">
        <f>IFERROR(VLOOKUP($E494,設定!$C:$G,5,0),"")</f>
        <v/>
      </c>
      <c r="J494" s="117"/>
      <c r="K494" s="85"/>
      <c r="L494" s="86"/>
      <c r="M494" s="86"/>
      <c r="N494" s="86"/>
      <c r="O494" s="86"/>
      <c r="P494" s="86"/>
      <c r="Q494" s="86"/>
      <c r="R494" s="86"/>
      <c r="S494" s="86"/>
      <c r="T494" s="86"/>
      <c r="U494" s="86"/>
      <c r="V494" s="86"/>
      <c r="W494" s="86"/>
      <c r="X494" s="86"/>
      <c r="Y494" s="86"/>
      <c r="Z494" s="86"/>
      <c r="AA494" s="86"/>
      <c r="AB494" s="86"/>
      <c r="AC494" s="86"/>
      <c r="AD494" s="86"/>
      <c r="AE494" s="86"/>
      <c r="AF494" s="86"/>
      <c r="AG494" s="86"/>
      <c r="AH494" s="86"/>
      <c r="AI494" s="86"/>
      <c r="AJ494" s="86"/>
      <c r="AK494" s="86"/>
      <c r="AL494" s="86"/>
      <c r="AM494" s="86"/>
      <c r="AN494" s="86"/>
      <c r="AO494" s="87"/>
      <c r="AP494" s="88">
        <f t="shared" si="7"/>
        <v>0</v>
      </c>
    </row>
    <row r="495" spans="2:42" s="3" customFormat="1" ht="24" customHeight="1" x14ac:dyDescent="0.2">
      <c r="B495" s="80"/>
      <c r="C495" s="81"/>
      <c r="D495" s="82"/>
      <c r="E495" s="83"/>
      <c r="F495" s="84" t="str">
        <f>IFERROR(VLOOKUP($E495,設定!$C:$G,2,0),"")</f>
        <v/>
      </c>
      <c r="G495" s="84" t="str">
        <f>IFERROR(VLOOKUP($E495,設定!$C:$G,3,0),"")</f>
        <v/>
      </c>
      <c r="H495" s="84" t="str">
        <f>IFERROR(VLOOKUP($E495,設定!$C:$G,4,0),"")</f>
        <v/>
      </c>
      <c r="I495" s="84" t="str">
        <f>IFERROR(VLOOKUP($E495,設定!$C:$G,5,0),"")</f>
        <v/>
      </c>
      <c r="J495" s="117"/>
      <c r="K495" s="85"/>
      <c r="L495" s="86"/>
      <c r="M495" s="86"/>
      <c r="N495" s="86"/>
      <c r="O495" s="86"/>
      <c r="P495" s="86"/>
      <c r="Q495" s="86"/>
      <c r="R495" s="86"/>
      <c r="S495" s="86"/>
      <c r="T495" s="86"/>
      <c r="U495" s="86"/>
      <c r="V495" s="86"/>
      <c r="W495" s="86"/>
      <c r="X495" s="86"/>
      <c r="Y495" s="86"/>
      <c r="Z495" s="86"/>
      <c r="AA495" s="86"/>
      <c r="AB495" s="86"/>
      <c r="AC495" s="86"/>
      <c r="AD495" s="86"/>
      <c r="AE495" s="86"/>
      <c r="AF495" s="86"/>
      <c r="AG495" s="86"/>
      <c r="AH495" s="86"/>
      <c r="AI495" s="86"/>
      <c r="AJ495" s="86"/>
      <c r="AK495" s="86"/>
      <c r="AL495" s="86"/>
      <c r="AM495" s="86"/>
      <c r="AN495" s="86"/>
      <c r="AO495" s="87"/>
      <c r="AP495" s="88">
        <f t="shared" si="7"/>
        <v>0</v>
      </c>
    </row>
    <row r="496" spans="2:42" s="3" customFormat="1" ht="24" customHeight="1" x14ac:dyDescent="0.2">
      <c r="B496" s="80"/>
      <c r="C496" s="81"/>
      <c r="D496" s="82"/>
      <c r="E496" s="83"/>
      <c r="F496" s="84" t="str">
        <f>IFERROR(VLOOKUP($E496,設定!$C:$G,2,0),"")</f>
        <v/>
      </c>
      <c r="G496" s="84" t="str">
        <f>IFERROR(VLOOKUP($E496,設定!$C:$G,3,0),"")</f>
        <v/>
      </c>
      <c r="H496" s="84" t="str">
        <f>IFERROR(VLOOKUP($E496,設定!$C:$G,4,0),"")</f>
        <v/>
      </c>
      <c r="I496" s="84" t="str">
        <f>IFERROR(VLOOKUP($E496,設定!$C:$G,5,0),"")</f>
        <v/>
      </c>
      <c r="J496" s="117"/>
      <c r="K496" s="85"/>
      <c r="L496" s="86"/>
      <c r="M496" s="86"/>
      <c r="N496" s="86"/>
      <c r="O496" s="86"/>
      <c r="P496" s="86"/>
      <c r="Q496" s="86"/>
      <c r="R496" s="86"/>
      <c r="S496" s="86"/>
      <c r="T496" s="86"/>
      <c r="U496" s="86"/>
      <c r="V496" s="86"/>
      <c r="W496" s="86"/>
      <c r="X496" s="86"/>
      <c r="Y496" s="86"/>
      <c r="Z496" s="86"/>
      <c r="AA496" s="86"/>
      <c r="AB496" s="86"/>
      <c r="AC496" s="86"/>
      <c r="AD496" s="86"/>
      <c r="AE496" s="86"/>
      <c r="AF496" s="86"/>
      <c r="AG496" s="86"/>
      <c r="AH496" s="86"/>
      <c r="AI496" s="86"/>
      <c r="AJ496" s="86"/>
      <c r="AK496" s="86"/>
      <c r="AL496" s="86"/>
      <c r="AM496" s="86"/>
      <c r="AN496" s="86"/>
      <c r="AO496" s="87"/>
      <c r="AP496" s="88">
        <f t="shared" si="7"/>
        <v>0</v>
      </c>
    </row>
    <row r="497" spans="2:42" s="3" customFormat="1" ht="24" customHeight="1" x14ac:dyDescent="0.2">
      <c r="B497" s="80"/>
      <c r="C497" s="81"/>
      <c r="D497" s="82"/>
      <c r="E497" s="83"/>
      <c r="F497" s="84" t="str">
        <f>IFERROR(VLOOKUP($E497,設定!$C:$G,2,0),"")</f>
        <v/>
      </c>
      <c r="G497" s="84" t="str">
        <f>IFERROR(VLOOKUP($E497,設定!$C:$G,3,0),"")</f>
        <v/>
      </c>
      <c r="H497" s="84" t="str">
        <f>IFERROR(VLOOKUP($E497,設定!$C:$G,4,0),"")</f>
        <v/>
      </c>
      <c r="I497" s="84" t="str">
        <f>IFERROR(VLOOKUP($E497,設定!$C:$G,5,0),"")</f>
        <v/>
      </c>
      <c r="J497" s="117"/>
      <c r="K497" s="85"/>
      <c r="L497" s="86"/>
      <c r="M497" s="86"/>
      <c r="N497" s="86"/>
      <c r="O497" s="86"/>
      <c r="P497" s="86"/>
      <c r="Q497" s="86"/>
      <c r="R497" s="86"/>
      <c r="S497" s="86"/>
      <c r="T497" s="86"/>
      <c r="U497" s="86"/>
      <c r="V497" s="86"/>
      <c r="W497" s="86"/>
      <c r="X497" s="86"/>
      <c r="Y497" s="86"/>
      <c r="Z497" s="86"/>
      <c r="AA497" s="86"/>
      <c r="AB497" s="86"/>
      <c r="AC497" s="86"/>
      <c r="AD497" s="86"/>
      <c r="AE497" s="86"/>
      <c r="AF497" s="86"/>
      <c r="AG497" s="86"/>
      <c r="AH497" s="86"/>
      <c r="AI497" s="86"/>
      <c r="AJ497" s="86"/>
      <c r="AK497" s="86"/>
      <c r="AL497" s="86"/>
      <c r="AM497" s="86"/>
      <c r="AN497" s="86"/>
      <c r="AO497" s="87"/>
      <c r="AP497" s="88">
        <f t="shared" si="7"/>
        <v>0</v>
      </c>
    </row>
    <row r="498" spans="2:42" s="3" customFormat="1" ht="24" customHeight="1" x14ac:dyDescent="0.2">
      <c r="B498" s="80"/>
      <c r="C498" s="81"/>
      <c r="D498" s="82"/>
      <c r="E498" s="83"/>
      <c r="F498" s="84" t="str">
        <f>IFERROR(VLOOKUP($E498,設定!$C:$G,2,0),"")</f>
        <v/>
      </c>
      <c r="G498" s="84" t="str">
        <f>IFERROR(VLOOKUP($E498,設定!$C:$G,3,0),"")</f>
        <v/>
      </c>
      <c r="H498" s="84" t="str">
        <f>IFERROR(VLOOKUP($E498,設定!$C:$G,4,0),"")</f>
        <v/>
      </c>
      <c r="I498" s="84" t="str">
        <f>IFERROR(VLOOKUP($E498,設定!$C:$G,5,0),"")</f>
        <v/>
      </c>
      <c r="J498" s="117"/>
      <c r="K498" s="85"/>
      <c r="L498" s="86"/>
      <c r="M498" s="86"/>
      <c r="N498" s="86"/>
      <c r="O498" s="86"/>
      <c r="P498" s="86"/>
      <c r="Q498" s="86"/>
      <c r="R498" s="86"/>
      <c r="S498" s="86"/>
      <c r="T498" s="86"/>
      <c r="U498" s="86"/>
      <c r="V498" s="86"/>
      <c r="W498" s="86"/>
      <c r="X498" s="86"/>
      <c r="Y498" s="86"/>
      <c r="Z498" s="86"/>
      <c r="AA498" s="86"/>
      <c r="AB498" s="86"/>
      <c r="AC498" s="86"/>
      <c r="AD498" s="86"/>
      <c r="AE498" s="86"/>
      <c r="AF498" s="86"/>
      <c r="AG498" s="86"/>
      <c r="AH498" s="86"/>
      <c r="AI498" s="86"/>
      <c r="AJ498" s="86"/>
      <c r="AK498" s="86"/>
      <c r="AL498" s="86"/>
      <c r="AM498" s="86"/>
      <c r="AN498" s="86"/>
      <c r="AO498" s="87"/>
      <c r="AP498" s="88">
        <f t="shared" si="7"/>
        <v>0</v>
      </c>
    </row>
    <row r="499" spans="2:42" s="3" customFormat="1" ht="24" customHeight="1" x14ac:dyDescent="0.2">
      <c r="B499" s="80"/>
      <c r="C499" s="81"/>
      <c r="D499" s="82"/>
      <c r="E499" s="83"/>
      <c r="F499" s="84" t="str">
        <f>IFERROR(VLOOKUP($E499,設定!$C:$G,2,0),"")</f>
        <v/>
      </c>
      <c r="G499" s="84" t="str">
        <f>IFERROR(VLOOKUP($E499,設定!$C:$G,3,0),"")</f>
        <v/>
      </c>
      <c r="H499" s="84" t="str">
        <f>IFERROR(VLOOKUP($E499,設定!$C:$G,4,0),"")</f>
        <v/>
      </c>
      <c r="I499" s="84" t="str">
        <f>IFERROR(VLOOKUP($E499,設定!$C:$G,5,0),"")</f>
        <v/>
      </c>
      <c r="J499" s="117"/>
      <c r="K499" s="85"/>
      <c r="L499" s="86"/>
      <c r="M499" s="86"/>
      <c r="N499" s="86"/>
      <c r="O499" s="86"/>
      <c r="P499" s="86"/>
      <c r="Q499" s="86"/>
      <c r="R499" s="86"/>
      <c r="S499" s="86"/>
      <c r="T499" s="86"/>
      <c r="U499" s="86"/>
      <c r="V499" s="86"/>
      <c r="W499" s="86"/>
      <c r="X499" s="86"/>
      <c r="Y499" s="86"/>
      <c r="Z499" s="86"/>
      <c r="AA499" s="86"/>
      <c r="AB499" s="86"/>
      <c r="AC499" s="86"/>
      <c r="AD499" s="86"/>
      <c r="AE499" s="86"/>
      <c r="AF499" s="86"/>
      <c r="AG499" s="86"/>
      <c r="AH499" s="86"/>
      <c r="AI499" s="86"/>
      <c r="AJ499" s="86"/>
      <c r="AK499" s="86"/>
      <c r="AL499" s="86"/>
      <c r="AM499" s="86"/>
      <c r="AN499" s="86"/>
      <c r="AO499" s="87"/>
      <c r="AP499" s="88">
        <f t="shared" si="7"/>
        <v>0</v>
      </c>
    </row>
    <row r="500" spans="2:42" s="3" customFormat="1" ht="24" customHeight="1" x14ac:dyDescent="0.2">
      <c r="B500" s="80"/>
      <c r="C500" s="81"/>
      <c r="D500" s="82"/>
      <c r="E500" s="83"/>
      <c r="F500" s="84" t="str">
        <f>IFERROR(VLOOKUP($E500,設定!$C:$G,2,0),"")</f>
        <v/>
      </c>
      <c r="G500" s="84" t="str">
        <f>IFERROR(VLOOKUP($E500,設定!$C:$G,3,0),"")</f>
        <v/>
      </c>
      <c r="H500" s="84" t="str">
        <f>IFERROR(VLOOKUP($E500,設定!$C:$G,4,0),"")</f>
        <v/>
      </c>
      <c r="I500" s="84" t="str">
        <f>IFERROR(VLOOKUP($E500,設定!$C:$G,5,0),"")</f>
        <v/>
      </c>
      <c r="J500" s="117"/>
      <c r="K500" s="85"/>
      <c r="L500" s="86"/>
      <c r="M500" s="86"/>
      <c r="N500" s="86"/>
      <c r="O500" s="86"/>
      <c r="P500" s="86"/>
      <c r="Q500" s="86"/>
      <c r="R500" s="86"/>
      <c r="S500" s="86"/>
      <c r="T500" s="86"/>
      <c r="U500" s="86"/>
      <c r="V500" s="86"/>
      <c r="W500" s="86"/>
      <c r="X500" s="86"/>
      <c r="Y500" s="86"/>
      <c r="Z500" s="86"/>
      <c r="AA500" s="86"/>
      <c r="AB500" s="86"/>
      <c r="AC500" s="86"/>
      <c r="AD500" s="86"/>
      <c r="AE500" s="86"/>
      <c r="AF500" s="86"/>
      <c r="AG500" s="86"/>
      <c r="AH500" s="86"/>
      <c r="AI500" s="86"/>
      <c r="AJ500" s="86"/>
      <c r="AK500" s="86"/>
      <c r="AL500" s="86"/>
      <c r="AM500" s="86"/>
      <c r="AN500" s="86"/>
      <c r="AO500" s="87"/>
      <c r="AP500" s="88">
        <f t="shared" si="7"/>
        <v>0</v>
      </c>
    </row>
    <row r="501" spans="2:42" s="3" customFormat="1" ht="24" customHeight="1" x14ac:dyDescent="0.2">
      <c r="B501" s="80"/>
      <c r="C501" s="81"/>
      <c r="D501" s="82"/>
      <c r="E501" s="83"/>
      <c r="F501" s="84" t="str">
        <f>IFERROR(VLOOKUP($E501,設定!$C:$G,2,0),"")</f>
        <v/>
      </c>
      <c r="G501" s="84" t="str">
        <f>IFERROR(VLOOKUP($E501,設定!$C:$G,3,0),"")</f>
        <v/>
      </c>
      <c r="H501" s="84" t="str">
        <f>IFERROR(VLOOKUP($E501,設定!$C:$G,4,0),"")</f>
        <v/>
      </c>
      <c r="I501" s="84" t="str">
        <f>IFERROR(VLOOKUP($E501,設定!$C:$G,5,0),"")</f>
        <v/>
      </c>
      <c r="J501" s="117"/>
      <c r="K501" s="85"/>
      <c r="L501" s="86"/>
      <c r="M501" s="86"/>
      <c r="N501" s="86"/>
      <c r="O501" s="86"/>
      <c r="P501" s="86"/>
      <c r="Q501" s="86"/>
      <c r="R501" s="86"/>
      <c r="S501" s="86"/>
      <c r="T501" s="86"/>
      <c r="U501" s="86"/>
      <c r="V501" s="86"/>
      <c r="W501" s="86"/>
      <c r="X501" s="86"/>
      <c r="Y501" s="86"/>
      <c r="Z501" s="86"/>
      <c r="AA501" s="86"/>
      <c r="AB501" s="86"/>
      <c r="AC501" s="86"/>
      <c r="AD501" s="86"/>
      <c r="AE501" s="86"/>
      <c r="AF501" s="86"/>
      <c r="AG501" s="86"/>
      <c r="AH501" s="86"/>
      <c r="AI501" s="86"/>
      <c r="AJ501" s="86"/>
      <c r="AK501" s="86"/>
      <c r="AL501" s="86"/>
      <c r="AM501" s="86"/>
      <c r="AN501" s="86"/>
      <c r="AO501" s="87"/>
      <c r="AP501" s="88">
        <f t="shared" si="7"/>
        <v>0</v>
      </c>
    </row>
    <row r="502" spans="2:42" s="3" customFormat="1" ht="24" customHeight="1" x14ac:dyDescent="0.2">
      <c r="B502" s="80"/>
      <c r="C502" s="81"/>
      <c r="D502" s="82"/>
      <c r="E502" s="83"/>
      <c r="F502" s="84" t="str">
        <f>IFERROR(VLOOKUP($E502,設定!$C:$G,2,0),"")</f>
        <v/>
      </c>
      <c r="G502" s="84" t="str">
        <f>IFERROR(VLOOKUP($E502,設定!$C:$G,3,0),"")</f>
        <v/>
      </c>
      <c r="H502" s="84" t="str">
        <f>IFERROR(VLOOKUP($E502,設定!$C:$G,4,0),"")</f>
        <v/>
      </c>
      <c r="I502" s="84" t="str">
        <f>IFERROR(VLOOKUP($E502,設定!$C:$G,5,0),"")</f>
        <v/>
      </c>
      <c r="J502" s="117"/>
      <c r="K502" s="85"/>
      <c r="L502" s="86"/>
      <c r="M502" s="86"/>
      <c r="N502" s="86"/>
      <c r="O502" s="86"/>
      <c r="P502" s="86"/>
      <c r="Q502" s="86"/>
      <c r="R502" s="86"/>
      <c r="S502" s="86"/>
      <c r="T502" s="86"/>
      <c r="U502" s="86"/>
      <c r="V502" s="86"/>
      <c r="W502" s="86"/>
      <c r="X502" s="86"/>
      <c r="Y502" s="86"/>
      <c r="Z502" s="86"/>
      <c r="AA502" s="86"/>
      <c r="AB502" s="86"/>
      <c r="AC502" s="86"/>
      <c r="AD502" s="86"/>
      <c r="AE502" s="86"/>
      <c r="AF502" s="86"/>
      <c r="AG502" s="86"/>
      <c r="AH502" s="86"/>
      <c r="AI502" s="86"/>
      <c r="AJ502" s="86"/>
      <c r="AK502" s="86"/>
      <c r="AL502" s="86"/>
      <c r="AM502" s="86"/>
      <c r="AN502" s="86"/>
      <c r="AO502" s="87"/>
      <c r="AP502" s="88">
        <f t="shared" si="7"/>
        <v>0</v>
      </c>
    </row>
    <row r="503" spans="2:42" s="3" customFormat="1" ht="24" customHeight="1" x14ac:dyDescent="0.2">
      <c r="B503" s="80"/>
      <c r="C503" s="81"/>
      <c r="D503" s="82"/>
      <c r="E503" s="83"/>
      <c r="F503" s="84" t="str">
        <f>IFERROR(VLOOKUP($E503,設定!$C:$G,2,0),"")</f>
        <v/>
      </c>
      <c r="G503" s="84" t="str">
        <f>IFERROR(VLOOKUP($E503,設定!$C:$G,3,0),"")</f>
        <v/>
      </c>
      <c r="H503" s="84" t="str">
        <f>IFERROR(VLOOKUP($E503,設定!$C:$G,4,0),"")</f>
        <v/>
      </c>
      <c r="I503" s="84" t="str">
        <f>IFERROR(VLOOKUP($E503,設定!$C:$G,5,0),"")</f>
        <v/>
      </c>
      <c r="J503" s="117"/>
      <c r="K503" s="85"/>
      <c r="L503" s="86"/>
      <c r="M503" s="86"/>
      <c r="N503" s="86"/>
      <c r="O503" s="86"/>
      <c r="P503" s="86"/>
      <c r="Q503" s="86"/>
      <c r="R503" s="86"/>
      <c r="S503" s="86"/>
      <c r="T503" s="86"/>
      <c r="U503" s="86"/>
      <c r="V503" s="86"/>
      <c r="W503" s="86"/>
      <c r="X503" s="86"/>
      <c r="Y503" s="86"/>
      <c r="Z503" s="86"/>
      <c r="AA503" s="86"/>
      <c r="AB503" s="86"/>
      <c r="AC503" s="86"/>
      <c r="AD503" s="86"/>
      <c r="AE503" s="86"/>
      <c r="AF503" s="86"/>
      <c r="AG503" s="86"/>
      <c r="AH503" s="86"/>
      <c r="AI503" s="86"/>
      <c r="AJ503" s="86"/>
      <c r="AK503" s="86"/>
      <c r="AL503" s="86"/>
      <c r="AM503" s="86"/>
      <c r="AN503" s="86"/>
      <c r="AO503" s="87"/>
      <c r="AP503" s="88">
        <f t="shared" si="7"/>
        <v>0</v>
      </c>
    </row>
    <row r="504" spans="2:42" s="3" customFormat="1" ht="24" customHeight="1" x14ac:dyDescent="0.2">
      <c r="B504" s="80"/>
      <c r="C504" s="81"/>
      <c r="D504" s="82"/>
      <c r="E504" s="83"/>
      <c r="F504" s="84" t="str">
        <f>IFERROR(VLOOKUP($E504,設定!$C:$G,2,0),"")</f>
        <v/>
      </c>
      <c r="G504" s="84" t="str">
        <f>IFERROR(VLOOKUP($E504,設定!$C:$G,3,0),"")</f>
        <v/>
      </c>
      <c r="H504" s="84" t="str">
        <f>IFERROR(VLOOKUP($E504,設定!$C:$G,4,0),"")</f>
        <v/>
      </c>
      <c r="I504" s="84" t="str">
        <f>IFERROR(VLOOKUP($E504,設定!$C:$G,5,0),"")</f>
        <v/>
      </c>
      <c r="J504" s="117"/>
      <c r="K504" s="85"/>
      <c r="L504" s="86"/>
      <c r="M504" s="86"/>
      <c r="N504" s="86"/>
      <c r="O504" s="86"/>
      <c r="P504" s="86"/>
      <c r="Q504" s="86"/>
      <c r="R504" s="86"/>
      <c r="S504" s="86"/>
      <c r="T504" s="86"/>
      <c r="U504" s="86"/>
      <c r="V504" s="86"/>
      <c r="W504" s="86"/>
      <c r="X504" s="86"/>
      <c r="Y504" s="86"/>
      <c r="Z504" s="86"/>
      <c r="AA504" s="86"/>
      <c r="AB504" s="86"/>
      <c r="AC504" s="86"/>
      <c r="AD504" s="86"/>
      <c r="AE504" s="86"/>
      <c r="AF504" s="86"/>
      <c r="AG504" s="86"/>
      <c r="AH504" s="86"/>
      <c r="AI504" s="86"/>
      <c r="AJ504" s="86"/>
      <c r="AK504" s="86"/>
      <c r="AL504" s="86"/>
      <c r="AM504" s="86"/>
      <c r="AN504" s="86"/>
      <c r="AO504" s="87"/>
      <c r="AP504" s="88">
        <f t="shared" si="7"/>
        <v>0</v>
      </c>
    </row>
    <row r="505" spans="2:42" s="3" customFormat="1" ht="24" customHeight="1" x14ac:dyDescent="0.2">
      <c r="B505" s="80"/>
      <c r="C505" s="81"/>
      <c r="D505" s="82"/>
      <c r="E505" s="83"/>
      <c r="F505" s="84" t="str">
        <f>IFERROR(VLOOKUP($E505,設定!$C:$G,2,0),"")</f>
        <v/>
      </c>
      <c r="G505" s="84" t="str">
        <f>IFERROR(VLOOKUP($E505,設定!$C:$G,3,0),"")</f>
        <v/>
      </c>
      <c r="H505" s="84" t="str">
        <f>IFERROR(VLOOKUP($E505,設定!$C:$G,4,0),"")</f>
        <v/>
      </c>
      <c r="I505" s="84" t="str">
        <f>IFERROR(VLOOKUP($E505,設定!$C:$G,5,0),"")</f>
        <v/>
      </c>
      <c r="J505" s="117"/>
      <c r="K505" s="85"/>
      <c r="L505" s="86"/>
      <c r="M505" s="86"/>
      <c r="N505" s="86"/>
      <c r="O505" s="86"/>
      <c r="P505" s="86"/>
      <c r="Q505" s="86"/>
      <c r="R505" s="86"/>
      <c r="S505" s="86"/>
      <c r="T505" s="86"/>
      <c r="U505" s="86"/>
      <c r="V505" s="86"/>
      <c r="W505" s="86"/>
      <c r="X505" s="86"/>
      <c r="Y505" s="86"/>
      <c r="Z505" s="86"/>
      <c r="AA505" s="86"/>
      <c r="AB505" s="86"/>
      <c r="AC505" s="86"/>
      <c r="AD505" s="86"/>
      <c r="AE505" s="86"/>
      <c r="AF505" s="86"/>
      <c r="AG505" s="86"/>
      <c r="AH505" s="86"/>
      <c r="AI505" s="86"/>
      <c r="AJ505" s="86"/>
      <c r="AK505" s="86"/>
      <c r="AL505" s="86"/>
      <c r="AM505" s="86"/>
      <c r="AN505" s="86"/>
      <c r="AO505" s="87"/>
      <c r="AP505" s="88">
        <f t="shared" si="7"/>
        <v>0</v>
      </c>
    </row>
    <row r="506" spans="2:42" s="3" customFormat="1" ht="24" customHeight="1" x14ac:dyDescent="0.2">
      <c r="B506" s="80"/>
      <c r="C506" s="81"/>
      <c r="D506" s="82"/>
      <c r="E506" s="83"/>
      <c r="F506" s="84" t="str">
        <f>IFERROR(VLOOKUP($E506,設定!$C:$G,2,0),"")</f>
        <v/>
      </c>
      <c r="G506" s="84" t="str">
        <f>IFERROR(VLOOKUP($E506,設定!$C:$G,3,0),"")</f>
        <v/>
      </c>
      <c r="H506" s="84" t="str">
        <f>IFERROR(VLOOKUP($E506,設定!$C:$G,4,0),"")</f>
        <v/>
      </c>
      <c r="I506" s="84" t="str">
        <f>IFERROR(VLOOKUP($E506,設定!$C:$G,5,0),"")</f>
        <v/>
      </c>
      <c r="J506" s="117"/>
      <c r="K506" s="85"/>
      <c r="L506" s="86"/>
      <c r="M506" s="86"/>
      <c r="N506" s="86"/>
      <c r="O506" s="86"/>
      <c r="P506" s="86"/>
      <c r="Q506" s="86"/>
      <c r="R506" s="86"/>
      <c r="S506" s="86"/>
      <c r="T506" s="86"/>
      <c r="U506" s="86"/>
      <c r="V506" s="86"/>
      <c r="W506" s="86"/>
      <c r="X506" s="86"/>
      <c r="Y506" s="86"/>
      <c r="Z506" s="86"/>
      <c r="AA506" s="86"/>
      <c r="AB506" s="86"/>
      <c r="AC506" s="86"/>
      <c r="AD506" s="86"/>
      <c r="AE506" s="86"/>
      <c r="AF506" s="86"/>
      <c r="AG506" s="86"/>
      <c r="AH506" s="86"/>
      <c r="AI506" s="86"/>
      <c r="AJ506" s="86"/>
      <c r="AK506" s="86"/>
      <c r="AL506" s="86"/>
      <c r="AM506" s="86"/>
      <c r="AN506" s="86"/>
      <c r="AO506" s="87"/>
      <c r="AP506" s="88">
        <f t="shared" si="7"/>
        <v>0</v>
      </c>
    </row>
    <row r="507" spans="2:42" s="3" customFormat="1" ht="24" customHeight="1" x14ac:dyDescent="0.2">
      <c r="B507" s="80"/>
      <c r="C507" s="81"/>
      <c r="D507" s="82"/>
      <c r="E507" s="83"/>
      <c r="F507" s="84" t="str">
        <f>IFERROR(VLOOKUP($E507,設定!$C:$G,2,0),"")</f>
        <v/>
      </c>
      <c r="G507" s="84" t="str">
        <f>IFERROR(VLOOKUP($E507,設定!$C:$G,3,0),"")</f>
        <v/>
      </c>
      <c r="H507" s="84" t="str">
        <f>IFERROR(VLOOKUP($E507,設定!$C:$G,4,0),"")</f>
        <v/>
      </c>
      <c r="I507" s="84" t="str">
        <f>IFERROR(VLOOKUP($E507,設定!$C:$G,5,0),"")</f>
        <v/>
      </c>
      <c r="J507" s="117"/>
      <c r="K507" s="85"/>
      <c r="L507" s="86"/>
      <c r="M507" s="86"/>
      <c r="N507" s="86"/>
      <c r="O507" s="86"/>
      <c r="P507" s="86"/>
      <c r="Q507" s="86"/>
      <c r="R507" s="86"/>
      <c r="S507" s="86"/>
      <c r="T507" s="86"/>
      <c r="U507" s="86"/>
      <c r="V507" s="86"/>
      <c r="W507" s="86"/>
      <c r="X507" s="86"/>
      <c r="Y507" s="86"/>
      <c r="Z507" s="86"/>
      <c r="AA507" s="86"/>
      <c r="AB507" s="86"/>
      <c r="AC507" s="86"/>
      <c r="AD507" s="86"/>
      <c r="AE507" s="86"/>
      <c r="AF507" s="86"/>
      <c r="AG507" s="86"/>
      <c r="AH507" s="86"/>
      <c r="AI507" s="86"/>
      <c r="AJ507" s="86"/>
      <c r="AK507" s="86"/>
      <c r="AL507" s="86"/>
      <c r="AM507" s="86"/>
      <c r="AN507" s="86"/>
      <c r="AO507" s="87"/>
      <c r="AP507" s="88">
        <f t="shared" si="7"/>
        <v>0</v>
      </c>
    </row>
    <row r="508" spans="2:42" s="3" customFormat="1" ht="24" customHeight="1" x14ac:dyDescent="0.2">
      <c r="B508" s="80"/>
      <c r="C508" s="81"/>
      <c r="D508" s="82"/>
      <c r="E508" s="83"/>
      <c r="F508" s="84" t="str">
        <f>IFERROR(VLOOKUP($E508,設定!$C:$G,2,0),"")</f>
        <v/>
      </c>
      <c r="G508" s="84" t="str">
        <f>IFERROR(VLOOKUP($E508,設定!$C:$G,3,0),"")</f>
        <v/>
      </c>
      <c r="H508" s="84" t="str">
        <f>IFERROR(VLOOKUP($E508,設定!$C:$G,4,0),"")</f>
        <v/>
      </c>
      <c r="I508" s="84" t="str">
        <f>IFERROR(VLOOKUP($E508,設定!$C:$G,5,0),"")</f>
        <v/>
      </c>
      <c r="J508" s="117"/>
      <c r="K508" s="85"/>
      <c r="L508" s="86"/>
      <c r="M508" s="86"/>
      <c r="N508" s="86"/>
      <c r="O508" s="86"/>
      <c r="P508" s="86"/>
      <c r="Q508" s="86"/>
      <c r="R508" s="86"/>
      <c r="S508" s="86"/>
      <c r="T508" s="86"/>
      <c r="U508" s="86"/>
      <c r="V508" s="86"/>
      <c r="W508" s="86"/>
      <c r="X508" s="86"/>
      <c r="Y508" s="86"/>
      <c r="Z508" s="86"/>
      <c r="AA508" s="86"/>
      <c r="AB508" s="86"/>
      <c r="AC508" s="86"/>
      <c r="AD508" s="86"/>
      <c r="AE508" s="86"/>
      <c r="AF508" s="86"/>
      <c r="AG508" s="86"/>
      <c r="AH508" s="86"/>
      <c r="AI508" s="86"/>
      <c r="AJ508" s="86"/>
      <c r="AK508" s="86"/>
      <c r="AL508" s="86"/>
      <c r="AM508" s="86"/>
      <c r="AN508" s="86"/>
      <c r="AO508" s="87"/>
      <c r="AP508" s="88">
        <f t="shared" si="7"/>
        <v>0</v>
      </c>
    </row>
    <row r="509" spans="2:42" s="3" customFormat="1" ht="24" customHeight="1" x14ac:dyDescent="0.2">
      <c r="B509" s="80"/>
      <c r="C509" s="81"/>
      <c r="D509" s="82"/>
      <c r="E509" s="83"/>
      <c r="F509" s="84" t="str">
        <f>IFERROR(VLOOKUP($E509,設定!$C:$G,2,0),"")</f>
        <v/>
      </c>
      <c r="G509" s="84" t="str">
        <f>IFERROR(VLOOKUP($E509,設定!$C:$G,3,0),"")</f>
        <v/>
      </c>
      <c r="H509" s="84" t="str">
        <f>IFERROR(VLOOKUP($E509,設定!$C:$G,4,0),"")</f>
        <v/>
      </c>
      <c r="I509" s="84" t="str">
        <f>IFERROR(VLOOKUP($E509,設定!$C:$G,5,0),"")</f>
        <v/>
      </c>
      <c r="J509" s="117"/>
      <c r="K509" s="85"/>
      <c r="L509" s="86"/>
      <c r="M509" s="86"/>
      <c r="N509" s="86"/>
      <c r="O509" s="86"/>
      <c r="P509" s="86"/>
      <c r="Q509" s="86"/>
      <c r="R509" s="86"/>
      <c r="S509" s="86"/>
      <c r="T509" s="86"/>
      <c r="U509" s="86"/>
      <c r="V509" s="86"/>
      <c r="W509" s="86"/>
      <c r="X509" s="86"/>
      <c r="Y509" s="86"/>
      <c r="Z509" s="86"/>
      <c r="AA509" s="86"/>
      <c r="AB509" s="86"/>
      <c r="AC509" s="86"/>
      <c r="AD509" s="86"/>
      <c r="AE509" s="86"/>
      <c r="AF509" s="86"/>
      <c r="AG509" s="86"/>
      <c r="AH509" s="86"/>
      <c r="AI509" s="86"/>
      <c r="AJ509" s="86"/>
      <c r="AK509" s="86"/>
      <c r="AL509" s="86"/>
      <c r="AM509" s="86"/>
      <c r="AN509" s="86"/>
      <c r="AO509" s="87"/>
      <c r="AP509" s="88">
        <f t="shared" si="7"/>
        <v>0</v>
      </c>
    </row>
    <row r="510" spans="2:42" s="3" customFormat="1" ht="24" customHeight="1" x14ac:dyDescent="0.2">
      <c r="B510" s="80"/>
      <c r="C510" s="81"/>
      <c r="D510" s="82"/>
      <c r="E510" s="83"/>
      <c r="F510" s="84" t="str">
        <f>IFERROR(VLOOKUP($E510,設定!$C:$G,2,0),"")</f>
        <v/>
      </c>
      <c r="G510" s="84" t="str">
        <f>IFERROR(VLOOKUP($E510,設定!$C:$G,3,0),"")</f>
        <v/>
      </c>
      <c r="H510" s="84" t="str">
        <f>IFERROR(VLOOKUP($E510,設定!$C:$G,4,0),"")</f>
        <v/>
      </c>
      <c r="I510" s="84" t="str">
        <f>IFERROR(VLOOKUP($E510,設定!$C:$G,5,0),"")</f>
        <v/>
      </c>
      <c r="J510" s="117"/>
      <c r="K510" s="85"/>
      <c r="L510" s="86"/>
      <c r="M510" s="86"/>
      <c r="N510" s="86"/>
      <c r="O510" s="86"/>
      <c r="P510" s="86"/>
      <c r="Q510" s="86"/>
      <c r="R510" s="86"/>
      <c r="S510" s="86"/>
      <c r="T510" s="86"/>
      <c r="U510" s="86"/>
      <c r="V510" s="86"/>
      <c r="W510" s="86"/>
      <c r="X510" s="86"/>
      <c r="Y510" s="86"/>
      <c r="Z510" s="86"/>
      <c r="AA510" s="86"/>
      <c r="AB510" s="86"/>
      <c r="AC510" s="86"/>
      <c r="AD510" s="86"/>
      <c r="AE510" s="86"/>
      <c r="AF510" s="86"/>
      <c r="AG510" s="86"/>
      <c r="AH510" s="86"/>
      <c r="AI510" s="86"/>
      <c r="AJ510" s="86"/>
      <c r="AK510" s="86"/>
      <c r="AL510" s="86"/>
      <c r="AM510" s="86"/>
      <c r="AN510" s="86"/>
      <c r="AO510" s="87"/>
      <c r="AP510" s="88">
        <f t="shared" si="7"/>
        <v>0</v>
      </c>
    </row>
    <row r="511" spans="2:42" s="3" customFormat="1" ht="24" customHeight="1" x14ac:dyDescent="0.2">
      <c r="B511" s="80"/>
      <c r="C511" s="81"/>
      <c r="D511" s="82"/>
      <c r="E511" s="83"/>
      <c r="F511" s="84" t="str">
        <f>IFERROR(VLOOKUP($E511,設定!$C:$G,2,0),"")</f>
        <v/>
      </c>
      <c r="G511" s="84" t="str">
        <f>IFERROR(VLOOKUP($E511,設定!$C:$G,3,0),"")</f>
        <v/>
      </c>
      <c r="H511" s="84" t="str">
        <f>IFERROR(VLOOKUP($E511,設定!$C:$G,4,0),"")</f>
        <v/>
      </c>
      <c r="I511" s="84" t="str">
        <f>IFERROR(VLOOKUP($E511,設定!$C:$G,5,0),"")</f>
        <v/>
      </c>
      <c r="J511" s="117"/>
      <c r="K511" s="85"/>
      <c r="L511" s="86"/>
      <c r="M511" s="86"/>
      <c r="N511" s="86"/>
      <c r="O511" s="86"/>
      <c r="P511" s="86"/>
      <c r="Q511" s="86"/>
      <c r="R511" s="86"/>
      <c r="S511" s="86"/>
      <c r="T511" s="86"/>
      <c r="U511" s="86"/>
      <c r="V511" s="86"/>
      <c r="W511" s="86"/>
      <c r="X511" s="86"/>
      <c r="Y511" s="86"/>
      <c r="Z511" s="86"/>
      <c r="AA511" s="86"/>
      <c r="AB511" s="86"/>
      <c r="AC511" s="86"/>
      <c r="AD511" s="86"/>
      <c r="AE511" s="86"/>
      <c r="AF511" s="86"/>
      <c r="AG511" s="86"/>
      <c r="AH511" s="86"/>
      <c r="AI511" s="86"/>
      <c r="AJ511" s="86"/>
      <c r="AK511" s="86"/>
      <c r="AL511" s="86"/>
      <c r="AM511" s="86"/>
      <c r="AN511" s="86"/>
      <c r="AO511" s="87"/>
      <c r="AP511" s="88">
        <f t="shared" si="7"/>
        <v>0</v>
      </c>
    </row>
    <row r="512" spans="2:42" s="3" customFormat="1" ht="24" customHeight="1" x14ac:dyDescent="0.2">
      <c r="B512" s="80"/>
      <c r="C512" s="81"/>
      <c r="D512" s="82"/>
      <c r="E512" s="83"/>
      <c r="F512" s="84" t="str">
        <f>IFERROR(VLOOKUP($E512,設定!$C:$G,2,0),"")</f>
        <v/>
      </c>
      <c r="G512" s="84" t="str">
        <f>IFERROR(VLOOKUP($E512,設定!$C:$G,3,0),"")</f>
        <v/>
      </c>
      <c r="H512" s="84" t="str">
        <f>IFERROR(VLOOKUP($E512,設定!$C:$G,4,0),"")</f>
        <v/>
      </c>
      <c r="I512" s="84" t="str">
        <f>IFERROR(VLOOKUP($E512,設定!$C:$G,5,0),"")</f>
        <v/>
      </c>
      <c r="J512" s="117"/>
      <c r="K512" s="85"/>
      <c r="L512" s="86"/>
      <c r="M512" s="86"/>
      <c r="N512" s="86"/>
      <c r="O512" s="86"/>
      <c r="P512" s="86"/>
      <c r="Q512" s="86"/>
      <c r="R512" s="86"/>
      <c r="S512" s="86"/>
      <c r="T512" s="86"/>
      <c r="U512" s="86"/>
      <c r="V512" s="86"/>
      <c r="W512" s="86"/>
      <c r="X512" s="86"/>
      <c r="Y512" s="86"/>
      <c r="Z512" s="86"/>
      <c r="AA512" s="86"/>
      <c r="AB512" s="86"/>
      <c r="AC512" s="86"/>
      <c r="AD512" s="86"/>
      <c r="AE512" s="86"/>
      <c r="AF512" s="86"/>
      <c r="AG512" s="86"/>
      <c r="AH512" s="86"/>
      <c r="AI512" s="86"/>
      <c r="AJ512" s="86"/>
      <c r="AK512" s="86"/>
      <c r="AL512" s="86"/>
      <c r="AM512" s="86"/>
      <c r="AN512" s="86"/>
      <c r="AO512" s="87"/>
      <c r="AP512" s="88">
        <f t="shared" si="7"/>
        <v>0</v>
      </c>
    </row>
    <row r="513" spans="2:42" s="3" customFormat="1" ht="24" customHeight="1" x14ac:dyDescent="0.2">
      <c r="B513" s="80"/>
      <c r="C513" s="81"/>
      <c r="D513" s="82"/>
      <c r="E513" s="83"/>
      <c r="F513" s="84" t="str">
        <f>IFERROR(VLOOKUP($E513,設定!$C:$G,2,0),"")</f>
        <v/>
      </c>
      <c r="G513" s="84" t="str">
        <f>IFERROR(VLOOKUP($E513,設定!$C:$G,3,0),"")</f>
        <v/>
      </c>
      <c r="H513" s="84" t="str">
        <f>IFERROR(VLOOKUP($E513,設定!$C:$G,4,0),"")</f>
        <v/>
      </c>
      <c r="I513" s="84" t="str">
        <f>IFERROR(VLOOKUP($E513,設定!$C:$G,5,0),"")</f>
        <v/>
      </c>
      <c r="J513" s="117"/>
      <c r="K513" s="85"/>
      <c r="L513" s="86"/>
      <c r="M513" s="86"/>
      <c r="N513" s="86"/>
      <c r="O513" s="86"/>
      <c r="P513" s="86"/>
      <c r="Q513" s="86"/>
      <c r="R513" s="86"/>
      <c r="S513" s="86"/>
      <c r="T513" s="86"/>
      <c r="U513" s="86"/>
      <c r="V513" s="86"/>
      <c r="W513" s="86"/>
      <c r="X513" s="86"/>
      <c r="Y513" s="86"/>
      <c r="Z513" s="86"/>
      <c r="AA513" s="86"/>
      <c r="AB513" s="86"/>
      <c r="AC513" s="86"/>
      <c r="AD513" s="86"/>
      <c r="AE513" s="86"/>
      <c r="AF513" s="86"/>
      <c r="AG513" s="86"/>
      <c r="AH513" s="86"/>
      <c r="AI513" s="86"/>
      <c r="AJ513" s="86"/>
      <c r="AK513" s="86"/>
      <c r="AL513" s="86"/>
      <c r="AM513" s="86"/>
      <c r="AN513" s="86"/>
      <c r="AO513" s="87"/>
      <c r="AP513" s="88">
        <f t="shared" si="7"/>
        <v>0</v>
      </c>
    </row>
    <row r="514" spans="2:42" s="3" customFormat="1" ht="24" customHeight="1" x14ac:dyDescent="0.2">
      <c r="B514" s="80"/>
      <c r="C514" s="81"/>
      <c r="D514" s="82"/>
      <c r="E514" s="83"/>
      <c r="F514" s="84" t="str">
        <f>IFERROR(VLOOKUP($E514,設定!$C:$G,2,0),"")</f>
        <v/>
      </c>
      <c r="G514" s="84" t="str">
        <f>IFERROR(VLOOKUP($E514,設定!$C:$G,3,0),"")</f>
        <v/>
      </c>
      <c r="H514" s="84" t="str">
        <f>IFERROR(VLOOKUP($E514,設定!$C:$G,4,0),"")</f>
        <v/>
      </c>
      <c r="I514" s="84" t="str">
        <f>IFERROR(VLOOKUP($E514,設定!$C:$G,5,0),"")</f>
        <v/>
      </c>
      <c r="J514" s="117"/>
      <c r="K514" s="85"/>
      <c r="L514" s="86"/>
      <c r="M514" s="86"/>
      <c r="N514" s="86"/>
      <c r="O514" s="86"/>
      <c r="P514" s="86"/>
      <c r="Q514" s="86"/>
      <c r="R514" s="86"/>
      <c r="S514" s="86"/>
      <c r="T514" s="86"/>
      <c r="U514" s="86"/>
      <c r="V514" s="86"/>
      <c r="W514" s="86"/>
      <c r="X514" s="86"/>
      <c r="Y514" s="86"/>
      <c r="Z514" s="86"/>
      <c r="AA514" s="86"/>
      <c r="AB514" s="86"/>
      <c r="AC514" s="86"/>
      <c r="AD514" s="86"/>
      <c r="AE514" s="86"/>
      <c r="AF514" s="86"/>
      <c r="AG514" s="86"/>
      <c r="AH514" s="86"/>
      <c r="AI514" s="86"/>
      <c r="AJ514" s="86"/>
      <c r="AK514" s="86"/>
      <c r="AL514" s="86"/>
      <c r="AM514" s="86"/>
      <c r="AN514" s="86"/>
      <c r="AO514" s="87"/>
      <c r="AP514" s="88">
        <f t="shared" si="7"/>
        <v>0</v>
      </c>
    </row>
    <row r="515" spans="2:42" s="3" customFormat="1" ht="24" customHeight="1" x14ac:dyDescent="0.2">
      <c r="B515" s="80"/>
      <c r="C515" s="81"/>
      <c r="D515" s="82"/>
      <c r="E515" s="83"/>
      <c r="F515" s="84" t="str">
        <f>IFERROR(VLOOKUP($E515,設定!$C:$G,2,0),"")</f>
        <v/>
      </c>
      <c r="G515" s="84" t="str">
        <f>IFERROR(VLOOKUP($E515,設定!$C:$G,3,0),"")</f>
        <v/>
      </c>
      <c r="H515" s="84" t="str">
        <f>IFERROR(VLOOKUP($E515,設定!$C:$G,4,0),"")</f>
        <v/>
      </c>
      <c r="I515" s="84" t="str">
        <f>IFERROR(VLOOKUP($E515,設定!$C:$G,5,0),"")</f>
        <v/>
      </c>
      <c r="J515" s="117"/>
      <c r="K515" s="85"/>
      <c r="L515" s="86"/>
      <c r="M515" s="86"/>
      <c r="N515" s="86"/>
      <c r="O515" s="86"/>
      <c r="P515" s="86"/>
      <c r="Q515" s="86"/>
      <c r="R515" s="86"/>
      <c r="S515" s="86"/>
      <c r="T515" s="86"/>
      <c r="U515" s="86"/>
      <c r="V515" s="86"/>
      <c r="W515" s="86"/>
      <c r="X515" s="86"/>
      <c r="Y515" s="86"/>
      <c r="Z515" s="86"/>
      <c r="AA515" s="86"/>
      <c r="AB515" s="86"/>
      <c r="AC515" s="86"/>
      <c r="AD515" s="86"/>
      <c r="AE515" s="86"/>
      <c r="AF515" s="86"/>
      <c r="AG515" s="86"/>
      <c r="AH515" s="86"/>
      <c r="AI515" s="86"/>
      <c r="AJ515" s="86"/>
      <c r="AK515" s="86"/>
      <c r="AL515" s="86"/>
      <c r="AM515" s="86"/>
      <c r="AN515" s="86"/>
      <c r="AO515" s="87"/>
      <c r="AP515" s="88">
        <f t="shared" si="7"/>
        <v>0</v>
      </c>
    </row>
    <row r="516" spans="2:42" s="3" customFormat="1" ht="24" customHeight="1" x14ac:dyDescent="0.2">
      <c r="B516" s="80"/>
      <c r="C516" s="81"/>
      <c r="D516" s="82"/>
      <c r="E516" s="83"/>
      <c r="F516" s="84" t="str">
        <f>IFERROR(VLOOKUP($E516,設定!$C:$G,2,0),"")</f>
        <v/>
      </c>
      <c r="G516" s="84" t="str">
        <f>IFERROR(VLOOKUP($E516,設定!$C:$G,3,0),"")</f>
        <v/>
      </c>
      <c r="H516" s="84" t="str">
        <f>IFERROR(VLOOKUP($E516,設定!$C:$G,4,0),"")</f>
        <v/>
      </c>
      <c r="I516" s="84" t="str">
        <f>IFERROR(VLOOKUP($E516,設定!$C:$G,5,0),"")</f>
        <v/>
      </c>
      <c r="J516" s="117"/>
      <c r="K516" s="85"/>
      <c r="L516" s="86"/>
      <c r="M516" s="86"/>
      <c r="N516" s="86"/>
      <c r="O516" s="86"/>
      <c r="P516" s="86"/>
      <c r="Q516" s="86"/>
      <c r="R516" s="86"/>
      <c r="S516" s="86"/>
      <c r="T516" s="86"/>
      <c r="U516" s="86"/>
      <c r="V516" s="86"/>
      <c r="W516" s="86"/>
      <c r="X516" s="86"/>
      <c r="Y516" s="86"/>
      <c r="Z516" s="86"/>
      <c r="AA516" s="86"/>
      <c r="AB516" s="86"/>
      <c r="AC516" s="86"/>
      <c r="AD516" s="86"/>
      <c r="AE516" s="86"/>
      <c r="AF516" s="86"/>
      <c r="AG516" s="86"/>
      <c r="AH516" s="86"/>
      <c r="AI516" s="86"/>
      <c r="AJ516" s="86"/>
      <c r="AK516" s="86"/>
      <c r="AL516" s="86"/>
      <c r="AM516" s="86"/>
      <c r="AN516" s="86"/>
      <c r="AO516" s="87"/>
      <c r="AP516" s="88">
        <f t="shared" si="7"/>
        <v>0</v>
      </c>
    </row>
    <row r="517" spans="2:42" s="3" customFormat="1" ht="24" customHeight="1" x14ac:dyDescent="0.2">
      <c r="B517" s="80"/>
      <c r="C517" s="81"/>
      <c r="D517" s="82"/>
      <c r="E517" s="83"/>
      <c r="F517" s="84" t="str">
        <f>IFERROR(VLOOKUP($E517,設定!$C:$G,2,0),"")</f>
        <v/>
      </c>
      <c r="G517" s="84" t="str">
        <f>IFERROR(VLOOKUP($E517,設定!$C:$G,3,0),"")</f>
        <v/>
      </c>
      <c r="H517" s="84" t="str">
        <f>IFERROR(VLOOKUP($E517,設定!$C:$G,4,0),"")</f>
        <v/>
      </c>
      <c r="I517" s="84" t="str">
        <f>IFERROR(VLOOKUP($E517,設定!$C:$G,5,0),"")</f>
        <v/>
      </c>
      <c r="J517" s="117"/>
      <c r="K517" s="85"/>
      <c r="L517" s="86"/>
      <c r="M517" s="86"/>
      <c r="N517" s="86"/>
      <c r="O517" s="86"/>
      <c r="P517" s="86"/>
      <c r="Q517" s="86"/>
      <c r="R517" s="86"/>
      <c r="S517" s="86"/>
      <c r="T517" s="86"/>
      <c r="U517" s="86"/>
      <c r="V517" s="86"/>
      <c r="W517" s="86"/>
      <c r="X517" s="86"/>
      <c r="Y517" s="86"/>
      <c r="Z517" s="86"/>
      <c r="AA517" s="86"/>
      <c r="AB517" s="86"/>
      <c r="AC517" s="86"/>
      <c r="AD517" s="86"/>
      <c r="AE517" s="86"/>
      <c r="AF517" s="86"/>
      <c r="AG517" s="86"/>
      <c r="AH517" s="86"/>
      <c r="AI517" s="86"/>
      <c r="AJ517" s="86"/>
      <c r="AK517" s="86"/>
      <c r="AL517" s="86"/>
      <c r="AM517" s="86"/>
      <c r="AN517" s="86"/>
      <c r="AO517" s="87"/>
      <c r="AP517" s="88">
        <f t="shared" si="7"/>
        <v>0</v>
      </c>
    </row>
    <row r="518" spans="2:42" s="3" customFormat="1" ht="24" customHeight="1" x14ac:dyDescent="0.2">
      <c r="B518" s="80"/>
      <c r="C518" s="81"/>
      <c r="D518" s="82"/>
      <c r="E518" s="83"/>
      <c r="F518" s="84" t="str">
        <f>IFERROR(VLOOKUP($E518,設定!$C:$G,2,0),"")</f>
        <v/>
      </c>
      <c r="G518" s="84" t="str">
        <f>IFERROR(VLOOKUP($E518,設定!$C:$G,3,0),"")</f>
        <v/>
      </c>
      <c r="H518" s="84" t="str">
        <f>IFERROR(VLOOKUP($E518,設定!$C:$G,4,0),"")</f>
        <v/>
      </c>
      <c r="I518" s="84" t="str">
        <f>IFERROR(VLOOKUP($E518,設定!$C:$G,5,0),"")</f>
        <v/>
      </c>
      <c r="J518" s="117"/>
      <c r="K518" s="85"/>
      <c r="L518" s="86"/>
      <c r="M518" s="86"/>
      <c r="N518" s="86"/>
      <c r="O518" s="86"/>
      <c r="P518" s="86"/>
      <c r="Q518" s="86"/>
      <c r="R518" s="86"/>
      <c r="S518" s="86"/>
      <c r="T518" s="86"/>
      <c r="U518" s="86"/>
      <c r="V518" s="86"/>
      <c r="W518" s="86"/>
      <c r="X518" s="86"/>
      <c r="Y518" s="86"/>
      <c r="Z518" s="86"/>
      <c r="AA518" s="86"/>
      <c r="AB518" s="86"/>
      <c r="AC518" s="86"/>
      <c r="AD518" s="86"/>
      <c r="AE518" s="86"/>
      <c r="AF518" s="86"/>
      <c r="AG518" s="86"/>
      <c r="AH518" s="86"/>
      <c r="AI518" s="86"/>
      <c r="AJ518" s="86"/>
      <c r="AK518" s="86"/>
      <c r="AL518" s="86"/>
      <c r="AM518" s="86"/>
      <c r="AN518" s="86"/>
      <c r="AO518" s="87"/>
      <c r="AP518" s="88">
        <f t="shared" si="7"/>
        <v>0</v>
      </c>
    </row>
    <row r="519" spans="2:42" s="3" customFormat="1" ht="24" customHeight="1" x14ac:dyDescent="0.2">
      <c r="B519" s="80"/>
      <c r="C519" s="81"/>
      <c r="D519" s="82"/>
      <c r="E519" s="83"/>
      <c r="F519" s="84" t="str">
        <f>IFERROR(VLOOKUP($E519,設定!$C:$G,2,0),"")</f>
        <v/>
      </c>
      <c r="G519" s="84" t="str">
        <f>IFERROR(VLOOKUP($E519,設定!$C:$G,3,0),"")</f>
        <v/>
      </c>
      <c r="H519" s="84" t="str">
        <f>IFERROR(VLOOKUP($E519,設定!$C:$G,4,0),"")</f>
        <v/>
      </c>
      <c r="I519" s="84" t="str">
        <f>IFERROR(VLOOKUP($E519,設定!$C:$G,5,0),"")</f>
        <v/>
      </c>
      <c r="J519" s="117"/>
      <c r="K519" s="85"/>
      <c r="L519" s="86"/>
      <c r="M519" s="86"/>
      <c r="N519" s="86"/>
      <c r="O519" s="86"/>
      <c r="P519" s="86"/>
      <c r="Q519" s="86"/>
      <c r="R519" s="86"/>
      <c r="S519" s="86"/>
      <c r="T519" s="86"/>
      <c r="U519" s="86"/>
      <c r="V519" s="86"/>
      <c r="W519" s="86"/>
      <c r="X519" s="86"/>
      <c r="Y519" s="86"/>
      <c r="Z519" s="86"/>
      <c r="AA519" s="86"/>
      <c r="AB519" s="86"/>
      <c r="AC519" s="86"/>
      <c r="AD519" s="86"/>
      <c r="AE519" s="86"/>
      <c r="AF519" s="86"/>
      <c r="AG519" s="86"/>
      <c r="AH519" s="86"/>
      <c r="AI519" s="86"/>
      <c r="AJ519" s="86"/>
      <c r="AK519" s="86"/>
      <c r="AL519" s="86"/>
      <c r="AM519" s="86"/>
      <c r="AN519" s="86"/>
      <c r="AO519" s="87"/>
      <c r="AP519" s="88">
        <f t="shared" si="7"/>
        <v>0</v>
      </c>
    </row>
    <row r="520" spans="2:42" s="3" customFormat="1" ht="24" customHeight="1" x14ac:dyDescent="0.2">
      <c r="B520" s="80"/>
      <c r="C520" s="81"/>
      <c r="D520" s="82"/>
      <c r="E520" s="83"/>
      <c r="F520" s="84" t="str">
        <f>IFERROR(VLOOKUP($E520,設定!$C:$G,2,0),"")</f>
        <v/>
      </c>
      <c r="G520" s="84" t="str">
        <f>IFERROR(VLOOKUP($E520,設定!$C:$G,3,0),"")</f>
        <v/>
      </c>
      <c r="H520" s="84" t="str">
        <f>IFERROR(VLOOKUP($E520,設定!$C:$G,4,0),"")</f>
        <v/>
      </c>
      <c r="I520" s="84" t="str">
        <f>IFERROR(VLOOKUP($E520,設定!$C:$G,5,0),"")</f>
        <v/>
      </c>
      <c r="J520" s="117"/>
      <c r="K520" s="85"/>
      <c r="L520" s="86"/>
      <c r="M520" s="86"/>
      <c r="N520" s="86"/>
      <c r="O520" s="86"/>
      <c r="P520" s="86"/>
      <c r="Q520" s="86"/>
      <c r="R520" s="86"/>
      <c r="S520" s="86"/>
      <c r="T520" s="86"/>
      <c r="U520" s="86"/>
      <c r="V520" s="86"/>
      <c r="W520" s="86"/>
      <c r="X520" s="86"/>
      <c r="Y520" s="86"/>
      <c r="Z520" s="86"/>
      <c r="AA520" s="86"/>
      <c r="AB520" s="86"/>
      <c r="AC520" s="86"/>
      <c r="AD520" s="86"/>
      <c r="AE520" s="86"/>
      <c r="AF520" s="86"/>
      <c r="AG520" s="86"/>
      <c r="AH520" s="86"/>
      <c r="AI520" s="86"/>
      <c r="AJ520" s="86"/>
      <c r="AK520" s="86"/>
      <c r="AL520" s="86"/>
      <c r="AM520" s="86"/>
      <c r="AN520" s="86"/>
      <c r="AO520" s="87"/>
      <c r="AP520" s="88">
        <f t="shared" ref="AP520:AP583" si="8">J520*SUM(K520:AO520)</f>
        <v>0</v>
      </c>
    </row>
    <row r="521" spans="2:42" s="3" customFormat="1" ht="24" customHeight="1" x14ac:dyDescent="0.2">
      <c r="B521" s="80"/>
      <c r="C521" s="81"/>
      <c r="D521" s="82"/>
      <c r="E521" s="83"/>
      <c r="F521" s="84" t="str">
        <f>IFERROR(VLOOKUP($E521,設定!$C:$G,2,0),"")</f>
        <v/>
      </c>
      <c r="G521" s="84" t="str">
        <f>IFERROR(VLOOKUP($E521,設定!$C:$G,3,0),"")</f>
        <v/>
      </c>
      <c r="H521" s="84" t="str">
        <f>IFERROR(VLOOKUP($E521,設定!$C:$G,4,0),"")</f>
        <v/>
      </c>
      <c r="I521" s="84" t="str">
        <f>IFERROR(VLOOKUP($E521,設定!$C:$G,5,0),"")</f>
        <v/>
      </c>
      <c r="J521" s="117"/>
      <c r="K521" s="85"/>
      <c r="L521" s="86"/>
      <c r="M521" s="86"/>
      <c r="N521" s="86"/>
      <c r="O521" s="86"/>
      <c r="P521" s="86"/>
      <c r="Q521" s="86"/>
      <c r="R521" s="86"/>
      <c r="S521" s="86"/>
      <c r="T521" s="86"/>
      <c r="U521" s="86"/>
      <c r="V521" s="86"/>
      <c r="W521" s="86"/>
      <c r="X521" s="86"/>
      <c r="Y521" s="86"/>
      <c r="Z521" s="86"/>
      <c r="AA521" s="86"/>
      <c r="AB521" s="86"/>
      <c r="AC521" s="86"/>
      <c r="AD521" s="86"/>
      <c r="AE521" s="86"/>
      <c r="AF521" s="86"/>
      <c r="AG521" s="86"/>
      <c r="AH521" s="86"/>
      <c r="AI521" s="86"/>
      <c r="AJ521" s="86"/>
      <c r="AK521" s="86"/>
      <c r="AL521" s="86"/>
      <c r="AM521" s="86"/>
      <c r="AN521" s="86"/>
      <c r="AO521" s="87"/>
      <c r="AP521" s="88">
        <f t="shared" si="8"/>
        <v>0</v>
      </c>
    </row>
    <row r="522" spans="2:42" s="3" customFormat="1" ht="24" customHeight="1" x14ac:dyDescent="0.2">
      <c r="B522" s="80"/>
      <c r="C522" s="81"/>
      <c r="D522" s="82"/>
      <c r="E522" s="83"/>
      <c r="F522" s="84" t="str">
        <f>IFERROR(VLOOKUP($E522,設定!$C:$G,2,0),"")</f>
        <v/>
      </c>
      <c r="G522" s="84" t="str">
        <f>IFERROR(VLOOKUP($E522,設定!$C:$G,3,0),"")</f>
        <v/>
      </c>
      <c r="H522" s="84" t="str">
        <f>IFERROR(VLOOKUP($E522,設定!$C:$G,4,0),"")</f>
        <v/>
      </c>
      <c r="I522" s="84" t="str">
        <f>IFERROR(VLOOKUP($E522,設定!$C:$G,5,0),"")</f>
        <v/>
      </c>
      <c r="J522" s="117"/>
      <c r="K522" s="85"/>
      <c r="L522" s="86"/>
      <c r="M522" s="86"/>
      <c r="N522" s="86"/>
      <c r="O522" s="86"/>
      <c r="P522" s="86"/>
      <c r="Q522" s="86"/>
      <c r="R522" s="86"/>
      <c r="S522" s="86"/>
      <c r="T522" s="86"/>
      <c r="U522" s="86"/>
      <c r="V522" s="86"/>
      <c r="W522" s="86"/>
      <c r="X522" s="86"/>
      <c r="Y522" s="86"/>
      <c r="Z522" s="86"/>
      <c r="AA522" s="86"/>
      <c r="AB522" s="86"/>
      <c r="AC522" s="86"/>
      <c r="AD522" s="86"/>
      <c r="AE522" s="86"/>
      <c r="AF522" s="86"/>
      <c r="AG522" s="86"/>
      <c r="AH522" s="86"/>
      <c r="AI522" s="86"/>
      <c r="AJ522" s="86"/>
      <c r="AK522" s="86"/>
      <c r="AL522" s="86"/>
      <c r="AM522" s="86"/>
      <c r="AN522" s="86"/>
      <c r="AO522" s="87"/>
      <c r="AP522" s="88">
        <f t="shared" si="8"/>
        <v>0</v>
      </c>
    </row>
    <row r="523" spans="2:42" s="3" customFormat="1" ht="24" customHeight="1" x14ac:dyDescent="0.2">
      <c r="B523" s="80"/>
      <c r="C523" s="81"/>
      <c r="D523" s="82"/>
      <c r="E523" s="83"/>
      <c r="F523" s="84" t="str">
        <f>IFERROR(VLOOKUP($E523,設定!$C:$G,2,0),"")</f>
        <v/>
      </c>
      <c r="G523" s="84" t="str">
        <f>IFERROR(VLOOKUP($E523,設定!$C:$G,3,0),"")</f>
        <v/>
      </c>
      <c r="H523" s="84" t="str">
        <f>IFERROR(VLOOKUP($E523,設定!$C:$G,4,0),"")</f>
        <v/>
      </c>
      <c r="I523" s="84" t="str">
        <f>IFERROR(VLOOKUP($E523,設定!$C:$G,5,0),"")</f>
        <v/>
      </c>
      <c r="J523" s="117"/>
      <c r="K523" s="85"/>
      <c r="L523" s="86"/>
      <c r="M523" s="86"/>
      <c r="N523" s="86"/>
      <c r="O523" s="86"/>
      <c r="P523" s="86"/>
      <c r="Q523" s="86"/>
      <c r="R523" s="86"/>
      <c r="S523" s="86"/>
      <c r="T523" s="86"/>
      <c r="U523" s="86"/>
      <c r="V523" s="86"/>
      <c r="W523" s="86"/>
      <c r="X523" s="86"/>
      <c r="Y523" s="86"/>
      <c r="Z523" s="86"/>
      <c r="AA523" s="86"/>
      <c r="AB523" s="86"/>
      <c r="AC523" s="86"/>
      <c r="AD523" s="86"/>
      <c r="AE523" s="86"/>
      <c r="AF523" s="86"/>
      <c r="AG523" s="86"/>
      <c r="AH523" s="86"/>
      <c r="AI523" s="86"/>
      <c r="AJ523" s="86"/>
      <c r="AK523" s="86"/>
      <c r="AL523" s="86"/>
      <c r="AM523" s="86"/>
      <c r="AN523" s="86"/>
      <c r="AO523" s="87"/>
      <c r="AP523" s="88">
        <f t="shared" si="8"/>
        <v>0</v>
      </c>
    </row>
    <row r="524" spans="2:42" s="3" customFormat="1" ht="24" customHeight="1" x14ac:dyDescent="0.2">
      <c r="B524" s="80"/>
      <c r="C524" s="81"/>
      <c r="D524" s="82"/>
      <c r="E524" s="83"/>
      <c r="F524" s="84" t="str">
        <f>IFERROR(VLOOKUP($E524,設定!$C:$G,2,0),"")</f>
        <v/>
      </c>
      <c r="G524" s="84" t="str">
        <f>IFERROR(VLOOKUP($E524,設定!$C:$G,3,0),"")</f>
        <v/>
      </c>
      <c r="H524" s="84" t="str">
        <f>IFERROR(VLOOKUP($E524,設定!$C:$G,4,0),"")</f>
        <v/>
      </c>
      <c r="I524" s="84" t="str">
        <f>IFERROR(VLOOKUP($E524,設定!$C:$G,5,0),"")</f>
        <v/>
      </c>
      <c r="J524" s="117"/>
      <c r="K524" s="85"/>
      <c r="L524" s="86"/>
      <c r="M524" s="86"/>
      <c r="N524" s="86"/>
      <c r="O524" s="86"/>
      <c r="P524" s="86"/>
      <c r="Q524" s="86"/>
      <c r="R524" s="86"/>
      <c r="S524" s="86"/>
      <c r="T524" s="86"/>
      <c r="U524" s="86"/>
      <c r="V524" s="86"/>
      <c r="W524" s="86"/>
      <c r="X524" s="86"/>
      <c r="Y524" s="86"/>
      <c r="Z524" s="86"/>
      <c r="AA524" s="86"/>
      <c r="AB524" s="86"/>
      <c r="AC524" s="86"/>
      <c r="AD524" s="86"/>
      <c r="AE524" s="86"/>
      <c r="AF524" s="86"/>
      <c r="AG524" s="86"/>
      <c r="AH524" s="86"/>
      <c r="AI524" s="86"/>
      <c r="AJ524" s="86"/>
      <c r="AK524" s="86"/>
      <c r="AL524" s="86"/>
      <c r="AM524" s="86"/>
      <c r="AN524" s="86"/>
      <c r="AO524" s="87"/>
      <c r="AP524" s="88">
        <f t="shared" si="8"/>
        <v>0</v>
      </c>
    </row>
    <row r="525" spans="2:42" s="3" customFormat="1" ht="24" customHeight="1" x14ac:dyDescent="0.2">
      <c r="B525" s="80"/>
      <c r="C525" s="81"/>
      <c r="D525" s="82"/>
      <c r="E525" s="83"/>
      <c r="F525" s="84" t="str">
        <f>IFERROR(VLOOKUP($E525,設定!$C:$G,2,0),"")</f>
        <v/>
      </c>
      <c r="G525" s="84" t="str">
        <f>IFERROR(VLOOKUP($E525,設定!$C:$G,3,0),"")</f>
        <v/>
      </c>
      <c r="H525" s="84" t="str">
        <f>IFERROR(VLOOKUP($E525,設定!$C:$G,4,0),"")</f>
        <v/>
      </c>
      <c r="I525" s="84" t="str">
        <f>IFERROR(VLOOKUP($E525,設定!$C:$G,5,0),"")</f>
        <v/>
      </c>
      <c r="J525" s="117"/>
      <c r="K525" s="85"/>
      <c r="L525" s="86"/>
      <c r="M525" s="86"/>
      <c r="N525" s="86"/>
      <c r="O525" s="86"/>
      <c r="P525" s="86"/>
      <c r="Q525" s="86"/>
      <c r="R525" s="86"/>
      <c r="S525" s="86"/>
      <c r="T525" s="86"/>
      <c r="U525" s="86"/>
      <c r="V525" s="86"/>
      <c r="W525" s="86"/>
      <c r="X525" s="86"/>
      <c r="Y525" s="86"/>
      <c r="Z525" s="86"/>
      <c r="AA525" s="86"/>
      <c r="AB525" s="86"/>
      <c r="AC525" s="86"/>
      <c r="AD525" s="86"/>
      <c r="AE525" s="86"/>
      <c r="AF525" s="86"/>
      <c r="AG525" s="86"/>
      <c r="AH525" s="86"/>
      <c r="AI525" s="86"/>
      <c r="AJ525" s="86"/>
      <c r="AK525" s="86"/>
      <c r="AL525" s="86"/>
      <c r="AM525" s="86"/>
      <c r="AN525" s="86"/>
      <c r="AO525" s="87"/>
      <c r="AP525" s="88">
        <f t="shared" si="8"/>
        <v>0</v>
      </c>
    </row>
    <row r="526" spans="2:42" s="3" customFormat="1" ht="24" customHeight="1" x14ac:dyDescent="0.2">
      <c r="B526" s="80"/>
      <c r="C526" s="81"/>
      <c r="D526" s="82"/>
      <c r="E526" s="83"/>
      <c r="F526" s="84" t="str">
        <f>IFERROR(VLOOKUP($E526,設定!$C:$G,2,0),"")</f>
        <v/>
      </c>
      <c r="G526" s="84" t="str">
        <f>IFERROR(VLOOKUP($E526,設定!$C:$G,3,0),"")</f>
        <v/>
      </c>
      <c r="H526" s="84" t="str">
        <f>IFERROR(VLOOKUP($E526,設定!$C:$G,4,0),"")</f>
        <v/>
      </c>
      <c r="I526" s="84" t="str">
        <f>IFERROR(VLOOKUP($E526,設定!$C:$G,5,0),"")</f>
        <v/>
      </c>
      <c r="J526" s="117"/>
      <c r="K526" s="85"/>
      <c r="L526" s="86"/>
      <c r="M526" s="86"/>
      <c r="N526" s="86"/>
      <c r="O526" s="86"/>
      <c r="P526" s="86"/>
      <c r="Q526" s="86"/>
      <c r="R526" s="86"/>
      <c r="S526" s="86"/>
      <c r="T526" s="86"/>
      <c r="U526" s="86"/>
      <c r="V526" s="86"/>
      <c r="W526" s="86"/>
      <c r="X526" s="86"/>
      <c r="Y526" s="86"/>
      <c r="Z526" s="86"/>
      <c r="AA526" s="86"/>
      <c r="AB526" s="86"/>
      <c r="AC526" s="86"/>
      <c r="AD526" s="86"/>
      <c r="AE526" s="86"/>
      <c r="AF526" s="86"/>
      <c r="AG526" s="86"/>
      <c r="AH526" s="86"/>
      <c r="AI526" s="86"/>
      <c r="AJ526" s="86"/>
      <c r="AK526" s="86"/>
      <c r="AL526" s="86"/>
      <c r="AM526" s="86"/>
      <c r="AN526" s="86"/>
      <c r="AO526" s="87"/>
      <c r="AP526" s="88">
        <f t="shared" si="8"/>
        <v>0</v>
      </c>
    </row>
    <row r="527" spans="2:42" s="3" customFormat="1" ht="24" customHeight="1" x14ac:dyDescent="0.2">
      <c r="B527" s="80"/>
      <c r="C527" s="81"/>
      <c r="D527" s="82"/>
      <c r="E527" s="83"/>
      <c r="F527" s="84" t="str">
        <f>IFERROR(VLOOKUP($E527,設定!$C:$G,2,0),"")</f>
        <v/>
      </c>
      <c r="G527" s="84" t="str">
        <f>IFERROR(VLOOKUP($E527,設定!$C:$G,3,0),"")</f>
        <v/>
      </c>
      <c r="H527" s="84" t="str">
        <f>IFERROR(VLOOKUP($E527,設定!$C:$G,4,0),"")</f>
        <v/>
      </c>
      <c r="I527" s="84" t="str">
        <f>IFERROR(VLOOKUP($E527,設定!$C:$G,5,0),"")</f>
        <v/>
      </c>
      <c r="J527" s="117"/>
      <c r="K527" s="85"/>
      <c r="L527" s="86"/>
      <c r="M527" s="86"/>
      <c r="N527" s="86"/>
      <c r="O527" s="86"/>
      <c r="P527" s="86"/>
      <c r="Q527" s="86"/>
      <c r="R527" s="86"/>
      <c r="S527" s="86"/>
      <c r="T527" s="86"/>
      <c r="U527" s="86"/>
      <c r="V527" s="86"/>
      <c r="W527" s="86"/>
      <c r="X527" s="86"/>
      <c r="Y527" s="86"/>
      <c r="Z527" s="86"/>
      <c r="AA527" s="86"/>
      <c r="AB527" s="86"/>
      <c r="AC527" s="86"/>
      <c r="AD527" s="86"/>
      <c r="AE527" s="86"/>
      <c r="AF527" s="86"/>
      <c r="AG527" s="86"/>
      <c r="AH527" s="86"/>
      <c r="AI527" s="86"/>
      <c r="AJ527" s="86"/>
      <c r="AK527" s="86"/>
      <c r="AL527" s="86"/>
      <c r="AM527" s="86"/>
      <c r="AN527" s="86"/>
      <c r="AO527" s="87"/>
      <c r="AP527" s="88">
        <f t="shared" si="8"/>
        <v>0</v>
      </c>
    </row>
    <row r="528" spans="2:42" s="3" customFormat="1" ht="24" customHeight="1" x14ac:dyDescent="0.2">
      <c r="B528" s="80"/>
      <c r="C528" s="81"/>
      <c r="D528" s="82"/>
      <c r="E528" s="83"/>
      <c r="F528" s="84" t="str">
        <f>IFERROR(VLOOKUP($E528,設定!$C:$G,2,0),"")</f>
        <v/>
      </c>
      <c r="G528" s="84" t="str">
        <f>IFERROR(VLOOKUP($E528,設定!$C:$G,3,0),"")</f>
        <v/>
      </c>
      <c r="H528" s="84" t="str">
        <f>IFERROR(VLOOKUP($E528,設定!$C:$G,4,0),"")</f>
        <v/>
      </c>
      <c r="I528" s="84" t="str">
        <f>IFERROR(VLOOKUP($E528,設定!$C:$G,5,0),"")</f>
        <v/>
      </c>
      <c r="J528" s="117"/>
      <c r="K528" s="85"/>
      <c r="L528" s="86"/>
      <c r="M528" s="86"/>
      <c r="N528" s="86"/>
      <c r="O528" s="86"/>
      <c r="P528" s="86"/>
      <c r="Q528" s="86"/>
      <c r="R528" s="86"/>
      <c r="S528" s="86"/>
      <c r="T528" s="86"/>
      <c r="U528" s="86"/>
      <c r="V528" s="86"/>
      <c r="W528" s="86"/>
      <c r="X528" s="86"/>
      <c r="Y528" s="86"/>
      <c r="Z528" s="86"/>
      <c r="AA528" s="86"/>
      <c r="AB528" s="86"/>
      <c r="AC528" s="86"/>
      <c r="AD528" s="86"/>
      <c r="AE528" s="86"/>
      <c r="AF528" s="86"/>
      <c r="AG528" s="86"/>
      <c r="AH528" s="86"/>
      <c r="AI528" s="86"/>
      <c r="AJ528" s="86"/>
      <c r="AK528" s="86"/>
      <c r="AL528" s="86"/>
      <c r="AM528" s="86"/>
      <c r="AN528" s="86"/>
      <c r="AO528" s="87"/>
      <c r="AP528" s="88">
        <f t="shared" si="8"/>
        <v>0</v>
      </c>
    </row>
    <row r="529" spans="2:42" s="3" customFormat="1" ht="24" customHeight="1" x14ac:dyDescent="0.2">
      <c r="B529" s="80"/>
      <c r="C529" s="81"/>
      <c r="D529" s="82"/>
      <c r="E529" s="83"/>
      <c r="F529" s="84" t="str">
        <f>IFERROR(VLOOKUP($E529,設定!$C:$G,2,0),"")</f>
        <v/>
      </c>
      <c r="G529" s="84" t="str">
        <f>IFERROR(VLOOKUP($E529,設定!$C:$G,3,0),"")</f>
        <v/>
      </c>
      <c r="H529" s="84" t="str">
        <f>IFERROR(VLOOKUP($E529,設定!$C:$G,4,0),"")</f>
        <v/>
      </c>
      <c r="I529" s="84" t="str">
        <f>IFERROR(VLOOKUP($E529,設定!$C:$G,5,0),"")</f>
        <v/>
      </c>
      <c r="J529" s="117"/>
      <c r="K529" s="85"/>
      <c r="L529" s="86"/>
      <c r="M529" s="86"/>
      <c r="N529" s="86"/>
      <c r="O529" s="86"/>
      <c r="P529" s="86"/>
      <c r="Q529" s="86"/>
      <c r="R529" s="86"/>
      <c r="S529" s="86"/>
      <c r="T529" s="86"/>
      <c r="U529" s="86"/>
      <c r="V529" s="86"/>
      <c r="W529" s="86"/>
      <c r="X529" s="86"/>
      <c r="Y529" s="86"/>
      <c r="Z529" s="86"/>
      <c r="AA529" s="86"/>
      <c r="AB529" s="86"/>
      <c r="AC529" s="86"/>
      <c r="AD529" s="86"/>
      <c r="AE529" s="86"/>
      <c r="AF529" s="86"/>
      <c r="AG529" s="86"/>
      <c r="AH529" s="86"/>
      <c r="AI529" s="86"/>
      <c r="AJ529" s="86"/>
      <c r="AK529" s="86"/>
      <c r="AL529" s="86"/>
      <c r="AM529" s="86"/>
      <c r="AN529" s="86"/>
      <c r="AO529" s="87"/>
      <c r="AP529" s="88">
        <f t="shared" si="8"/>
        <v>0</v>
      </c>
    </row>
    <row r="530" spans="2:42" s="3" customFormat="1" ht="24" customHeight="1" x14ac:dyDescent="0.2">
      <c r="B530" s="80"/>
      <c r="C530" s="81"/>
      <c r="D530" s="82"/>
      <c r="E530" s="83"/>
      <c r="F530" s="84" t="str">
        <f>IFERROR(VLOOKUP($E530,設定!$C:$G,2,0),"")</f>
        <v/>
      </c>
      <c r="G530" s="84" t="str">
        <f>IFERROR(VLOOKUP($E530,設定!$C:$G,3,0),"")</f>
        <v/>
      </c>
      <c r="H530" s="84" t="str">
        <f>IFERROR(VLOOKUP($E530,設定!$C:$G,4,0),"")</f>
        <v/>
      </c>
      <c r="I530" s="84" t="str">
        <f>IFERROR(VLOOKUP($E530,設定!$C:$G,5,0),"")</f>
        <v/>
      </c>
      <c r="J530" s="117"/>
      <c r="K530" s="85"/>
      <c r="L530" s="86"/>
      <c r="M530" s="86"/>
      <c r="N530" s="86"/>
      <c r="O530" s="86"/>
      <c r="P530" s="86"/>
      <c r="Q530" s="86"/>
      <c r="R530" s="86"/>
      <c r="S530" s="86"/>
      <c r="T530" s="86"/>
      <c r="U530" s="86"/>
      <c r="V530" s="86"/>
      <c r="W530" s="86"/>
      <c r="X530" s="86"/>
      <c r="Y530" s="86"/>
      <c r="Z530" s="86"/>
      <c r="AA530" s="86"/>
      <c r="AB530" s="86"/>
      <c r="AC530" s="86"/>
      <c r="AD530" s="86"/>
      <c r="AE530" s="86"/>
      <c r="AF530" s="86"/>
      <c r="AG530" s="86"/>
      <c r="AH530" s="86"/>
      <c r="AI530" s="86"/>
      <c r="AJ530" s="86"/>
      <c r="AK530" s="86"/>
      <c r="AL530" s="86"/>
      <c r="AM530" s="86"/>
      <c r="AN530" s="86"/>
      <c r="AO530" s="87"/>
      <c r="AP530" s="88">
        <f t="shared" si="8"/>
        <v>0</v>
      </c>
    </row>
    <row r="531" spans="2:42" s="3" customFormat="1" ht="24" customHeight="1" x14ac:dyDescent="0.2">
      <c r="B531" s="80"/>
      <c r="C531" s="81"/>
      <c r="D531" s="82"/>
      <c r="E531" s="83"/>
      <c r="F531" s="84" t="str">
        <f>IFERROR(VLOOKUP($E531,設定!$C:$G,2,0),"")</f>
        <v/>
      </c>
      <c r="G531" s="84" t="str">
        <f>IFERROR(VLOOKUP($E531,設定!$C:$G,3,0),"")</f>
        <v/>
      </c>
      <c r="H531" s="84" t="str">
        <f>IFERROR(VLOOKUP($E531,設定!$C:$G,4,0),"")</f>
        <v/>
      </c>
      <c r="I531" s="84" t="str">
        <f>IFERROR(VLOOKUP($E531,設定!$C:$G,5,0),"")</f>
        <v/>
      </c>
      <c r="J531" s="117"/>
      <c r="K531" s="85"/>
      <c r="L531" s="86"/>
      <c r="M531" s="86"/>
      <c r="N531" s="86"/>
      <c r="O531" s="86"/>
      <c r="P531" s="86"/>
      <c r="Q531" s="86"/>
      <c r="R531" s="86"/>
      <c r="S531" s="86"/>
      <c r="T531" s="86"/>
      <c r="U531" s="86"/>
      <c r="V531" s="86"/>
      <c r="W531" s="86"/>
      <c r="X531" s="86"/>
      <c r="Y531" s="86"/>
      <c r="Z531" s="86"/>
      <c r="AA531" s="86"/>
      <c r="AB531" s="86"/>
      <c r="AC531" s="86"/>
      <c r="AD531" s="86"/>
      <c r="AE531" s="86"/>
      <c r="AF531" s="86"/>
      <c r="AG531" s="86"/>
      <c r="AH531" s="86"/>
      <c r="AI531" s="86"/>
      <c r="AJ531" s="86"/>
      <c r="AK531" s="86"/>
      <c r="AL531" s="86"/>
      <c r="AM531" s="86"/>
      <c r="AN531" s="86"/>
      <c r="AO531" s="87"/>
      <c r="AP531" s="88">
        <f t="shared" si="8"/>
        <v>0</v>
      </c>
    </row>
    <row r="532" spans="2:42" s="3" customFormat="1" ht="24" customHeight="1" x14ac:dyDescent="0.2">
      <c r="B532" s="80"/>
      <c r="C532" s="81"/>
      <c r="D532" s="82"/>
      <c r="E532" s="83"/>
      <c r="F532" s="84" t="str">
        <f>IFERROR(VLOOKUP($E532,設定!$C:$G,2,0),"")</f>
        <v/>
      </c>
      <c r="G532" s="84" t="str">
        <f>IFERROR(VLOOKUP($E532,設定!$C:$G,3,0),"")</f>
        <v/>
      </c>
      <c r="H532" s="84" t="str">
        <f>IFERROR(VLOOKUP($E532,設定!$C:$G,4,0),"")</f>
        <v/>
      </c>
      <c r="I532" s="84" t="str">
        <f>IFERROR(VLOOKUP($E532,設定!$C:$G,5,0),"")</f>
        <v/>
      </c>
      <c r="J532" s="117"/>
      <c r="K532" s="85"/>
      <c r="L532" s="86"/>
      <c r="M532" s="86"/>
      <c r="N532" s="86"/>
      <c r="O532" s="86"/>
      <c r="P532" s="86"/>
      <c r="Q532" s="86"/>
      <c r="R532" s="86"/>
      <c r="S532" s="86"/>
      <c r="T532" s="86"/>
      <c r="U532" s="86"/>
      <c r="V532" s="86"/>
      <c r="W532" s="86"/>
      <c r="X532" s="86"/>
      <c r="Y532" s="86"/>
      <c r="Z532" s="86"/>
      <c r="AA532" s="86"/>
      <c r="AB532" s="86"/>
      <c r="AC532" s="86"/>
      <c r="AD532" s="86"/>
      <c r="AE532" s="86"/>
      <c r="AF532" s="86"/>
      <c r="AG532" s="86"/>
      <c r="AH532" s="86"/>
      <c r="AI532" s="86"/>
      <c r="AJ532" s="86"/>
      <c r="AK532" s="86"/>
      <c r="AL532" s="86"/>
      <c r="AM532" s="86"/>
      <c r="AN532" s="86"/>
      <c r="AO532" s="87"/>
      <c r="AP532" s="88">
        <f t="shared" si="8"/>
        <v>0</v>
      </c>
    </row>
    <row r="533" spans="2:42" s="3" customFormat="1" ht="24" customHeight="1" x14ac:dyDescent="0.2">
      <c r="B533" s="80"/>
      <c r="C533" s="81"/>
      <c r="D533" s="82"/>
      <c r="E533" s="83"/>
      <c r="F533" s="84" t="str">
        <f>IFERROR(VLOOKUP($E533,設定!$C:$G,2,0),"")</f>
        <v/>
      </c>
      <c r="G533" s="84" t="str">
        <f>IFERROR(VLOOKUP($E533,設定!$C:$G,3,0),"")</f>
        <v/>
      </c>
      <c r="H533" s="84" t="str">
        <f>IFERROR(VLOOKUP($E533,設定!$C:$G,4,0),"")</f>
        <v/>
      </c>
      <c r="I533" s="84" t="str">
        <f>IFERROR(VLOOKUP($E533,設定!$C:$G,5,0),"")</f>
        <v/>
      </c>
      <c r="J533" s="117"/>
      <c r="K533" s="85"/>
      <c r="L533" s="86"/>
      <c r="M533" s="86"/>
      <c r="N533" s="86"/>
      <c r="O533" s="86"/>
      <c r="P533" s="86"/>
      <c r="Q533" s="86"/>
      <c r="R533" s="86"/>
      <c r="S533" s="86"/>
      <c r="T533" s="86"/>
      <c r="U533" s="86"/>
      <c r="V533" s="86"/>
      <c r="W533" s="86"/>
      <c r="X533" s="86"/>
      <c r="Y533" s="86"/>
      <c r="Z533" s="86"/>
      <c r="AA533" s="86"/>
      <c r="AB533" s="86"/>
      <c r="AC533" s="86"/>
      <c r="AD533" s="86"/>
      <c r="AE533" s="86"/>
      <c r="AF533" s="86"/>
      <c r="AG533" s="86"/>
      <c r="AH533" s="86"/>
      <c r="AI533" s="86"/>
      <c r="AJ533" s="86"/>
      <c r="AK533" s="86"/>
      <c r="AL533" s="86"/>
      <c r="AM533" s="86"/>
      <c r="AN533" s="86"/>
      <c r="AO533" s="87"/>
      <c r="AP533" s="88">
        <f t="shared" si="8"/>
        <v>0</v>
      </c>
    </row>
    <row r="534" spans="2:42" s="3" customFormat="1" ht="24" customHeight="1" x14ac:dyDescent="0.2">
      <c r="B534" s="80"/>
      <c r="C534" s="81"/>
      <c r="D534" s="82"/>
      <c r="E534" s="83"/>
      <c r="F534" s="84" t="str">
        <f>IFERROR(VLOOKUP($E534,設定!$C:$G,2,0),"")</f>
        <v/>
      </c>
      <c r="G534" s="84" t="str">
        <f>IFERROR(VLOOKUP($E534,設定!$C:$G,3,0),"")</f>
        <v/>
      </c>
      <c r="H534" s="84" t="str">
        <f>IFERROR(VLOOKUP($E534,設定!$C:$G,4,0),"")</f>
        <v/>
      </c>
      <c r="I534" s="84" t="str">
        <f>IFERROR(VLOOKUP($E534,設定!$C:$G,5,0),"")</f>
        <v/>
      </c>
      <c r="J534" s="117"/>
      <c r="K534" s="85"/>
      <c r="L534" s="86"/>
      <c r="M534" s="86"/>
      <c r="N534" s="86"/>
      <c r="O534" s="86"/>
      <c r="P534" s="86"/>
      <c r="Q534" s="86"/>
      <c r="R534" s="86"/>
      <c r="S534" s="86"/>
      <c r="T534" s="86"/>
      <c r="U534" s="86"/>
      <c r="V534" s="86"/>
      <c r="W534" s="86"/>
      <c r="X534" s="86"/>
      <c r="Y534" s="86"/>
      <c r="Z534" s="86"/>
      <c r="AA534" s="86"/>
      <c r="AB534" s="86"/>
      <c r="AC534" s="86"/>
      <c r="AD534" s="86"/>
      <c r="AE534" s="86"/>
      <c r="AF534" s="86"/>
      <c r="AG534" s="86"/>
      <c r="AH534" s="86"/>
      <c r="AI534" s="86"/>
      <c r="AJ534" s="86"/>
      <c r="AK534" s="86"/>
      <c r="AL534" s="86"/>
      <c r="AM534" s="86"/>
      <c r="AN534" s="86"/>
      <c r="AO534" s="87"/>
      <c r="AP534" s="88">
        <f t="shared" si="8"/>
        <v>0</v>
      </c>
    </row>
    <row r="535" spans="2:42" s="3" customFormat="1" ht="24" customHeight="1" x14ac:dyDescent="0.2">
      <c r="B535" s="80"/>
      <c r="C535" s="81"/>
      <c r="D535" s="82"/>
      <c r="E535" s="83"/>
      <c r="F535" s="84" t="str">
        <f>IFERROR(VLOOKUP($E535,設定!$C:$G,2,0),"")</f>
        <v/>
      </c>
      <c r="G535" s="84" t="str">
        <f>IFERROR(VLOOKUP($E535,設定!$C:$G,3,0),"")</f>
        <v/>
      </c>
      <c r="H535" s="84" t="str">
        <f>IFERROR(VLOOKUP($E535,設定!$C:$G,4,0),"")</f>
        <v/>
      </c>
      <c r="I535" s="84" t="str">
        <f>IFERROR(VLOOKUP($E535,設定!$C:$G,5,0),"")</f>
        <v/>
      </c>
      <c r="J535" s="117"/>
      <c r="K535" s="85"/>
      <c r="L535" s="86"/>
      <c r="M535" s="86"/>
      <c r="N535" s="86"/>
      <c r="O535" s="86"/>
      <c r="P535" s="86"/>
      <c r="Q535" s="86"/>
      <c r="R535" s="86"/>
      <c r="S535" s="86"/>
      <c r="T535" s="86"/>
      <c r="U535" s="86"/>
      <c r="V535" s="86"/>
      <c r="W535" s="86"/>
      <c r="X535" s="86"/>
      <c r="Y535" s="86"/>
      <c r="Z535" s="86"/>
      <c r="AA535" s="86"/>
      <c r="AB535" s="86"/>
      <c r="AC535" s="86"/>
      <c r="AD535" s="86"/>
      <c r="AE535" s="86"/>
      <c r="AF535" s="86"/>
      <c r="AG535" s="86"/>
      <c r="AH535" s="86"/>
      <c r="AI535" s="86"/>
      <c r="AJ535" s="86"/>
      <c r="AK535" s="86"/>
      <c r="AL535" s="86"/>
      <c r="AM535" s="86"/>
      <c r="AN535" s="86"/>
      <c r="AO535" s="87"/>
      <c r="AP535" s="88">
        <f t="shared" si="8"/>
        <v>0</v>
      </c>
    </row>
    <row r="536" spans="2:42" s="3" customFormat="1" ht="24" customHeight="1" x14ac:dyDescent="0.2">
      <c r="B536" s="80"/>
      <c r="C536" s="81"/>
      <c r="D536" s="82"/>
      <c r="E536" s="83"/>
      <c r="F536" s="84" t="str">
        <f>IFERROR(VLOOKUP($E536,設定!$C:$G,2,0),"")</f>
        <v/>
      </c>
      <c r="G536" s="84" t="str">
        <f>IFERROR(VLOOKUP($E536,設定!$C:$G,3,0),"")</f>
        <v/>
      </c>
      <c r="H536" s="84" t="str">
        <f>IFERROR(VLOOKUP($E536,設定!$C:$G,4,0),"")</f>
        <v/>
      </c>
      <c r="I536" s="84" t="str">
        <f>IFERROR(VLOOKUP($E536,設定!$C:$G,5,0),"")</f>
        <v/>
      </c>
      <c r="J536" s="117"/>
      <c r="K536" s="85"/>
      <c r="L536" s="86"/>
      <c r="M536" s="86"/>
      <c r="N536" s="86"/>
      <c r="O536" s="86"/>
      <c r="P536" s="86"/>
      <c r="Q536" s="86"/>
      <c r="R536" s="86"/>
      <c r="S536" s="86"/>
      <c r="T536" s="86"/>
      <c r="U536" s="86"/>
      <c r="V536" s="86"/>
      <c r="W536" s="86"/>
      <c r="X536" s="86"/>
      <c r="Y536" s="86"/>
      <c r="Z536" s="86"/>
      <c r="AA536" s="86"/>
      <c r="AB536" s="86"/>
      <c r="AC536" s="86"/>
      <c r="AD536" s="86"/>
      <c r="AE536" s="86"/>
      <c r="AF536" s="86"/>
      <c r="AG536" s="86"/>
      <c r="AH536" s="86"/>
      <c r="AI536" s="86"/>
      <c r="AJ536" s="86"/>
      <c r="AK536" s="86"/>
      <c r="AL536" s="86"/>
      <c r="AM536" s="86"/>
      <c r="AN536" s="86"/>
      <c r="AO536" s="87"/>
      <c r="AP536" s="88">
        <f t="shared" si="8"/>
        <v>0</v>
      </c>
    </row>
    <row r="537" spans="2:42" s="3" customFormat="1" ht="24" customHeight="1" x14ac:dyDescent="0.2">
      <c r="B537" s="80"/>
      <c r="C537" s="81"/>
      <c r="D537" s="82"/>
      <c r="E537" s="83"/>
      <c r="F537" s="84" t="str">
        <f>IFERROR(VLOOKUP($E537,設定!$C:$G,2,0),"")</f>
        <v/>
      </c>
      <c r="G537" s="84" t="str">
        <f>IFERROR(VLOOKUP($E537,設定!$C:$G,3,0),"")</f>
        <v/>
      </c>
      <c r="H537" s="84" t="str">
        <f>IFERROR(VLOOKUP($E537,設定!$C:$G,4,0),"")</f>
        <v/>
      </c>
      <c r="I537" s="84" t="str">
        <f>IFERROR(VLOOKUP($E537,設定!$C:$G,5,0),"")</f>
        <v/>
      </c>
      <c r="J537" s="117"/>
      <c r="K537" s="85"/>
      <c r="L537" s="86"/>
      <c r="M537" s="86"/>
      <c r="N537" s="86"/>
      <c r="O537" s="86"/>
      <c r="P537" s="86"/>
      <c r="Q537" s="86"/>
      <c r="R537" s="86"/>
      <c r="S537" s="86"/>
      <c r="T537" s="86"/>
      <c r="U537" s="86"/>
      <c r="V537" s="86"/>
      <c r="W537" s="86"/>
      <c r="X537" s="86"/>
      <c r="Y537" s="86"/>
      <c r="Z537" s="86"/>
      <c r="AA537" s="86"/>
      <c r="AB537" s="86"/>
      <c r="AC537" s="86"/>
      <c r="AD537" s="86"/>
      <c r="AE537" s="86"/>
      <c r="AF537" s="86"/>
      <c r="AG537" s="86"/>
      <c r="AH537" s="86"/>
      <c r="AI537" s="86"/>
      <c r="AJ537" s="86"/>
      <c r="AK537" s="86"/>
      <c r="AL537" s="86"/>
      <c r="AM537" s="86"/>
      <c r="AN537" s="86"/>
      <c r="AO537" s="87"/>
      <c r="AP537" s="88">
        <f t="shared" si="8"/>
        <v>0</v>
      </c>
    </row>
    <row r="538" spans="2:42" s="3" customFormat="1" ht="24" customHeight="1" x14ac:dyDescent="0.2">
      <c r="B538" s="80"/>
      <c r="C538" s="81"/>
      <c r="D538" s="82"/>
      <c r="E538" s="83"/>
      <c r="F538" s="84" t="str">
        <f>IFERROR(VLOOKUP($E538,設定!$C:$G,2,0),"")</f>
        <v/>
      </c>
      <c r="G538" s="84" t="str">
        <f>IFERROR(VLOOKUP($E538,設定!$C:$G,3,0),"")</f>
        <v/>
      </c>
      <c r="H538" s="84" t="str">
        <f>IFERROR(VLOOKUP($E538,設定!$C:$G,4,0),"")</f>
        <v/>
      </c>
      <c r="I538" s="84" t="str">
        <f>IFERROR(VLOOKUP($E538,設定!$C:$G,5,0),"")</f>
        <v/>
      </c>
      <c r="J538" s="117"/>
      <c r="K538" s="85"/>
      <c r="L538" s="86"/>
      <c r="M538" s="86"/>
      <c r="N538" s="86"/>
      <c r="O538" s="86"/>
      <c r="P538" s="86"/>
      <c r="Q538" s="86"/>
      <c r="R538" s="86"/>
      <c r="S538" s="86"/>
      <c r="T538" s="86"/>
      <c r="U538" s="86"/>
      <c r="V538" s="86"/>
      <c r="W538" s="86"/>
      <c r="X538" s="86"/>
      <c r="Y538" s="86"/>
      <c r="Z538" s="86"/>
      <c r="AA538" s="86"/>
      <c r="AB538" s="86"/>
      <c r="AC538" s="86"/>
      <c r="AD538" s="86"/>
      <c r="AE538" s="86"/>
      <c r="AF538" s="86"/>
      <c r="AG538" s="86"/>
      <c r="AH538" s="86"/>
      <c r="AI538" s="86"/>
      <c r="AJ538" s="86"/>
      <c r="AK538" s="86"/>
      <c r="AL538" s="86"/>
      <c r="AM538" s="86"/>
      <c r="AN538" s="86"/>
      <c r="AO538" s="87"/>
      <c r="AP538" s="88">
        <f t="shared" si="8"/>
        <v>0</v>
      </c>
    </row>
    <row r="539" spans="2:42" s="3" customFormat="1" ht="24" customHeight="1" x14ac:dyDescent="0.2">
      <c r="B539" s="80"/>
      <c r="C539" s="81"/>
      <c r="D539" s="82"/>
      <c r="E539" s="83"/>
      <c r="F539" s="84" t="str">
        <f>IFERROR(VLOOKUP($E539,設定!$C:$G,2,0),"")</f>
        <v/>
      </c>
      <c r="G539" s="84" t="str">
        <f>IFERROR(VLOOKUP($E539,設定!$C:$G,3,0),"")</f>
        <v/>
      </c>
      <c r="H539" s="84" t="str">
        <f>IFERROR(VLOOKUP($E539,設定!$C:$G,4,0),"")</f>
        <v/>
      </c>
      <c r="I539" s="84" t="str">
        <f>IFERROR(VLOOKUP($E539,設定!$C:$G,5,0),"")</f>
        <v/>
      </c>
      <c r="J539" s="117"/>
      <c r="K539" s="85"/>
      <c r="L539" s="86"/>
      <c r="M539" s="86"/>
      <c r="N539" s="86"/>
      <c r="O539" s="86"/>
      <c r="P539" s="86"/>
      <c r="Q539" s="86"/>
      <c r="R539" s="86"/>
      <c r="S539" s="86"/>
      <c r="T539" s="86"/>
      <c r="U539" s="86"/>
      <c r="V539" s="86"/>
      <c r="W539" s="86"/>
      <c r="X539" s="86"/>
      <c r="Y539" s="86"/>
      <c r="Z539" s="86"/>
      <c r="AA539" s="86"/>
      <c r="AB539" s="86"/>
      <c r="AC539" s="86"/>
      <c r="AD539" s="86"/>
      <c r="AE539" s="86"/>
      <c r="AF539" s="86"/>
      <c r="AG539" s="86"/>
      <c r="AH539" s="86"/>
      <c r="AI539" s="86"/>
      <c r="AJ539" s="86"/>
      <c r="AK539" s="86"/>
      <c r="AL539" s="86"/>
      <c r="AM539" s="86"/>
      <c r="AN539" s="86"/>
      <c r="AO539" s="87"/>
      <c r="AP539" s="88">
        <f t="shared" si="8"/>
        <v>0</v>
      </c>
    </row>
    <row r="540" spans="2:42" s="3" customFormat="1" ht="24" customHeight="1" x14ac:dyDescent="0.2">
      <c r="B540" s="80"/>
      <c r="C540" s="81"/>
      <c r="D540" s="82"/>
      <c r="E540" s="83"/>
      <c r="F540" s="84" t="str">
        <f>IFERROR(VLOOKUP($E540,設定!$C:$G,2,0),"")</f>
        <v/>
      </c>
      <c r="G540" s="84" t="str">
        <f>IFERROR(VLOOKUP($E540,設定!$C:$G,3,0),"")</f>
        <v/>
      </c>
      <c r="H540" s="84" t="str">
        <f>IFERROR(VLOOKUP($E540,設定!$C:$G,4,0),"")</f>
        <v/>
      </c>
      <c r="I540" s="84" t="str">
        <f>IFERROR(VLOOKUP($E540,設定!$C:$G,5,0),"")</f>
        <v/>
      </c>
      <c r="J540" s="117"/>
      <c r="K540" s="85"/>
      <c r="L540" s="86"/>
      <c r="M540" s="86"/>
      <c r="N540" s="86"/>
      <c r="O540" s="86"/>
      <c r="P540" s="86"/>
      <c r="Q540" s="86"/>
      <c r="R540" s="86"/>
      <c r="S540" s="86"/>
      <c r="T540" s="86"/>
      <c r="U540" s="86"/>
      <c r="V540" s="86"/>
      <c r="W540" s="86"/>
      <c r="X540" s="86"/>
      <c r="Y540" s="86"/>
      <c r="Z540" s="86"/>
      <c r="AA540" s="86"/>
      <c r="AB540" s="86"/>
      <c r="AC540" s="86"/>
      <c r="AD540" s="86"/>
      <c r="AE540" s="86"/>
      <c r="AF540" s="86"/>
      <c r="AG540" s="86"/>
      <c r="AH540" s="86"/>
      <c r="AI540" s="86"/>
      <c r="AJ540" s="86"/>
      <c r="AK540" s="86"/>
      <c r="AL540" s="86"/>
      <c r="AM540" s="86"/>
      <c r="AN540" s="86"/>
      <c r="AO540" s="87"/>
      <c r="AP540" s="88">
        <f t="shared" si="8"/>
        <v>0</v>
      </c>
    </row>
    <row r="541" spans="2:42" s="3" customFormat="1" ht="24" customHeight="1" x14ac:dyDescent="0.2">
      <c r="B541" s="80"/>
      <c r="C541" s="81"/>
      <c r="D541" s="82"/>
      <c r="E541" s="83"/>
      <c r="F541" s="84" t="str">
        <f>IFERROR(VLOOKUP($E541,設定!$C:$G,2,0),"")</f>
        <v/>
      </c>
      <c r="G541" s="84" t="str">
        <f>IFERROR(VLOOKUP($E541,設定!$C:$G,3,0),"")</f>
        <v/>
      </c>
      <c r="H541" s="84" t="str">
        <f>IFERROR(VLOOKUP($E541,設定!$C:$G,4,0),"")</f>
        <v/>
      </c>
      <c r="I541" s="84" t="str">
        <f>IFERROR(VLOOKUP($E541,設定!$C:$G,5,0),"")</f>
        <v/>
      </c>
      <c r="J541" s="117"/>
      <c r="K541" s="85"/>
      <c r="L541" s="86"/>
      <c r="M541" s="86"/>
      <c r="N541" s="86"/>
      <c r="O541" s="86"/>
      <c r="P541" s="86"/>
      <c r="Q541" s="86"/>
      <c r="R541" s="86"/>
      <c r="S541" s="86"/>
      <c r="T541" s="86"/>
      <c r="U541" s="86"/>
      <c r="V541" s="86"/>
      <c r="W541" s="86"/>
      <c r="X541" s="86"/>
      <c r="Y541" s="86"/>
      <c r="Z541" s="86"/>
      <c r="AA541" s="86"/>
      <c r="AB541" s="86"/>
      <c r="AC541" s="86"/>
      <c r="AD541" s="86"/>
      <c r="AE541" s="86"/>
      <c r="AF541" s="86"/>
      <c r="AG541" s="86"/>
      <c r="AH541" s="86"/>
      <c r="AI541" s="86"/>
      <c r="AJ541" s="86"/>
      <c r="AK541" s="86"/>
      <c r="AL541" s="86"/>
      <c r="AM541" s="86"/>
      <c r="AN541" s="86"/>
      <c r="AO541" s="87"/>
      <c r="AP541" s="88">
        <f t="shared" si="8"/>
        <v>0</v>
      </c>
    </row>
    <row r="542" spans="2:42" s="3" customFormat="1" ht="24" customHeight="1" x14ac:dyDescent="0.2">
      <c r="B542" s="80"/>
      <c r="C542" s="81"/>
      <c r="D542" s="82"/>
      <c r="E542" s="83"/>
      <c r="F542" s="84" t="str">
        <f>IFERROR(VLOOKUP($E542,設定!$C:$G,2,0),"")</f>
        <v/>
      </c>
      <c r="G542" s="84" t="str">
        <f>IFERROR(VLOOKUP($E542,設定!$C:$G,3,0),"")</f>
        <v/>
      </c>
      <c r="H542" s="84" t="str">
        <f>IFERROR(VLOOKUP($E542,設定!$C:$G,4,0),"")</f>
        <v/>
      </c>
      <c r="I542" s="84" t="str">
        <f>IFERROR(VLOOKUP($E542,設定!$C:$G,5,0),"")</f>
        <v/>
      </c>
      <c r="J542" s="117"/>
      <c r="K542" s="85"/>
      <c r="L542" s="86"/>
      <c r="M542" s="86"/>
      <c r="N542" s="86"/>
      <c r="O542" s="86"/>
      <c r="P542" s="86"/>
      <c r="Q542" s="86"/>
      <c r="R542" s="86"/>
      <c r="S542" s="86"/>
      <c r="T542" s="86"/>
      <c r="U542" s="86"/>
      <c r="V542" s="86"/>
      <c r="W542" s="86"/>
      <c r="X542" s="86"/>
      <c r="Y542" s="86"/>
      <c r="Z542" s="86"/>
      <c r="AA542" s="86"/>
      <c r="AB542" s="86"/>
      <c r="AC542" s="86"/>
      <c r="AD542" s="86"/>
      <c r="AE542" s="86"/>
      <c r="AF542" s="86"/>
      <c r="AG542" s="86"/>
      <c r="AH542" s="86"/>
      <c r="AI542" s="86"/>
      <c r="AJ542" s="86"/>
      <c r="AK542" s="86"/>
      <c r="AL542" s="86"/>
      <c r="AM542" s="86"/>
      <c r="AN542" s="86"/>
      <c r="AO542" s="87"/>
      <c r="AP542" s="88">
        <f t="shared" si="8"/>
        <v>0</v>
      </c>
    </row>
    <row r="543" spans="2:42" s="3" customFormat="1" ht="24" customHeight="1" x14ac:dyDescent="0.2">
      <c r="B543" s="80"/>
      <c r="C543" s="81"/>
      <c r="D543" s="82"/>
      <c r="E543" s="83"/>
      <c r="F543" s="84" t="str">
        <f>IFERROR(VLOOKUP($E543,設定!$C:$G,2,0),"")</f>
        <v/>
      </c>
      <c r="G543" s="84" t="str">
        <f>IFERROR(VLOOKUP($E543,設定!$C:$G,3,0),"")</f>
        <v/>
      </c>
      <c r="H543" s="84" t="str">
        <f>IFERROR(VLOOKUP($E543,設定!$C:$G,4,0),"")</f>
        <v/>
      </c>
      <c r="I543" s="84" t="str">
        <f>IFERROR(VLOOKUP($E543,設定!$C:$G,5,0),"")</f>
        <v/>
      </c>
      <c r="J543" s="117"/>
      <c r="K543" s="85"/>
      <c r="L543" s="86"/>
      <c r="M543" s="86"/>
      <c r="N543" s="86"/>
      <c r="O543" s="86"/>
      <c r="P543" s="86"/>
      <c r="Q543" s="86"/>
      <c r="R543" s="86"/>
      <c r="S543" s="86"/>
      <c r="T543" s="86"/>
      <c r="U543" s="86"/>
      <c r="V543" s="86"/>
      <c r="W543" s="86"/>
      <c r="X543" s="86"/>
      <c r="Y543" s="86"/>
      <c r="Z543" s="86"/>
      <c r="AA543" s="86"/>
      <c r="AB543" s="86"/>
      <c r="AC543" s="86"/>
      <c r="AD543" s="86"/>
      <c r="AE543" s="86"/>
      <c r="AF543" s="86"/>
      <c r="AG543" s="86"/>
      <c r="AH543" s="86"/>
      <c r="AI543" s="86"/>
      <c r="AJ543" s="86"/>
      <c r="AK543" s="86"/>
      <c r="AL543" s="86"/>
      <c r="AM543" s="86"/>
      <c r="AN543" s="86"/>
      <c r="AO543" s="87"/>
      <c r="AP543" s="88">
        <f t="shared" si="8"/>
        <v>0</v>
      </c>
    </row>
    <row r="544" spans="2:42" s="3" customFormat="1" ht="24" customHeight="1" x14ac:dyDescent="0.2">
      <c r="B544" s="80"/>
      <c r="C544" s="81"/>
      <c r="D544" s="82"/>
      <c r="E544" s="83"/>
      <c r="F544" s="84" t="str">
        <f>IFERROR(VLOOKUP($E544,設定!$C:$G,2,0),"")</f>
        <v/>
      </c>
      <c r="G544" s="84" t="str">
        <f>IFERROR(VLOOKUP($E544,設定!$C:$G,3,0),"")</f>
        <v/>
      </c>
      <c r="H544" s="84" t="str">
        <f>IFERROR(VLOOKUP($E544,設定!$C:$G,4,0),"")</f>
        <v/>
      </c>
      <c r="I544" s="84" t="str">
        <f>IFERROR(VLOOKUP($E544,設定!$C:$G,5,0),"")</f>
        <v/>
      </c>
      <c r="J544" s="117"/>
      <c r="K544" s="85"/>
      <c r="L544" s="86"/>
      <c r="M544" s="86"/>
      <c r="N544" s="86"/>
      <c r="O544" s="86"/>
      <c r="P544" s="86"/>
      <c r="Q544" s="86"/>
      <c r="R544" s="86"/>
      <c r="S544" s="86"/>
      <c r="T544" s="86"/>
      <c r="U544" s="86"/>
      <c r="V544" s="86"/>
      <c r="W544" s="86"/>
      <c r="X544" s="86"/>
      <c r="Y544" s="86"/>
      <c r="Z544" s="86"/>
      <c r="AA544" s="86"/>
      <c r="AB544" s="86"/>
      <c r="AC544" s="86"/>
      <c r="AD544" s="86"/>
      <c r="AE544" s="86"/>
      <c r="AF544" s="86"/>
      <c r="AG544" s="86"/>
      <c r="AH544" s="86"/>
      <c r="AI544" s="86"/>
      <c r="AJ544" s="86"/>
      <c r="AK544" s="86"/>
      <c r="AL544" s="86"/>
      <c r="AM544" s="86"/>
      <c r="AN544" s="86"/>
      <c r="AO544" s="87"/>
      <c r="AP544" s="88">
        <f t="shared" si="8"/>
        <v>0</v>
      </c>
    </row>
    <row r="545" spans="2:42" s="3" customFormat="1" ht="24" customHeight="1" x14ac:dyDescent="0.2">
      <c r="B545" s="80"/>
      <c r="C545" s="81"/>
      <c r="D545" s="82"/>
      <c r="E545" s="83"/>
      <c r="F545" s="84" t="str">
        <f>IFERROR(VLOOKUP($E545,設定!$C:$G,2,0),"")</f>
        <v/>
      </c>
      <c r="G545" s="84" t="str">
        <f>IFERROR(VLOOKUP($E545,設定!$C:$G,3,0),"")</f>
        <v/>
      </c>
      <c r="H545" s="84" t="str">
        <f>IFERROR(VLOOKUP($E545,設定!$C:$G,4,0),"")</f>
        <v/>
      </c>
      <c r="I545" s="84" t="str">
        <f>IFERROR(VLOOKUP($E545,設定!$C:$G,5,0),"")</f>
        <v/>
      </c>
      <c r="J545" s="117"/>
      <c r="K545" s="85"/>
      <c r="L545" s="86"/>
      <c r="M545" s="86"/>
      <c r="N545" s="86"/>
      <c r="O545" s="86"/>
      <c r="P545" s="86"/>
      <c r="Q545" s="86"/>
      <c r="R545" s="86"/>
      <c r="S545" s="86"/>
      <c r="T545" s="86"/>
      <c r="U545" s="86"/>
      <c r="V545" s="86"/>
      <c r="W545" s="86"/>
      <c r="X545" s="86"/>
      <c r="Y545" s="86"/>
      <c r="Z545" s="86"/>
      <c r="AA545" s="86"/>
      <c r="AB545" s="86"/>
      <c r="AC545" s="86"/>
      <c r="AD545" s="86"/>
      <c r="AE545" s="86"/>
      <c r="AF545" s="86"/>
      <c r="AG545" s="86"/>
      <c r="AH545" s="86"/>
      <c r="AI545" s="86"/>
      <c r="AJ545" s="86"/>
      <c r="AK545" s="86"/>
      <c r="AL545" s="86"/>
      <c r="AM545" s="86"/>
      <c r="AN545" s="86"/>
      <c r="AO545" s="87"/>
      <c r="AP545" s="88">
        <f t="shared" si="8"/>
        <v>0</v>
      </c>
    </row>
    <row r="546" spans="2:42" s="3" customFormat="1" ht="24" customHeight="1" x14ac:dyDescent="0.2">
      <c r="B546" s="80"/>
      <c r="C546" s="81"/>
      <c r="D546" s="82"/>
      <c r="E546" s="83"/>
      <c r="F546" s="84" t="str">
        <f>IFERROR(VLOOKUP($E546,設定!$C:$G,2,0),"")</f>
        <v/>
      </c>
      <c r="G546" s="84" t="str">
        <f>IFERROR(VLOOKUP($E546,設定!$C:$G,3,0),"")</f>
        <v/>
      </c>
      <c r="H546" s="84" t="str">
        <f>IFERROR(VLOOKUP($E546,設定!$C:$G,4,0),"")</f>
        <v/>
      </c>
      <c r="I546" s="84" t="str">
        <f>IFERROR(VLOOKUP($E546,設定!$C:$G,5,0),"")</f>
        <v/>
      </c>
      <c r="J546" s="117"/>
      <c r="K546" s="85"/>
      <c r="L546" s="86"/>
      <c r="M546" s="86"/>
      <c r="N546" s="86"/>
      <c r="O546" s="86"/>
      <c r="P546" s="86"/>
      <c r="Q546" s="86"/>
      <c r="R546" s="86"/>
      <c r="S546" s="86"/>
      <c r="T546" s="86"/>
      <c r="U546" s="86"/>
      <c r="V546" s="86"/>
      <c r="W546" s="86"/>
      <c r="X546" s="86"/>
      <c r="Y546" s="86"/>
      <c r="Z546" s="86"/>
      <c r="AA546" s="86"/>
      <c r="AB546" s="86"/>
      <c r="AC546" s="86"/>
      <c r="AD546" s="86"/>
      <c r="AE546" s="86"/>
      <c r="AF546" s="86"/>
      <c r="AG546" s="86"/>
      <c r="AH546" s="86"/>
      <c r="AI546" s="86"/>
      <c r="AJ546" s="86"/>
      <c r="AK546" s="86"/>
      <c r="AL546" s="86"/>
      <c r="AM546" s="86"/>
      <c r="AN546" s="86"/>
      <c r="AO546" s="87"/>
      <c r="AP546" s="88">
        <f t="shared" si="8"/>
        <v>0</v>
      </c>
    </row>
    <row r="547" spans="2:42" s="3" customFormat="1" ht="24" customHeight="1" x14ac:dyDescent="0.2">
      <c r="B547" s="80"/>
      <c r="C547" s="81"/>
      <c r="D547" s="82"/>
      <c r="E547" s="83"/>
      <c r="F547" s="84" t="str">
        <f>IFERROR(VLOOKUP($E547,設定!$C:$G,2,0),"")</f>
        <v/>
      </c>
      <c r="G547" s="84" t="str">
        <f>IFERROR(VLOOKUP($E547,設定!$C:$G,3,0),"")</f>
        <v/>
      </c>
      <c r="H547" s="84" t="str">
        <f>IFERROR(VLOOKUP($E547,設定!$C:$G,4,0),"")</f>
        <v/>
      </c>
      <c r="I547" s="84" t="str">
        <f>IFERROR(VLOOKUP($E547,設定!$C:$G,5,0),"")</f>
        <v/>
      </c>
      <c r="J547" s="117"/>
      <c r="K547" s="85"/>
      <c r="L547" s="86"/>
      <c r="M547" s="86"/>
      <c r="N547" s="86"/>
      <c r="O547" s="86"/>
      <c r="P547" s="86"/>
      <c r="Q547" s="86"/>
      <c r="R547" s="86"/>
      <c r="S547" s="86"/>
      <c r="T547" s="86"/>
      <c r="U547" s="86"/>
      <c r="V547" s="86"/>
      <c r="W547" s="86"/>
      <c r="X547" s="86"/>
      <c r="Y547" s="86"/>
      <c r="Z547" s="86"/>
      <c r="AA547" s="86"/>
      <c r="AB547" s="86"/>
      <c r="AC547" s="86"/>
      <c r="AD547" s="86"/>
      <c r="AE547" s="86"/>
      <c r="AF547" s="86"/>
      <c r="AG547" s="86"/>
      <c r="AH547" s="86"/>
      <c r="AI547" s="86"/>
      <c r="AJ547" s="86"/>
      <c r="AK547" s="86"/>
      <c r="AL547" s="86"/>
      <c r="AM547" s="86"/>
      <c r="AN547" s="86"/>
      <c r="AO547" s="87"/>
      <c r="AP547" s="88">
        <f t="shared" si="8"/>
        <v>0</v>
      </c>
    </row>
    <row r="548" spans="2:42" s="3" customFormat="1" ht="24" customHeight="1" x14ac:dyDescent="0.2">
      <c r="B548" s="80"/>
      <c r="C548" s="81"/>
      <c r="D548" s="82"/>
      <c r="E548" s="83"/>
      <c r="F548" s="84" t="str">
        <f>IFERROR(VLOOKUP($E548,設定!$C:$G,2,0),"")</f>
        <v/>
      </c>
      <c r="G548" s="84" t="str">
        <f>IFERROR(VLOOKUP($E548,設定!$C:$G,3,0),"")</f>
        <v/>
      </c>
      <c r="H548" s="84" t="str">
        <f>IFERROR(VLOOKUP($E548,設定!$C:$G,4,0),"")</f>
        <v/>
      </c>
      <c r="I548" s="84" t="str">
        <f>IFERROR(VLOOKUP($E548,設定!$C:$G,5,0),"")</f>
        <v/>
      </c>
      <c r="J548" s="117"/>
      <c r="K548" s="85"/>
      <c r="L548" s="86"/>
      <c r="M548" s="86"/>
      <c r="N548" s="86"/>
      <c r="O548" s="86"/>
      <c r="P548" s="86"/>
      <c r="Q548" s="86"/>
      <c r="R548" s="86"/>
      <c r="S548" s="86"/>
      <c r="T548" s="86"/>
      <c r="U548" s="86"/>
      <c r="V548" s="86"/>
      <c r="W548" s="86"/>
      <c r="X548" s="86"/>
      <c r="Y548" s="86"/>
      <c r="Z548" s="86"/>
      <c r="AA548" s="86"/>
      <c r="AB548" s="86"/>
      <c r="AC548" s="86"/>
      <c r="AD548" s="86"/>
      <c r="AE548" s="86"/>
      <c r="AF548" s="86"/>
      <c r="AG548" s="86"/>
      <c r="AH548" s="86"/>
      <c r="AI548" s="86"/>
      <c r="AJ548" s="86"/>
      <c r="AK548" s="86"/>
      <c r="AL548" s="86"/>
      <c r="AM548" s="86"/>
      <c r="AN548" s="86"/>
      <c r="AO548" s="87"/>
      <c r="AP548" s="88">
        <f t="shared" si="8"/>
        <v>0</v>
      </c>
    </row>
    <row r="549" spans="2:42" s="3" customFormat="1" ht="24" customHeight="1" x14ac:dyDescent="0.2">
      <c r="B549" s="80"/>
      <c r="C549" s="81"/>
      <c r="D549" s="82"/>
      <c r="E549" s="83"/>
      <c r="F549" s="84" t="str">
        <f>IFERROR(VLOOKUP($E549,設定!$C:$G,2,0),"")</f>
        <v/>
      </c>
      <c r="G549" s="84" t="str">
        <f>IFERROR(VLOOKUP($E549,設定!$C:$G,3,0),"")</f>
        <v/>
      </c>
      <c r="H549" s="84" t="str">
        <f>IFERROR(VLOOKUP($E549,設定!$C:$G,4,0),"")</f>
        <v/>
      </c>
      <c r="I549" s="84" t="str">
        <f>IFERROR(VLOOKUP($E549,設定!$C:$G,5,0),"")</f>
        <v/>
      </c>
      <c r="J549" s="117"/>
      <c r="K549" s="85"/>
      <c r="L549" s="86"/>
      <c r="M549" s="86"/>
      <c r="N549" s="86"/>
      <c r="O549" s="86"/>
      <c r="P549" s="86"/>
      <c r="Q549" s="86"/>
      <c r="R549" s="86"/>
      <c r="S549" s="86"/>
      <c r="T549" s="86"/>
      <c r="U549" s="86"/>
      <c r="V549" s="86"/>
      <c r="W549" s="86"/>
      <c r="X549" s="86"/>
      <c r="Y549" s="86"/>
      <c r="Z549" s="86"/>
      <c r="AA549" s="86"/>
      <c r="AB549" s="86"/>
      <c r="AC549" s="86"/>
      <c r="AD549" s="86"/>
      <c r="AE549" s="86"/>
      <c r="AF549" s="86"/>
      <c r="AG549" s="86"/>
      <c r="AH549" s="86"/>
      <c r="AI549" s="86"/>
      <c r="AJ549" s="86"/>
      <c r="AK549" s="86"/>
      <c r="AL549" s="86"/>
      <c r="AM549" s="86"/>
      <c r="AN549" s="86"/>
      <c r="AO549" s="87"/>
      <c r="AP549" s="88">
        <f t="shared" si="8"/>
        <v>0</v>
      </c>
    </row>
    <row r="550" spans="2:42" s="3" customFormat="1" ht="24" customHeight="1" x14ac:dyDescent="0.2">
      <c r="B550" s="80"/>
      <c r="C550" s="81"/>
      <c r="D550" s="82"/>
      <c r="E550" s="83"/>
      <c r="F550" s="84" t="str">
        <f>IFERROR(VLOOKUP($E550,設定!$C:$G,2,0),"")</f>
        <v/>
      </c>
      <c r="G550" s="84" t="str">
        <f>IFERROR(VLOOKUP($E550,設定!$C:$G,3,0),"")</f>
        <v/>
      </c>
      <c r="H550" s="84" t="str">
        <f>IFERROR(VLOOKUP($E550,設定!$C:$G,4,0),"")</f>
        <v/>
      </c>
      <c r="I550" s="84" t="str">
        <f>IFERROR(VLOOKUP($E550,設定!$C:$G,5,0),"")</f>
        <v/>
      </c>
      <c r="J550" s="117"/>
      <c r="K550" s="85"/>
      <c r="L550" s="86"/>
      <c r="M550" s="86"/>
      <c r="N550" s="86"/>
      <c r="O550" s="86"/>
      <c r="P550" s="86"/>
      <c r="Q550" s="86"/>
      <c r="R550" s="86"/>
      <c r="S550" s="86"/>
      <c r="T550" s="86"/>
      <c r="U550" s="86"/>
      <c r="V550" s="86"/>
      <c r="W550" s="86"/>
      <c r="X550" s="86"/>
      <c r="Y550" s="86"/>
      <c r="Z550" s="86"/>
      <c r="AA550" s="86"/>
      <c r="AB550" s="86"/>
      <c r="AC550" s="86"/>
      <c r="AD550" s="86"/>
      <c r="AE550" s="86"/>
      <c r="AF550" s="86"/>
      <c r="AG550" s="86"/>
      <c r="AH550" s="86"/>
      <c r="AI550" s="86"/>
      <c r="AJ550" s="86"/>
      <c r="AK550" s="86"/>
      <c r="AL550" s="86"/>
      <c r="AM550" s="86"/>
      <c r="AN550" s="86"/>
      <c r="AO550" s="87"/>
      <c r="AP550" s="88">
        <f t="shared" si="8"/>
        <v>0</v>
      </c>
    </row>
    <row r="551" spans="2:42" s="3" customFormat="1" ht="24" customHeight="1" x14ac:dyDescent="0.2">
      <c r="B551" s="80"/>
      <c r="C551" s="81"/>
      <c r="D551" s="82"/>
      <c r="E551" s="83"/>
      <c r="F551" s="84" t="str">
        <f>IFERROR(VLOOKUP($E551,設定!$C:$G,2,0),"")</f>
        <v/>
      </c>
      <c r="G551" s="84" t="str">
        <f>IFERROR(VLOOKUP($E551,設定!$C:$G,3,0),"")</f>
        <v/>
      </c>
      <c r="H551" s="84" t="str">
        <f>IFERROR(VLOOKUP($E551,設定!$C:$G,4,0),"")</f>
        <v/>
      </c>
      <c r="I551" s="84" t="str">
        <f>IFERROR(VLOOKUP($E551,設定!$C:$G,5,0),"")</f>
        <v/>
      </c>
      <c r="J551" s="117"/>
      <c r="K551" s="85"/>
      <c r="L551" s="86"/>
      <c r="M551" s="86"/>
      <c r="N551" s="86"/>
      <c r="O551" s="86"/>
      <c r="P551" s="86"/>
      <c r="Q551" s="86"/>
      <c r="R551" s="86"/>
      <c r="S551" s="86"/>
      <c r="T551" s="86"/>
      <c r="U551" s="86"/>
      <c r="V551" s="86"/>
      <c r="W551" s="86"/>
      <c r="X551" s="86"/>
      <c r="Y551" s="86"/>
      <c r="Z551" s="86"/>
      <c r="AA551" s="86"/>
      <c r="AB551" s="86"/>
      <c r="AC551" s="86"/>
      <c r="AD551" s="86"/>
      <c r="AE551" s="86"/>
      <c r="AF551" s="86"/>
      <c r="AG551" s="86"/>
      <c r="AH551" s="86"/>
      <c r="AI551" s="86"/>
      <c r="AJ551" s="86"/>
      <c r="AK551" s="86"/>
      <c r="AL551" s="86"/>
      <c r="AM551" s="86"/>
      <c r="AN551" s="86"/>
      <c r="AO551" s="87"/>
      <c r="AP551" s="88">
        <f t="shared" si="8"/>
        <v>0</v>
      </c>
    </row>
    <row r="552" spans="2:42" s="3" customFormat="1" ht="24" customHeight="1" x14ac:dyDescent="0.2">
      <c r="B552" s="80"/>
      <c r="C552" s="81"/>
      <c r="D552" s="82"/>
      <c r="E552" s="83"/>
      <c r="F552" s="84" t="str">
        <f>IFERROR(VLOOKUP($E552,設定!$C:$G,2,0),"")</f>
        <v/>
      </c>
      <c r="G552" s="84" t="str">
        <f>IFERROR(VLOOKUP($E552,設定!$C:$G,3,0),"")</f>
        <v/>
      </c>
      <c r="H552" s="84" t="str">
        <f>IFERROR(VLOOKUP($E552,設定!$C:$G,4,0),"")</f>
        <v/>
      </c>
      <c r="I552" s="84" t="str">
        <f>IFERROR(VLOOKUP($E552,設定!$C:$G,5,0),"")</f>
        <v/>
      </c>
      <c r="J552" s="117"/>
      <c r="K552" s="85"/>
      <c r="L552" s="86"/>
      <c r="M552" s="86"/>
      <c r="N552" s="86"/>
      <c r="O552" s="86"/>
      <c r="P552" s="86"/>
      <c r="Q552" s="86"/>
      <c r="R552" s="86"/>
      <c r="S552" s="86"/>
      <c r="T552" s="86"/>
      <c r="U552" s="86"/>
      <c r="V552" s="86"/>
      <c r="W552" s="86"/>
      <c r="X552" s="86"/>
      <c r="Y552" s="86"/>
      <c r="Z552" s="86"/>
      <c r="AA552" s="86"/>
      <c r="AB552" s="86"/>
      <c r="AC552" s="86"/>
      <c r="AD552" s="86"/>
      <c r="AE552" s="86"/>
      <c r="AF552" s="86"/>
      <c r="AG552" s="86"/>
      <c r="AH552" s="86"/>
      <c r="AI552" s="86"/>
      <c r="AJ552" s="86"/>
      <c r="AK552" s="86"/>
      <c r="AL552" s="86"/>
      <c r="AM552" s="86"/>
      <c r="AN552" s="86"/>
      <c r="AO552" s="87"/>
      <c r="AP552" s="88">
        <f t="shared" si="8"/>
        <v>0</v>
      </c>
    </row>
    <row r="553" spans="2:42" s="3" customFormat="1" ht="24" customHeight="1" x14ac:dyDescent="0.2">
      <c r="B553" s="80"/>
      <c r="C553" s="81"/>
      <c r="D553" s="82"/>
      <c r="E553" s="83"/>
      <c r="F553" s="84" t="str">
        <f>IFERROR(VLOOKUP($E553,設定!$C:$G,2,0),"")</f>
        <v/>
      </c>
      <c r="G553" s="84" t="str">
        <f>IFERROR(VLOOKUP($E553,設定!$C:$G,3,0),"")</f>
        <v/>
      </c>
      <c r="H553" s="84" t="str">
        <f>IFERROR(VLOOKUP($E553,設定!$C:$G,4,0),"")</f>
        <v/>
      </c>
      <c r="I553" s="84" t="str">
        <f>IFERROR(VLOOKUP($E553,設定!$C:$G,5,0),"")</f>
        <v/>
      </c>
      <c r="J553" s="117"/>
      <c r="K553" s="85"/>
      <c r="L553" s="86"/>
      <c r="M553" s="86"/>
      <c r="N553" s="86"/>
      <c r="O553" s="86"/>
      <c r="P553" s="86"/>
      <c r="Q553" s="86"/>
      <c r="R553" s="86"/>
      <c r="S553" s="86"/>
      <c r="T553" s="86"/>
      <c r="U553" s="86"/>
      <c r="V553" s="86"/>
      <c r="W553" s="86"/>
      <c r="X553" s="86"/>
      <c r="Y553" s="86"/>
      <c r="Z553" s="86"/>
      <c r="AA553" s="86"/>
      <c r="AB553" s="86"/>
      <c r="AC553" s="86"/>
      <c r="AD553" s="86"/>
      <c r="AE553" s="86"/>
      <c r="AF553" s="86"/>
      <c r="AG553" s="86"/>
      <c r="AH553" s="86"/>
      <c r="AI553" s="86"/>
      <c r="AJ553" s="86"/>
      <c r="AK553" s="86"/>
      <c r="AL553" s="86"/>
      <c r="AM553" s="86"/>
      <c r="AN553" s="86"/>
      <c r="AO553" s="87"/>
      <c r="AP553" s="88">
        <f t="shared" si="8"/>
        <v>0</v>
      </c>
    </row>
    <row r="554" spans="2:42" s="3" customFormat="1" ht="24" customHeight="1" x14ac:dyDescent="0.2">
      <c r="B554" s="80"/>
      <c r="C554" s="81"/>
      <c r="D554" s="82"/>
      <c r="E554" s="83"/>
      <c r="F554" s="84" t="str">
        <f>IFERROR(VLOOKUP($E554,設定!$C:$G,2,0),"")</f>
        <v/>
      </c>
      <c r="G554" s="84" t="str">
        <f>IFERROR(VLOOKUP($E554,設定!$C:$G,3,0),"")</f>
        <v/>
      </c>
      <c r="H554" s="84" t="str">
        <f>IFERROR(VLOOKUP($E554,設定!$C:$G,4,0),"")</f>
        <v/>
      </c>
      <c r="I554" s="84" t="str">
        <f>IFERROR(VLOOKUP($E554,設定!$C:$G,5,0),"")</f>
        <v/>
      </c>
      <c r="J554" s="117"/>
      <c r="K554" s="85"/>
      <c r="L554" s="86"/>
      <c r="M554" s="86"/>
      <c r="N554" s="86"/>
      <c r="O554" s="86"/>
      <c r="P554" s="86"/>
      <c r="Q554" s="86"/>
      <c r="R554" s="86"/>
      <c r="S554" s="86"/>
      <c r="T554" s="86"/>
      <c r="U554" s="86"/>
      <c r="V554" s="86"/>
      <c r="W554" s="86"/>
      <c r="X554" s="86"/>
      <c r="Y554" s="86"/>
      <c r="Z554" s="86"/>
      <c r="AA554" s="86"/>
      <c r="AB554" s="86"/>
      <c r="AC554" s="86"/>
      <c r="AD554" s="86"/>
      <c r="AE554" s="86"/>
      <c r="AF554" s="86"/>
      <c r="AG554" s="86"/>
      <c r="AH554" s="86"/>
      <c r="AI554" s="86"/>
      <c r="AJ554" s="86"/>
      <c r="AK554" s="86"/>
      <c r="AL554" s="86"/>
      <c r="AM554" s="86"/>
      <c r="AN554" s="86"/>
      <c r="AO554" s="87"/>
      <c r="AP554" s="88">
        <f t="shared" si="8"/>
        <v>0</v>
      </c>
    </row>
    <row r="555" spans="2:42" s="3" customFormat="1" ht="24" customHeight="1" x14ac:dyDescent="0.2">
      <c r="B555" s="80"/>
      <c r="C555" s="81"/>
      <c r="D555" s="82"/>
      <c r="E555" s="83"/>
      <c r="F555" s="84" t="str">
        <f>IFERROR(VLOOKUP($E555,設定!$C:$G,2,0),"")</f>
        <v/>
      </c>
      <c r="G555" s="84" t="str">
        <f>IFERROR(VLOOKUP($E555,設定!$C:$G,3,0),"")</f>
        <v/>
      </c>
      <c r="H555" s="84" t="str">
        <f>IFERROR(VLOOKUP($E555,設定!$C:$G,4,0),"")</f>
        <v/>
      </c>
      <c r="I555" s="84" t="str">
        <f>IFERROR(VLOOKUP($E555,設定!$C:$G,5,0),"")</f>
        <v/>
      </c>
      <c r="J555" s="117"/>
      <c r="K555" s="85"/>
      <c r="L555" s="86"/>
      <c r="M555" s="86"/>
      <c r="N555" s="86"/>
      <c r="O555" s="86"/>
      <c r="P555" s="86"/>
      <c r="Q555" s="86"/>
      <c r="R555" s="86"/>
      <c r="S555" s="86"/>
      <c r="T555" s="86"/>
      <c r="U555" s="86"/>
      <c r="V555" s="86"/>
      <c r="W555" s="86"/>
      <c r="X555" s="86"/>
      <c r="Y555" s="86"/>
      <c r="Z555" s="86"/>
      <c r="AA555" s="86"/>
      <c r="AB555" s="86"/>
      <c r="AC555" s="86"/>
      <c r="AD555" s="86"/>
      <c r="AE555" s="86"/>
      <c r="AF555" s="86"/>
      <c r="AG555" s="86"/>
      <c r="AH555" s="86"/>
      <c r="AI555" s="86"/>
      <c r="AJ555" s="86"/>
      <c r="AK555" s="86"/>
      <c r="AL555" s="86"/>
      <c r="AM555" s="86"/>
      <c r="AN555" s="86"/>
      <c r="AO555" s="87"/>
      <c r="AP555" s="88">
        <f t="shared" si="8"/>
        <v>0</v>
      </c>
    </row>
    <row r="556" spans="2:42" s="3" customFormat="1" ht="24" customHeight="1" x14ac:dyDescent="0.2">
      <c r="B556" s="80"/>
      <c r="C556" s="81"/>
      <c r="D556" s="82"/>
      <c r="E556" s="83"/>
      <c r="F556" s="84" t="str">
        <f>IFERROR(VLOOKUP($E556,設定!$C:$G,2,0),"")</f>
        <v/>
      </c>
      <c r="G556" s="84" t="str">
        <f>IFERROR(VLOOKUP($E556,設定!$C:$G,3,0),"")</f>
        <v/>
      </c>
      <c r="H556" s="84" t="str">
        <f>IFERROR(VLOOKUP($E556,設定!$C:$G,4,0),"")</f>
        <v/>
      </c>
      <c r="I556" s="84" t="str">
        <f>IFERROR(VLOOKUP($E556,設定!$C:$G,5,0),"")</f>
        <v/>
      </c>
      <c r="J556" s="117"/>
      <c r="K556" s="85"/>
      <c r="L556" s="86"/>
      <c r="M556" s="86"/>
      <c r="N556" s="86"/>
      <c r="O556" s="86"/>
      <c r="P556" s="86"/>
      <c r="Q556" s="86"/>
      <c r="R556" s="86"/>
      <c r="S556" s="86"/>
      <c r="T556" s="86"/>
      <c r="U556" s="86"/>
      <c r="V556" s="86"/>
      <c r="W556" s="86"/>
      <c r="X556" s="86"/>
      <c r="Y556" s="86"/>
      <c r="Z556" s="86"/>
      <c r="AA556" s="86"/>
      <c r="AB556" s="86"/>
      <c r="AC556" s="86"/>
      <c r="AD556" s="86"/>
      <c r="AE556" s="86"/>
      <c r="AF556" s="86"/>
      <c r="AG556" s="86"/>
      <c r="AH556" s="86"/>
      <c r="AI556" s="86"/>
      <c r="AJ556" s="86"/>
      <c r="AK556" s="86"/>
      <c r="AL556" s="86"/>
      <c r="AM556" s="86"/>
      <c r="AN556" s="86"/>
      <c r="AO556" s="87"/>
      <c r="AP556" s="88">
        <f t="shared" si="8"/>
        <v>0</v>
      </c>
    </row>
    <row r="557" spans="2:42" s="3" customFormat="1" ht="24" customHeight="1" x14ac:dyDescent="0.2">
      <c r="B557" s="80"/>
      <c r="C557" s="81"/>
      <c r="D557" s="82"/>
      <c r="E557" s="83"/>
      <c r="F557" s="84" t="str">
        <f>IFERROR(VLOOKUP($E557,設定!$C:$G,2,0),"")</f>
        <v/>
      </c>
      <c r="G557" s="84" t="str">
        <f>IFERROR(VLOOKUP($E557,設定!$C:$G,3,0),"")</f>
        <v/>
      </c>
      <c r="H557" s="84" t="str">
        <f>IFERROR(VLOOKUP($E557,設定!$C:$G,4,0),"")</f>
        <v/>
      </c>
      <c r="I557" s="84" t="str">
        <f>IFERROR(VLOOKUP($E557,設定!$C:$G,5,0),"")</f>
        <v/>
      </c>
      <c r="J557" s="117"/>
      <c r="K557" s="85"/>
      <c r="L557" s="86"/>
      <c r="M557" s="86"/>
      <c r="N557" s="86"/>
      <c r="O557" s="86"/>
      <c r="P557" s="86"/>
      <c r="Q557" s="86"/>
      <c r="R557" s="86"/>
      <c r="S557" s="86"/>
      <c r="T557" s="86"/>
      <c r="U557" s="86"/>
      <c r="V557" s="86"/>
      <c r="W557" s="86"/>
      <c r="X557" s="86"/>
      <c r="Y557" s="86"/>
      <c r="Z557" s="86"/>
      <c r="AA557" s="86"/>
      <c r="AB557" s="86"/>
      <c r="AC557" s="86"/>
      <c r="AD557" s="86"/>
      <c r="AE557" s="86"/>
      <c r="AF557" s="86"/>
      <c r="AG557" s="86"/>
      <c r="AH557" s="86"/>
      <c r="AI557" s="86"/>
      <c r="AJ557" s="86"/>
      <c r="AK557" s="86"/>
      <c r="AL557" s="86"/>
      <c r="AM557" s="86"/>
      <c r="AN557" s="86"/>
      <c r="AO557" s="87"/>
      <c r="AP557" s="88">
        <f t="shared" si="8"/>
        <v>0</v>
      </c>
    </row>
    <row r="558" spans="2:42" s="3" customFormat="1" ht="24" customHeight="1" x14ac:dyDescent="0.2">
      <c r="B558" s="80"/>
      <c r="C558" s="81"/>
      <c r="D558" s="82"/>
      <c r="E558" s="83"/>
      <c r="F558" s="84" t="str">
        <f>IFERROR(VLOOKUP($E558,設定!$C:$G,2,0),"")</f>
        <v/>
      </c>
      <c r="G558" s="84" t="str">
        <f>IFERROR(VLOOKUP($E558,設定!$C:$G,3,0),"")</f>
        <v/>
      </c>
      <c r="H558" s="84" t="str">
        <f>IFERROR(VLOOKUP($E558,設定!$C:$G,4,0),"")</f>
        <v/>
      </c>
      <c r="I558" s="84" t="str">
        <f>IFERROR(VLOOKUP($E558,設定!$C:$G,5,0),"")</f>
        <v/>
      </c>
      <c r="J558" s="117"/>
      <c r="K558" s="85"/>
      <c r="L558" s="86"/>
      <c r="M558" s="86"/>
      <c r="N558" s="86"/>
      <c r="O558" s="86"/>
      <c r="P558" s="86"/>
      <c r="Q558" s="86"/>
      <c r="R558" s="86"/>
      <c r="S558" s="86"/>
      <c r="T558" s="86"/>
      <c r="U558" s="86"/>
      <c r="V558" s="86"/>
      <c r="W558" s="86"/>
      <c r="X558" s="86"/>
      <c r="Y558" s="86"/>
      <c r="Z558" s="86"/>
      <c r="AA558" s="86"/>
      <c r="AB558" s="86"/>
      <c r="AC558" s="86"/>
      <c r="AD558" s="86"/>
      <c r="AE558" s="86"/>
      <c r="AF558" s="86"/>
      <c r="AG558" s="86"/>
      <c r="AH558" s="86"/>
      <c r="AI558" s="86"/>
      <c r="AJ558" s="86"/>
      <c r="AK558" s="86"/>
      <c r="AL558" s="86"/>
      <c r="AM558" s="86"/>
      <c r="AN558" s="86"/>
      <c r="AO558" s="87"/>
      <c r="AP558" s="88">
        <f t="shared" si="8"/>
        <v>0</v>
      </c>
    </row>
    <row r="559" spans="2:42" s="3" customFormat="1" ht="24" customHeight="1" x14ac:dyDescent="0.2">
      <c r="B559" s="80"/>
      <c r="C559" s="81"/>
      <c r="D559" s="82"/>
      <c r="E559" s="83"/>
      <c r="F559" s="84" t="str">
        <f>IFERROR(VLOOKUP($E559,設定!$C:$G,2,0),"")</f>
        <v/>
      </c>
      <c r="G559" s="84" t="str">
        <f>IFERROR(VLOOKUP($E559,設定!$C:$G,3,0),"")</f>
        <v/>
      </c>
      <c r="H559" s="84" t="str">
        <f>IFERROR(VLOOKUP($E559,設定!$C:$G,4,0),"")</f>
        <v/>
      </c>
      <c r="I559" s="84" t="str">
        <f>IFERROR(VLOOKUP($E559,設定!$C:$G,5,0),"")</f>
        <v/>
      </c>
      <c r="J559" s="117"/>
      <c r="K559" s="85"/>
      <c r="L559" s="86"/>
      <c r="M559" s="86"/>
      <c r="N559" s="86"/>
      <c r="O559" s="86"/>
      <c r="P559" s="86"/>
      <c r="Q559" s="86"/>
      <c r="R559" s="86"/>
      <c r="S559" s="86"/>
      <c r="T559" s="86"/>
      <c r="U559" s="86"/>
      <c r="V559" s="86"/>
      <c r="W559" s="86"/>
      <c r="X559" s="86"/>
      <c r="Y559" s="86"/>
      <c r="Z559" s="86"/>
      <c r="AA559" s="86"/>
      <c r="AB559" s="86"/>
      <c r="AC559" s="86"/>
      <c r="AD559" s="86"/>
      <c r="AE559" s="86"/>
      <c r="AF559" s="86"/>
      <c r="AG559" s="86"/>
      <c r="AH559" s="86"/>
      <c r="AI559" s="86"/>
      <c r="AJ559" s="86"/>
      <c r="AK559" s="86"/>
      <c r="AL559" s="86"/>
      <c r="AM559" s="86"/>
      <c r="AN559" s="86"/>
      <c r="AO559" s="87"/>
      <c r="AP559" s="88">
        <f t="shared" si="8"/>
        <v>0</v>
      </c>
    </row>
    <row r="560" spans="2:42" s="3" customFormat="1" ht="24" customHeight="1" x14ac:dyDescent="0.2">
      <c r="B560" s="80"/>
      <c r="C560" s="81"/>
      <c r="D560" s="82"/>
      <c r="E560" s="83"/>
      <c r="F560" s="84" t="str">
        <f>IFERROR(VLOOKUP($E560,設定!$C:$G,2,0),"")</f>
        <v/>
      </c>
      <c r="G560" s="84" t="str">
        <f>IFERROR(VLOOKUP($E560,設定!$C:$G,3,0),"")</f>
        <v/>
      </c>
      <c r="H560" s="84" t="str">
        <f>IFERROR(VLOOKUP($E560,設定!$C:$G,4,0),"")</f>
        <v/>
      </c>
      <c r="I560" s="84" t="str">
        <f>IFERROR(VLOOKUP($E560,設定!$C:$G,5,0),"")</f>
        <v/>
      </c>
      <c r="J560" s="117"/>
      <c r="K560" s="85"/>
      <c r="L560" s="86"/>
      <c r="M560" s="86"/>
      <c r="N560" s="86"/>
      <c r="O560" s="86"/>
      <c r="P560" s="86"/>
      <c r="Q560" s="86"/>
      <c r="R560" s="86"/>
      <c r="S560" s="86"/>
      <c r="T560" s="86"/>
      <c r="U560" s="86"/>
      <c r="V560" s="86"/>
      <c r="W560" s="86"/>
      <c r="X560" s="86"/>
      <c r="Y560" s="86"/>
      <c r="Z560" s="86"/>
      <c r="AA560" s="86"/>
      <c r="AB560" s="86"/>
      <c r="AC560" s="86"/>
      <c r="AD560" s="86"/>
      <c r="AE560" s="86"/>
      <c r="AF560" s="86"/>
      <c r="AG560" s="86"/>
      <c r="AH560" s="86"/>
      <c r="AI560" s="86"/>
      <c r="AJ560" s="86"/>
      <c r="AK560" s="86"/>
      <c r="AL560" s="86"/>
      <c r="AM560" s="86"/>
      <c r="AN560" s="86"/>
      <c r="AO560" s="87"/>
      <c r="AP560" s="88">
        <f t="shared" si="8"/>
        <v>0</v>
      </c>
    </row>
    <row r="561" spans="2:42" s="3" customFormat="1" ht="24" customHeight="1" x14ac:dyDescent="0.2">
      <c r="B561" s="80"/>
      <c r="C561" s="81"/>
      <c r="D561" s="82"/>
      <c r="E561" s="83"/>
      <c r="F561" s="84" t="str">
        <f>IFERROR(VLOOKUP($E561,設定!$C:$G,2,0),"")</f>
        <v/>
      </c>
      <c r="G561" s="84" t="str">
        <f>IFERROR(VLOOKUP($E561,設定!$C:$G,3,0),"")</f>
        <v/>
      </c>
      <c r="H561" s="84" t="str">
        <f>IFERROR(VLOOKUP($E561,設定!$C:$G,4,0),"")</f>
        <v/>
      </c>
      <c r="I561" s="84" t="str">
        <f>IFERROR(VLOOKUP($E561,設定!$C:$G,5,0),"")</f>
        <v/>
      </c>
      <c r="J561" s="117"/>
      <c r="K561" s="85"/>
      <c r="L561" s="86"/>
      <c r="M561" s="86"/>
      <c r="N561" s="86"/>
      <c r="O561" s="86"/>
      <c r="P561" s="86"/>
      <c r="Q561" s="86"/>
      <c r="R561" s="86"/>
      <c r="S561" s="86"/>
      <c r="T561" s="86"/>
      <c r="U561" s="86"/>
      <c r="V561" s="86"/>
      <c r="W561" s="86"/>
      <c r="X561" s="86"/>
      <c r="Y561" s="86"/>
      <c r="Z561" s="86"/>
      <c r="AA561" s="86"/>
      <c r="AB561" s="86"/>
      <c r="AC561" s="86"/>
      <c r="AD561" s="86"/>
      <c r="AE561" s="86"/>
      <c r="AF561" s="86"/>
      <c r="AG561" s="86"/>
      <c r="AH561" s="86"/>
      <c r="AI561" s="86"/>
      <c r="AJ561" s="86"/>
      <c r="AK561" s="86"/>
      <c r="AL561" s="86"/>
      <c r="AM561" s="86"/>
      <c r="AN561" s="86"/>
      <c r="AO561" s="87"/>
      <c r="AP561" s="88">
        <f t="shared" si="8"/>
        <v>0</v>
      </c>
    </row>
    <row r="562" spans="2:42" s="3" customFormat="1" ht="24" customHeight="1" x14ac:dyDescent="0.2">
      <c r="B562" s="80"/>
      <c r="C562" s="81"/>
      <c r="D562" s="82"/>
      <c r="E562" s="83"/>
      <c r="F562" s="84" t="str">
        <f>IFERROR(VLOOKUP($E562,設定!$C:$G,2,0),"")</f>
        <v/>
      </c>
      <c r="G562" s="84" t="str">
        <f>IFERROR(VLOOKUP($E562,設定!$C:$G,3,0),"")</f>
        <v/>
      </c>
      <c r="H562" s="84" t="str">
        <f>IFERROR(VLOOKUP($E562,設定!$C:$G,4,0),"")</f>
        <v/>
      </c>
      <c r="I562" s="84" t="str">
        <f>IFERROR(VLOOKUP($E562,設定!$C:$G,5,0),"")</f>
        <v/>
      </c>
      <c r="J562" s="117"/>
      <c r="K562" s="85"/>
      <c r="L562" s="86"/>
      <c r="M562" s="86"/>
      <c r="N562" s="86"/>
      <c r="O562" s="86"/>
      <c r="P562" s="86"/>
      <c r="Q562" s="86"/>
      <c r="R562" s="86"/>
      <c r="S562" s="86"/>
      <c r="T562" s="86"/>
      <c r="U562" s="86"/>
      <c r="V562" s="86"/>
      <c r="W562" s="86"/>
      <c r="X562" s="86"/>
      <c r="Y562" s="86"/>
      <c r="Z562" s="86"/>
      <c r="AA562" s="86"/>
      <c r="AB562" s="86"/>
      <c r="AC562" s="86"/>
      <c r="AD562" s="86"/>
      <c r="AE562" s="86"/>
      <c r="AF562" s="86"/>
      <c r="AG562" s="86"/>
      <c r="AH562" s="86"/>
      <c r="AI562" s="86"/>
      <c r="AJ562" s="86"/>
      <c r="AK562" s="86"/>
      <c r="AL562" s="86"/>
      <c r="AM562" s="86"/>
      <c r="AN562" s="86"/>
      <c r="AO562" s="87"/>
      <c r="AP562" s="88">
        <f t="shared" si="8"/>
        <v>0</v>
      </c>
    </row>
    <row r="563" spans="2:42" s="3" customFormat="1" ht="24" customHeight="1" x14ac:dyDescent="0.2">
      <c r="B563" s="80"/>
      <c r="C563" s="81"/>
      <c r="D563" s="82"/>
      <c r="E563" s="83"/>
      <c r="F563" s="84" t="str">
        <f>IFERROR(VLOOKUP($E563,設定!$C:$G,2,0),"")</f>
        <v/>
      </c>
      <c r="G563" s="84" t="str">
        <f>IFERROR(VLOOKUP($E563,設定!$C:$G,3,0),"")</f>
        <v/>
      </c>
      <c r="H563" s="84" t="str">
        <f>IFERROR(VLOOKUP($E563,設定!$C:$G,4,0),"")</f>
        <v/>
      </c>
      <c r="I563" s="84" t="str">
        <f>IFERROR(VLOOKUP($E563,設定!$C:$G,5,0),"")</f>
        <v/>
      </c>
      <c r="J563" s="117"/>
      <c r="K563" s="85"/>
      <c r="L563" s="86"/>
      <c r="M563" s="86"/>
      <c r="N563" s="86"/>
      <c r="O563" s="86"/>
      <c r="P563" s="86"/>
      <c r="Q563" s="86"/>
      <c r="R563" s="86"/>
      <c r="S563" s="86"/>
      <c r="T563" s="86"/>
      <c r="U563" s="86"/>
      <c r="V563" s="86"/>
      <c r="W563" s="86"/>
      <c r="X563" s="86"/>
      <c r="Y563" s="86"/>
      <c r="Z563" s="86"/>
      <c r="AA563" s="86"/>
      <c r="AB563" s="86"/>
      <c r="AC563" s="86"/>
      <c r="AD563" s="86"/>
      <c r="AE563" s="86"/>
      <c r="AF563" s="86"/>
      <c r="AG563" s="86"/>
      <c r="AH563" s="86"/>
      <c r="AI563" s="86"/>
      <c r="AJ563" s="86"/>
      <c r="AK563" s="86"/>
      <c r="AL563" s="86"/>
      <c r="AM563" s="86"/>
      <c r="AN563" s="86"/>
      <c r="AO563" s="87"/>
      <c r="AP563" s="88">
        <f t="shared" si="8"/>
        <v>0</v>
      </c>
    </row>
    <row r="564" spans="2:42" s="3" customFormat="1" ht="24" customHeight="1" x14ac:dyDescent="0.2">
      <c r="B564" s="80"/>
      <c r="C564" s="81"/>
      <c r="D564" s="82"/>
      <c r="E564" s="83"/>
      <c r="F564" s="84" t="str">
        <f>IFERROR(VLOOKUP($E564,設定!$C:$G,2,0),"")</f>
        <v/>
      </c>
      <c r="G564" s="84" t="str">
        <f>IFERROR(VLOOKUP($E564,設定!$C:$G,3,0),"")</f>
        <v/>
      </c>
      <c r="H564" s="84" t="str">
        <f>IFERROR(VLOOKUP($E564,設定!$C:$G,4,0),"")</f>
        <v/>
      </c>
      <c r="I564" s="84" t="str">
        <f>IFERROR(VLOOKUP($E564,設定!$C:$G,5,0),"")</f>
        <v/>
      </c>
      <c r="J564" s="117"/>
      <c r="K564" s="85"/>
      <c r="L564" s="86"/>
      <c r="M564" s="86"/>
      <c r="N564" s="86"/>
      <c r="O564" s="86"/>
      <c r="P564" s="86"/>
      <c r="Q564" s="86"/>
      <c r="R564" s="86"/>
      <c r="S564" s="86"/>
      <c r="T564" s="86"/>
      <c r="U564" s="86"/>
      <c r="V564" s="86"/>
      <c r="W564" s="86"/>
      <c r="X564" s="86"/>
      <c r="Y564" s="86"/>
      <c r="Z564" s="86"/>
      <c r="AA564" s="86"/>
      <c r="AB564" s="86"/>
      <c r="AC564" s="86"/>
      <c r="AD564" s="86"/>
      <c r="AE564" s="86"/>
      <c r="AF564" s="86"/>
      <c r="AG564" s="86"/>
      <c r="AH564" s="86"/>
      <c r="AI564" s="86"/>
      <c r="AJ564" s="86"/>
      <c r="AK564" s="86"/>
      <c r="AL564" s="86"/>
      <c r="AM564" s="86"/>
      <c r="AN564" s="86"/>
      <c r="AO564" s="87"/>
      <c r="AP564" s="88">
        <f t="shared" si="8"/>
        <v>0</v>
      </c>
    </row>
    <row r="565" spans="2:42" s="3" customFormat="1" ht="24" customHeight="1" x14ac:dyDescent="0.2">
      <c r="B565" s="80"/>
      <c r="C565" s="81"/>
      <c r="D565" s="82"/>
      <c r="E565" s="83"/>
      <c r="F565" s="84" t="str">
        <f>IFERROR(VLOOKUP($E565,設定!$C:$G,2,0),"")</f>
        <v/>
      </c>
      <c r="G565" s="84" t="str">
        <f>IFERROR(VLOOKUP($E565,設定!$C:$G,3,0),"")</f>
        <v/>
      </c>
      <c r="H565" s="84" t="str">
        <f>IFERROR(VLOOKUP($E565,設定!$C:$G,4,0),"")</f>
        <v/>
      </c>
      <c r="I565" s="84" t="str">
        <f>IFERROR(VLOOKUP($E565,設定!$C:$G,5,0),"")</f>
        <v/>
      </c>
      <c r="J565" s="117"/>
      <c r="K565" s="85"/>
      <c r="L565" s="86"/>
      <c r="M565" s="86"/>
      <c r="N565" s="86"/>
      <c r="O565" s="86"/>
      <c r="P565" s="86"/>
      <c r="Q565" s="86"/>
      <c r="R565" s="86"/>
      <c r="S565" s="86"/>
      <c r="T565" s="86"/>
      <c r="U565" s="86"/>
      <c r="V565" s="86"/>
      <c r="W565" s="86"/>
      <c r="X565" s="86"/>
      <c r="Y565" s="86"/>
      <c r="Z565" s="86"/>
      <c r="AA565" s="86"/>
      <c r="AB565" s="86"/>
      <c r="AC565" s="86"/>
      <c r="AD565" s="86"/>
      <c r="AE565" s="86"/>
      <c r="AF565" s="86"/>
      <c r="AG565" s="86"/>
      <c r="AH565" s="86"/>
      <c r="AI565" s="86"/>
      <c r="AJ565" s="86"/>
      <c r="AK565" s="86"/>
      <c r="AL565" s="86"/>
      <c r="AM565" s="86"/>
      <c r="AN565" s="86"/>
      <c r="AO565" s="87"/>
      <c r="AP565" s="88">
        <f t="shared" si="8"/>
        <v>0</v>
      </c>
    </row>
    <row r="566" spans="2:42" s="3" customFormat="1" ht="24" customHeight="1" x14ac:dyDescent="0.2">
      <c r="B566" s="80"/>
      <c r="C566" s="81"/>
      <c r="D566" s="82"/>
      <c r="E566" s="83"/>
      <c r="F566" s="84" t="str">
        <f>IFERROR(VLOOKUP($E566,設定!$C:$G,2,0),"")</f>
        <v/>
      </c>
      <c r="G566" s="84" t="str">
        <f>IFERROR(VLOOKUP($E566,設定!$C:$G,3,0),"")</f>
        <v/>
      </c>
      <c r="H566" s="84" t="str">
        <f>IFERROR(VLOOKUP($E566,設定!$C:$G,4,0),"")</f>
        <v/>
      </c>
      <c r="I566" s="84" t="str">
        <f>IFERROR(VLOOKUP($E566,設定!$C:$G,5,0),"")</f>
        <v/>
      </c>
      <c r="J566" s="117"/>
      <c r="K566" s="85"/>
      <c r="L566" s="86"/>
      <c r="M566" s="86"/>
      <c r="N566" s="86"/>
      <c r="O566" s="86"/>
      <c r="P566" s="86"/>
      <c r="Q566" s="86"/>
      <c r="R566" s="86"/>
      <c r="S566" s="86"/>
      <c r="T566" s="86"/>
      <c r="U566" s="86"/>
      <c r="V566" s="86"/>
      <c r="W566" s="86"/>
      <c r="X566" s="86"/>
      <c r="Y566" s="86"/>
      <c r="Z566" s="86"/>
      <c r="AA566" s="86"/>
      <c r="AB566" s="86"/>
      <c r="AC566" s="86"/>
      <c r="AD566" s="86"/>
      <c r="AE566" s="86"/>
      <c r="AF566" s="86"/>
      <c r="AG566" s="86"/>
      <c r="AH566" s="86"/>
      <c r="AI566" s="86"/>
      <c r="AJ566" s="86"/>
      <c r="AK566" s="86"/>
      <c r="AL566" s="86"/>
      <c r="AM566" s="86"/>
      <c r="AN566" s="86"/>
      <c r="AO566" s="87"/>
      <c r="AP566" s="88">
        <f t="shared" si="8"/>
        <v>0</v>
      </c>
    </row>
    <row r="567" spans="2:42" s="3" customFormat="1" ht="24" customHeight="1" x14ac:dyDescent="0.2">
      <c r="B567" s="80"/>
      <c r="C567" s="81"/>
      <c r="D567" s="82"/>
      <c r="E567" s="83"/>
      <c r="F567" s="84" t="str">
        <f>IFERROR(VLOOKUP($E567,設定!$C:$G,2,0),"")</f>
        <v/>
      </c>
      <c r="G567" s="84" t="str">
        <f>IFERROR(VLOOKUP($E567,設定!$C:$G,3,0),"")</f>
        <v/>
      </c>
      <c r="H567" s="84" t="str">
        <f>IFERROR(VLOOKUP($E567,設定!$C:$G,4,0),"")</f>
        <v/>
      </c>
      <c r="I567" s="84" t="str">
        <f>IFERROR(VLOOKUP($E567,設定!$C:$G,5,0),"")</f>
        <v/>
      </c>
      <c r="J567" s="117"/>
      <c r="K567" s="85"/>
      <c r="L567" s="86"/>
      <c r="M567" s="86"/>
      <c r="N567" s="86"/>
      <c r="O567" s="86"/>
      <c r="P567" s="86"/>
      <c r="Q567" s="86"/>
      <c r="R567" s="86"/>
      <c r="S567" s="86"/>
      <c r="T567" s="86"/>
      <c r="U567" s="86"/>
      <c r="V567" s="86"/>
      <c r="W567" s="86"/>
      <c r="X567" s="86"/>
      <c r="Y567" s="86"/>
      <c r="Z567" s="86"/>
      <c r="AA567" s="86"/>
      <c r="AB567" s="86"/>
      <c r="AC567" s="86"/>
      <c r="AD567" s="86"/>
      <c r="AE567" s="86"/>
      <c r="AF567" s="86"/>
      <c r="AG567" s="86"/>
      <c r="AH567" s="86"/>
      <c r="AI567" s="86"/>
      <c r="AJ567" s="86"/>
      <c r="AK567" s="86"/>
      <c r="AL567" s="86"/>
      <c r="AM567" s="86"/>
      <c r="AN567" s="86"/>
      <c r="AO567" s="87"/>
      <c r="AP567" s="88">
        <f t="shared" si="8"/>
        <v>0</v>
      </c>
    </row>
    <row r="568" spans="2:42" s="3" customFormat="1" ht="24" customHeight="1" x14ac:dyDescent="0.2">
      <c r="B568" s="80"/>
      <c r="C568" s="81"/>
      <c r="D568" s="82"/>
      <c r="E568" s="83"/>
      <c r="F568" s="84" t="str">
        <f>IFERROR(VLOOKUP($E568,設定!$C:$G,2,0),"")</f>
        <v/>
      </c>
      <c r="G568" s="84" t="str">
        <f>IFERROR(VLOOKUP($E568,設定!$C:$G,3,0),"")</f>
        <v/>
      </c>
      <c r="H568" s="84" t="str">
        <f>IFERROR(VLOOKUP($E568,設定!$C:$G,4,0),"")</f>
        <v/>
      </c>
      <c r="I568" s="84" t="str">
        <f>IFERROR(VLOOKUP($E568,設定!$C:$G,5,0),"")</f>
        <v/>
      </c>
      <c r="J568" s="117"/>
      <c r="K568" s="85"/>
      <c r="L568" s="86"/>
      <c r="M568" s="86"/>
      <c r="N568" s="86"/>
      <c r="O568" s="86"/>
      <c r="P568" s="86"/>
      <c r="Q568" s="86"/>
      <c r="R568" s="86"/>
      <c r="S568" s="86"/>
      <c r="T568" s="86"/>
      <c r="U568" s="86"/>
      <c r="V568" s="86"/>
      <c r="W568" s="86"/>
      <c r="X568" s="86"/>
      <c r="Y568" s="86"/>
      <c r="Z568" s="86"/>
      <c r="AA568" s="86"/>
      <c r="AB568" s="86"/>
      <c r="AC568" s="86"/>
      <c r="AD568" s="86"/>
      <c r="AE568" s="86"/>
      <c r="AF568" s="86"/>
      <c r="AG568" s="86"/>
      <c r="AH568" s="86"/>
      <c r="AI568" s="86"/>
      <c r="AJ568" s="86"/>
      <c r="AK568" s="86"/>
      <c r="AL568" s="86"/>
      <c r="AM568" s="86"/>
      <c r="AN568" s="86"/>
      <c r="AO568" s="87"/>
      <c r="AP568" s="88">
        <f t="shared" si="8"/>
        <v>0</v>
      </c>
    </row>
    <row r="569" spans="2:42" s="3" customFormat="1" ht="24" customHeight="1" x14ac:dyDescent="0.2">
      <c r="B569" s="80"/>
      <c r="C569" s="81"/>
      <c r="D569" s="82"/>
      <c r="E569" s="83"/>
      <c r="F569" s="84" t="str">
        <f>IFERROR(VLOOKUP($E569,設定!$C:$G,2,0),"")</f>
        <v/>
      </c>
      <c r="G569" s="84" t="str">
        <f>IFERROR(VLOOKUP($E569,設定!$C:$G,3,0),"")</f>
        <v/>
      </c>
      <c r="H569" s="84" t="str">
        <f>IFERROR(VLOOKUP($E569,設定!$C:$G,4,0),"")</f>
        <v/>
      </c>
      <c r="I569" s="84" t="str">
        <f>IFERROR(VLOOKUP($E569,設定!$C:$G,5,0),"")</f>
        <v/>
      </c>
      <c r="J569" s="117"/>
      <c r="K569" s="85"/>
      <c r="L569" s="86"/>
      <c r="M569" s="86"/>
      <c r="N569" s="86"/>
      <c r="O569" s="86"/>
      <c r="P569" s="86"/>
      <c r="Q569" s="86"/>
      <c r="R569" s="86"/>
      <c r="S569" s="86"/>
      <c r="T569" s="86"/>
      <c r="U569" s="86"/>
      <c r="V569" s="86"/>
      <c r="W569" s="86"/>
      <c r="X569" s="86"/>
      <c r="Y569" s="86"/>
      <c r="Z569" s="86"/>
      <c r="AA569" s="86"/>
      <c r="AB569" s="86"/>
      <c r="AC569" s="86"/>
      <c r="AD569" s="86"/>
      <c r="AE569" s="86"/>
      <c r="AF569" s="86"/>
      <c r="AG569" s="86"/>
      <c r="AH569" s="86"/>
      <c r="AI569" s="86"/>
      <c r="AJ569" s="86"/>
      <c r="AK569" s="86"/>
      <c r="AL569" s="86"/>
      <c r="AM569" s="86"/>
      <c r="AN569" s="86"/>
      <c r="AO569" s="87"/>
      <c r="AP569" s="88">
        <f t="shared" si="8"/>
        <v>0</v>
      </c>
    </row>
    <row r="570" spans="2:42" s="3" customFormat="1" ht="24" customHeight="1" x14ac:dyDescent="0.2">
      <c r="B570" s="80"/>
      <c r="C570" s="81"/>
      <c r="D570" s="82"/>
      <c r="E570" s="83"/>
      <c r="F570" s="84" t="str">
        <f>IFERROR(VLOOKUP($E570,設定!$C:$G,2,0),"")</f>
        <v/>
      </c>
      <c r="G570" s="84" t="str">
        <f>IFERROR(VLOOKUP($E570,設定!$C:$G,3,0),"")</f>
        <v/>
      </c>
      <c r="H570" s="84" t="str">
        <f>IFERROR(VLOOKUP($E570,設定!$C:$G,4,0),"")</f>
        <v/>
      </c>
      <c r="I570" s="84" t="str">
        <f>IFERROR(VLOOKUP($E570,設定!$C:$G,5,0),"")</f>
        <v/>
      </c>
      <c r="J570" s="117"/>
      <c r="K570" s="85"/>
      <c r="L570" s="86"/>
      <c r="M570" s="86"/>
      <c r="N570" s="86"/>
      <c r="O570" s="86"/>
      <c r="P570" s="86"/>
      <c r="Q570" s="86"/>
      <c r="R570" s="86"/>
      <c r="S570" s="86"/>
      <c r="T570" s="86"/>
      <c r="U570" s="86"/>
      <c r="V570" s="86"/>
      <c r="W570" s="86"/>
      <c r="X570" s="86"/>
      <c r="Y570" s="86"/>
      <c r="Z570" s="86"/>
      <c r="AA570" s="86"/>
      <c r="AB570" s="86"/>
      <c r="AC570" s="86"/>
      <c r="AD570" s="86"/>
      <c r="AE570" s="86"/>
      <c r="AF570" s="86"/>
      <c r="AG570" s="86"/>
      <c r="AH570" s="86"/>
      <c r="AI570" s="86"/>
      <c r="AJ570" s="86"/>
      <c r="AK570" s="86"/>
      <c r="AL570" s="86"/>
      <c r="AM570" s="86"/>
      <c r="AN570" s="86"/>
      <c r="AO570" s="87"/>
      <c r="AP570" s="88">
        <f t="shared" si="8"/>
        <v>0</v>
      </c>
    </row>
    <row r="571" spans="2:42" s="3" customFormat="1" ht="24" customHeight="1" x14ac:dyDescent="0.2">
      <c r="B571" s="80"/>
      <c r="C571" s="81"/>
      <c r="D571" s="82"/>
      <c r="E571" s="83"/>
      <c r="F571" s="84" t="str">
        <f>IFERROR(VLOOKUP($E571,設定!$C:$G,2,0),"")</f>
        <v/>
      </c>
      <c r="G571" s="84" t="str">
        <f>IFERROR(VLOOKUP($E571,設定!$C:$G,3,0),"")</f>
        <v/>
      </c>
      <c r="H571" s="84" t="str">
        <f>IFERROR(VLOOKUP($E571,設定!$C:$G,4,0),"")</f>
        <v/>
      </c>
      <c r="I571" s="84" t="str">
        <f>IFERROR(VLOOKUP($E571,設定!$C:$G,5,0),"")</f>
        <v/>
      </c>
      <c r="J571" s="117"/>
      <c r="K571" s="85"/>
      <c r="L571" s="86"/>
      <c r="M571" s="86"/>
      <c r="N571" s="86"/>
      <c r="O571" s="86"/>
      <c r="P571" s="86"/>
      <c r="Q571" s="86"/>
      <c r="R571" s="86"/>
      <c r="S571" s="86"/>
      <c r="T571" s="86"/>
      <c r="U571" s="86"/>
      <c r="V571" s="86"/>
      <c r="W571" s="86"/>
      <c r="X571" s="86"/>
      <c r="Y571" s="86"/>
      <c r="Z571" s="86"/>
      <c r="AA571" s="86"/>
      <c r="AB571" s="86"/>
      <c r="AC571" s="86"/>
      <c r="AD571" s="86"/>
      <c r="AE571" s="86"/>
      <c r="AF571" s="86"/>
      <c r="AG571" s="86"/>
      <c r="AH571" s="86"/>
      <c r="AI571" s="86"/>
      <c r="AJ571" s="86"/>
      <c r="AK571" s="86"/>
      <c r="AL571" s="86"/>
      <c r="AM571" s="86"/>
      <c r="AN571" s="86"/>
      <c r="AO571" s="87"/>
      <c r="AP571" s="88">
        <f t="shared" si="8"/>
        <v>0</v>
      </c>
    </row>
    <row r="572" spans="2:42" s="3" customFormat="1" ht="24" customHeight="1" x14ac:dyDescent="0.2">
      <c r="B572" s="80"/>
      <c r="C572" s="81"/>
      <c r="D572" s="82"/>
      <c r="E572" s="83"/>
      <c r="F572" s="84" t="str">
        <f>IFERROR(VLOOKUP($E572,設定!$C:$G,2,0),"")</f>
        <v/>
      </c>
      <c r="G572" s="84" t="str">
        <f>IFERROR(VLOOKUP($E572,設定!$C:$G,3,0),"")</f>
        <v/>
      </c>
      <c r="H572" s="84" t="str">
        <f>IFERROR(VLOOKUP($E572,設定!$C:$G,4,0),"")</f>
        <v/>
      </c>
      <c r="I572" s="84" t="str">
        <f>IFERROR(VLOOKUP($E572,設定!$C:$G,5,0),"")</f>
        <v/>
      </c>
      <c r="J572" s="117"/>
      <c r="K572" s="85"/>
      <c r="L572" s="86"/>
      <c r="M572" s="86"/>
      <c r="N572" s="86"/>
      <c r="O572" s="86"/>
      <c r="P572" s="86"/>
      <c r="Q572" s="86"/>
      <c r="R572" s="86"/>
      <c r="S572" s="86"/>
      <c r="T572" s="86"/>
      <c r="U572" s="86"/>
      <c r="V572" s="86"/>
      <c r="W572" s="86"/>
      <c r="X572" s="86"/>
      <c r="Y572" s="86"/>
      <c r="Z572" s="86"/>
      <c r="AA572" s="86"/>
      <c r="AB572" s="86"/>
      <c r="AC572" s="86"/>
      <c r="AD572" s="86"/>
      <c r="AE572" s="86"/>
      <c r="AF572" s="86"/>
      <c r="AG572" s="86"/>
      <c r="AH572" s="86"/>
      <c r="AI572" s="86"/>
      <c r="AJ572" s="86"/>
      <c r="AK572" s="86"/>
      <c r="AL572" s="86"/>
      <c r="AM572" s="86"/>
      <c r="AN572" s="86"/>
      <c r="AO572" s="87"/>
      <c r="AP572" s="88">
        <f t="shared" si="8"/>
        <v>0</v>
      </c>
    </row>
    <row r="573" spans="2:42" s="3" customFormat="1" ht="24" customHeight="1" x14ac:dyDescent="0.2">
      <c r="B573" s="80"/>
      <c r="C573" s="81"/>
      <c r="D573" s="82"/>
      <c r="E573" s="83"/>
      <c r="F573" s="84" t="str">
        <f>IFERROR(VLOOKUP($E573,設定!$C:$G,2,0),"")</f>
        <v/>
      </c>
      <c r="G573" s="84" t="str">
        <f>IFERROR(VLOOKUP($E573,設定!$C:$G,3,0),"")</f>
        <v/>
      </c>
      <c r="H573" s="84" t="str">
        <f>IFERROR(VLOOKUP($E573,設定!$C:$G,4,0),"")</f>
        <v/>
      </c>
      <c r="I573" s="84" t="str">
        <f>IFERROR(VLOOKUP($E573,設定!$C:$G,5,0),"")</f>
        <v/>
      </c>
      <c r="J573" s="117"/>
      <c r="K573" s="85"/>
      <c r="L573" s="86"/>
      <c r="M573" s="86"/>
      <c r="N573" s="86"/>
      <c r="O573" s="86"/>
      <c r="P573" s="86"/>
      <c r="Q573" s="86"/>
      <c r="R573" s="86"/>
      <c r="S573" s="86"/>
      <c r="T573" s="86"/>
      <c r="U573" s="86"/>
      <c r="V573" s="86"/>
      <c r="W573" s="86"/>
      <c r="X573" s="86"/>
      <c r="Y573" s="86"/>
      <c r="Z573" s="86"/>
      <c r="AA573" s="86"/>
      <c r="AB573" s="86"/>
      <c r="AC573" s="86"/>
      <c r="AD573" s="86"/>
      <c r="AE573" s="86"/>
      <c r="AF573" s="86"/>
      <c r="AG573" s="86"/>
      <c r="AH573" s="86"/>
      <c r="AI573" s="86"/>
      <c r="AJ573" s="86"/>
      <c r="AK573" s="86"/>
      <c r="AL573" s="86"/>
      <c r="AM573" s="86"/>
      <c r="AN573" s="86"/>
      <c r="AO573" s="87"/>
      <c r="AP573" s="88">
        <f t="shared" si="8"/>
        <v>0</v>
      </c>
    </row>
    <row r="574" spans="2:42" s="3" customFormat="1" ht="24" customHeight="1" x14ac:dyDescent="0.2">
      <c r="B574" s="80"/>
      <c r="C574" s="81"/>
      <c r="D574" s="82"/>
      <c r="E574" s="83"/>
      <c r="F574" s="84" t="str">
        <f>IFERROR(VLOOKUP($E574,設定!$C:$G,2,0),"")</f>
        <v/>
      </c>
      <c r="G574" s="84" t="str">
        <f>IFERROR(VLOOKUP($E574,設定!$C:$G,3,0),"")</f>
        <v/>
      </c>
      <c r="H574" s="84" t="str">
        <f>IFERROR(VLOOKUP($E574,設定!$C:$G,4,0),"")</f>
        <v/>
      </c>
      <c r="I574" s="84" t="str">
        <f>IFERROR(VLOOKUP($E574,設定!$C:$G,5,0),"")</f>
        <v/>
      </c>
      <c r="J574" s="117"/>
      <c r="K574" s="85"/>
      <c r="L574" s="86"/>
      <c r="M574" s="86"/>
      <c r="N574" s="86"/>
      <c r="O574" s="86"/>
      <c r="P574" s="86"/>
      <c r="Q574" s="86"/>
      <c r="R574" s="86"/>
      <c r="S574" s="86"/>
      <c r="T574" s="86"/>
      <c r="U574" s="86"/>
      <c r="V574" s="86"/>
      <c r="W574" s="86"/>
      <c r="X574" s="86"/>
      <c r="Y574" s="86"/>
      <c r="Z574" s="86"/>
      <c r="AA574" s="86"/>
      <c r="AB574" s="86"/>
      <c r="AC574" s="86"/>
      <c r="AD574" s="86"/>
      <c r="AE574" s="86"/>
      <c r="AF574" s="86"/>
      <c r="AG574" s="86"/>
      <c r="AH574" s="86"/>
      <c r="AI574" s="86"/>
      <c r="AJ574" s="86"/>
      <c r="AK574" s="86"/>
      <c r="AL574" s="86"/>
      <c r="AM574" s="86"/>
      <c r="AN574" s="86"/>
      <c r="AO574" s="87"/>
      <c r="AP574" s="88">
        <f t="shared" si="8"/>
        <v>0</v>
      </c>
    </row>
    <row r="575" spans="2:42" s="3" customFormat="1" ht="24" customHeight="1" x14ac:dyDescent="0.2">
      <c r="B575" s="80"/>
      <c r="C575" s="81"/>
      <c r="D575" s="82"/>
      <c r="E575" s="83"/>
      <c r="F575" s="84" t="str">
        <f>IFERROR(VLOOKUP($E575,設定!$C:$G,2,0),"")</f>
        <v/>
      </c>
      <c r="G575" s="84" t="str">
        <f>IFERROR(VLOOKUP($E575,設定!$C:$G,3,0),"")</f>
        <v/>
      </c>
      <c r="H575" s="84" t="str">
        <f>IFERROR(VLOOKUP($E575,設定!$C:$G,4,0),"")</f>
        <v/>
      </c>
      <c r="I575" s="84" t="str">
        <f>IFERROR(VLOOKUP($E575,設定!$C:$G,5,0),"")</f>
        <v/>
      </c>
      <c r="J575" s="117"/>
      <c r="K575" s="85"/>
      <c r="L575" s="86"/>
      <c r="M575" s="86"/>
      <c r="N575" s="86"/>
      <c r="O575" s="86"/>
      <c r="P575" s="86"/>
      <c r="Q575" s="86"/>
      <c r="R575" s="86"/>
      <c r="S575" s="86"/>
      <c r="T575" s="86"/>
      <c r="U575" s="86"/>
      <c r="V575" s="86"/>
      <c r="W575" s="86"/>
      <c r="X575" s="86"/>
      <c r="Y575" s="86"/>
      <c r="Z575" s="86"/>
      <c r="AA575" s="86"/>
      <c r="AB575" s="86"/>
      <c r="AC575" s="86"/>
      <c r="AD575" s="86"/>
      <c r="AE575" s="86"/>
      <c r="AF575" s="86"/>
      <c r="AG575" s="86"/>
      <c r="AH575" s="86"/>
      <c r="AI575" s="86"/>
      <c r="AJ575" s="86"/>
      <c r="AK575" s="86"/>
      <c r="AL575" s="86"/>
      <c r="AM575" s="86"/>
      <c r="AN575" s="86"/>
      <c r="AO575" s="87"/>
      <c r="AP575" s="88">
        <f t="shared" si="8"/>
        <v>0</v>
      </c>
    </row>
    <row r="576" spans="2:42" s="3" customFormat="1" ht="24" customHeight="1" x14ac:dyDescent="0.2">
      <c r="B576" s="80"/>
      <c r="C576" s="81"/>
      <c r="D576" s="82"/>
      <c r="E576" s="83"/>
      <c r="F576" s="84" t="str">
        <f>IFERROR(VLOOKUP($E576,設定!$C:$G,2,0),"")</f>
        <v/>
      </c>
      <c r="G576" s="84" t="str">
        <f>IFERROR(VLOOKUP($E576,設定!$C:$G,3,0),"")</f>
        <v/>
      </c>
      <c r="H576" s="84" t="str">
        <f>IFERROR(VLOOKUP($E576,設定!$C:$G,4,0),"")</f>
        <v/>
      </c>
      <c r="I576" s="84" t="str">
        <f>IFERROR(VLOOKUP($E576,設定!$C:$G,5,0),"")</f>
        <v/>
      </c>
      <c r="J576" s="117"/>
      <c r="K576" s="85"/>
      <c r="L576" s="86"/>
      <c r="M576" s="86"/>
      <c r="N576" s="86"/>
      <c r="O576" s="86"/>
      <c r="P576" s="86"/>
      <c r="Q576" s="86"/>
      <c r="R576" s="86"/>
      <c r="S576" s="86"/>
      <c r="T576" s="86"/>
      <c r="U576" s="86"/>
      <c r="V576" s="86"/>
      <c r="W576" s="86"/>
      <c r="X576" s="86"/>
      <c r="Y576" s="86"/>
      <c r="Z576" s="86"/>
      <c r="AA576" s="86"/>
      <c r="AB576" s="86"/>
      <c r="AC576" s="86"/>
      <c r="AD576" s="86"/>
      <c r="AE576" s="86"/>
      <c r="AF576" s="86"/>
      <c r="AG576" s="86"/>
      <c r="AH576" s="86"/>
      <c r="AI576" s="86"/>
      <c r="AJ576" s="86"/>
      <c r="AK576" s="86"/>
      <c r="AL576" s="86"/>
      <c r="AM576" s="86"/>
      <c r="AN576" s="86"/>
      <c r="AO576" s="87"/>
      <c r="AP576" s="88">
        <f t="shared" si="8"/>
        <v>0</v>
      </c>
    </row>
    <row r="577" spans="2:42" s="3" customFormat="1" ht="24" customHeight="1" x14ac:dyDescent="0.2">
      <c r="B577" s="80"/>
      <c r="C577" s="81"/>
      <c r="D577" s="82"/>
      <c r="E577" s="83"/>
      <c r="F577" s="84" t="str">
        <f>IFERROR(VLOOKUP($E577,設定!$C:$G,2,0),"")</f>
        <v/>
      </c>
      <c r="G577" s="84" t="str">
        <f>IFERROR(VLOOKUP($E577,設定!$C:$G,3,0),"")</f>
        <v/>
      </c>
      <c r="H577" s="84" t="str">
        <f>IFERROR(VLOOKUP($E577,設定!$C:$G,4,0),"")</f>
        <v/>
      </c>
      <c r="I577" s="84" t="str">
        <f>IFERROR(VLOOKUP($E577,設定!$C:$G,5,0),"")</f>
        <v/>
      </c>
      <c r="J577" s="117"/>
      <c r="K577" s="85"/>
      <c r="L577" s="86"/>
      <c r="M577" s="86"/>
      <c r="N577" s="86"/>
      <c r="O577" s="86"/>
      <c r="P577" s="86"/>
      <c r="Q577" s="86"/>
      <c r="R577" s="86"/>
      <c r="S577" s="86"/>
      <c r="T577" s="86"/>
      <c r="U577" s="86"/>
      <c r="V577" s="86"/>
      <c r="W577" s="86"/>
      <c r="X577" s="86"/>
      <c r="Y577" s="86"/>
      <c r="Z577" s="86"/>
      <c r="AA577" s="86"/>
      <c r="AB577" s="86"/>
      <c r="AC577" s="86"/>
      <c r="AD577" s="86"/>
      <c r="AE577" s="86"/>
      <c r="AF577" s="86"/>
      <c r="AG577" s="86"/>
      <c r="AH577" s="86"/>
      <c r="AI577" s="86"/>
      <c r="AJ577" s="86"/>
      <c r="AK577" s="86"/>
      <c r="AL577" s="86"/>
      <c r="AM577" s="86"/>
      <c r="AN577" s="86"/>
      <c r="AO577" s="87"/>
      <c r="AP577" s="88">
        <f t="shared" si="8"/>
        <v>0</v>
      </c>
    </row>
    <row r="578" spans="2:42" s="3" customFormat="1" ht="24" customHeight="1" x14ac:dyDescent="0.2">
      <c r="B578" s="80"/>
      <c r="C578" s="81"/>
      <c r="D578" s="82"/>
      <c r="E578" s="83"/>
      <c r="F578" s="84" t="str">
        <f>IFERROR(VLOOKUP($E578,設定!$C:$G,2,0),"")</f>
        <v/>
      </c>
      <c r="G578" s="84" t="str">
        <f>IFERROR(VLOOKUP($E578,設定!$C:$G,3,0),"")</f>
        <v/>
      </c>
      <c r="H578" s="84" t="str">
        <f>IFERROR(VLOOKUP($E578,設定!$C:$G,4,0),"")</f>
        <v/>
      </c>
      <c r="I578" s="84" t="str">
        <f>IFERROR(VLOOKUP($E578,設定!$C:$G,5,0),"")</f>
        <v/>
      </c>
      <c r="J578" s="117"/>
      <c r="K578" s="85"/>
      <c r="L578" s="86"/>
      <c r="M578" s="86"/>
      <c r="N578" s="86"/>
      <c r="O578" s="86"/>
      <c r="P578" s="86"/>
      <c r="Q578" s="86"/>
      <c r="R578" s="86"/>
      <c r="S578" s="86"/>
      <c r="T578" s="86"/>
      <c r="U578" s="86"/>
      <c r="V578" s="86"/>
      <c r="W578" s="86"/>
      <c r="X578" s="86"/>
      <c r="Y578" s="86"/>
      <c r="Z578" s="86"/>
      <c r="AA578" s="86"/>
      <c r="AB578" s="86"/>
      <c r="AC578" s="86"/>
      <c r="AD578" s="86"/>
      <c r="AE578" s="86"/>
      <c r="AF578" s="86"/>
      <c r="AG578" s="86"/>
      <c r="AH578" s="86"/>
      <c r="AI578" s="86"/>
      <c r="AJ578" s="86"/>
      <c r="AK578" s="86"/>
      <c r="AL578" s="86"/>
      <c r="AM578" s="86"/>
      <c r="AN578" s="86"/>
      <c r="AO578" s="87"/>
      <c r="AP578" s="88">
        <f t="shared" si="8"/>
        <v>0</v>
      </c>
    </row>
    <row r="579" spans="2:42" s="3" customFormat="1" ht="24" customHeight="1" x14ac:dyDescent="0.2">
      <c r="B579" s="80"/>
      <c r="C579" s="81"/>
      <c r="D579" s="82"/>
      <c r="E579" s="83"/>
      <c r="F579" s="84" t="str">
        <f>IFERROR(VLOOKUP($E579,設定!$C:$G,2,0),"")</f>
        <v/>
      </c>
      <c r="G579" s="84" t="str">
        <f>IFERROR(VLOOKUP($E579,設定!$C:$G,3,0),"")</f>
        <v/>
      </c>
      <c r="H579" s="84" t="str">
        <f>IFERROR(VLOOKUP($E579,設定!$C:$G,4,0),"")</f>
        <v/>
      </c>
      <c r="I579" s="84" t="str">
        <f>IFERROR(VLOOKUP($E579,設定!$C:$G,5,0),"")</f>
        <v/>
      </c>
      <c r="J579" s="117"/>
      <c r="K579" s="85"/>
      <c r="L579" s="86"/>
      <c r="M579" s="86"/>
      <c r="N579" s="86"/>
      <c r="O579" s="86"/>
      <c r="P579" s="86"/>
      <c r="Q579" s="86"/>
      <c r="R579" s="86"/>
      <c r="S579" s="86"/>
      <c r="T579" s="86"/>
      <c r="U579" s="86"/>
      <c r="V579" s="86"/>
      <c r="W579" s="86"/>
      <c r="X579" s="86"/>
      <c r="Y579" s="86"/>
      <c r="Z579" s="86"/>
      <c r="AA579" s="86"/>
      <c r="AB579" s="86"/>
      <c r="AC579" s="86"/>
      <c r="AD579" s="86"/>
      <c r="AE579" s="86"/>
      <c r="AF579" s="86"/>
      <c r="AG579" s="86"/>
      <c r="AH579" s="86"/>
      <c r="AI579" s="86"/>
      <c r="AJ579" s="86"/>
      <c r="AK579" s="86"/>
      <c r="AL579" s="86"/>
      <c r="AM579" s="86"/>
      <c r="AN579" s="86"/>
      <c r="AO579" s="87"/>
      <c r="AP579" s="88">
        <f t="shared" si="8"/>
        <v>0</v>
      </c>
    </row>
    <row r="580" spans="2:42" s="3" customFormat="1" ht="24" customHeight="1" x14ac:dyDescent="0.2">
      <c r="B580" s="80"/>
      <c r="C580" s="81"/>
      <c r="D580" s="82"/>
      <c r="E580" s="83"/>
      <c r="F580" s="84" t="str">
        <f>IFERROR(VLOOKUP($E580,設定!$C:$G,2,0),"")</f>
        <v/>
      </c>
      <c r="G580" s="84" t="str">
        <f>IFERROR(VLOOKUP($E580,設定!$C:$G,3,0),"")</f>
        <v/>
      </c>
      <c r="H580" s="84" t="str">
        <f>IFERROR(VLOOKUP($E580,設定!$C:$G,4,0),"")</f>
        <v/>
      </c>
      <c r="I580" s="84" t="str">
        <f>IFERROR(VLOOKUP($E580,設定!$C:$G,5,0),"")</f>
        <v/>
      </c>
      <c r="J580" s="117"/>
      <c r="K580" s="85"/>
      <c r="L580" s="86"/>
      <c r="M580" s="86"/>
      <c r="N580" s="86"/>
      <c r="O580" s="86"/>
      <c r="P580" s="86"/>
      <c r="Q580" s="86"/>
      <c r="R580" s="86"/>
      <c r="S580" s="86"/>
      <c r="T580" s="86"/>
      <c r="U580" s="86"/>
      <c r="V580" s="86"/>
      <c r="W580" s="86"/>
      <c r="X580" s="86"/>
      <c r="Y580" s="86"/>
      <c r="Z580" s="86"/>
      <c r="AA580" s="86"/>
      <c r="AB580" s="86"/>
      <c r="AC580" s="86"/>
      <c r="AD580" s="86"/>
      <c r="AE580" s="86"/>
      <c r="AF580" s="86"/>
      <c r="AG580" s="86"/>
      <c r="AH580" s="86"/>
      <c r="AI580" s="86"/>
      <c r="AJ580" s="86"/>
      <c r="AK580" s="86"/>
      <c r="AL580" s="86"/>
      <c r="AM580" s="86"/>
      <c r="AN580" s="86"/>
      <c r="AO580" s="87"/>
      <c r="AP580" s="88">
        <f t="shared" si="8"/>
        <v>0</v>
      </c>
    </row>
    <row r="581" spans="2:42" s="3" customFormat="1" ht="24" customHeight="1" x14ac:dyDescent="0.2">
      <c r="B581" s="80"/>
      <c r="C581" s="81"/>
      <c r="D581" s="82"/>
      <c r="E581" s="83"/>
      <c r="F581" s="84" t="str">
        <f>IFERROR(VLOOKUP($E581,設定!$C:$G,2,0),"")</f>
        <v/>
      </c>
      <c r="G581" s="84" t="str">
        <f>IFERROR(VLOOKUP($E581,設定!$C:$G,3,0),"")</f>
        <v/>
      </c>
      <c r="H581" s="84" t="str">
        <f>IFERROR(VLOOKUP($E581,設定!$C:$G,4,0),"")</f>
        <v/>
      </c>
      <c r="I581" s="84" t="str">
        <f>IFERROR(VLOOKUP($E581,設定!$C:$G,5,0),"")</f>
        <v/>
      </c>
      <c r="J581" s="117"/>
      <c r="K581" s="85"/>
      <c r="L581" s="86"/>
      <c r="M581" s="86"/>
      <c r="N581" s="86"/>
      <c r="O581" s="86"/>
      <c r="P581" s="86"/>
      <c r="Q581" s="86"/>
      <c r="R581" s="86"/>
      <c r="S581" s="86"/>
      <c r="T581" s="86"/>
      <c r="U581" s="86"/>
      <c r="V581" s="86"/>
      <c r="W581" s="86"/>
      <c r="X581" s="86"/>
      <c r="Y581" s="86"/>
      <c r="Z581" s="86"/>
      <c r="AA581" s="86"/>
      <c r="AB581" s="86"/>
      <c r="AC581" s="86"/>
      <c r="AD581" s="86"/>
      <c r="AE581" s="86"/>
      <c r="AF581" s="86"/>
      <c r="AG581" s="86"/>
      <c r="AH581" s="86"/>
      <c r="AI581" s="86"/>
      <c r="AJ581" s="86"/>
      <c r="AK581" s="86"/>
      <c r="AL581" s="86"/>
      <c r="AM581" s="86"/>
      <c r="AN581" s="86"/>
      <c r="AO581" s="87"/>
      <c r="AP581" s="88">
        <f t="shared" si="8"/>
        <v>0</v>
      </c>
    </row>
    <row r="582" spans="2:42" s="3" customFormat="1" ht="24" customHeight="1" x14ac:dyDescent="0.2">
      <c r="B582" s="80"/>
      <c r="C582" s="81"/>
      <c r="D582" s="82"/>
      <c r="E582" s="83"/>
      <c r="F582" s="84" t="str">
        <f>IFERROR(VLOOKUP($E582,設定!$C:$G,2,0),"")</f>
        <v/>
      </c>
      <c r="G582" s="84" t="str">
        <f>IFERROR(VLOOKUP($E582,設定!$C:$G,3,0),"")</f>
        <v/>
      </c>
      <c r="H582" s="84" t="str">
        <f>IFERROR(VLOOKUP($E582,設定!$C:$G,4,0),"")</f>
        <v/>
      </c>
      <c r="I582" s="84" t="str">
        <f>IFERROR(VLOOKUP($E582,設定!$C:$G,5,0),"")</f>
        <v/>
      </c>
      <c r="J582" s="117"/>
      <c r="K582" s="85"/>
      <c r="L582" s="86"/>
      <c r="M582" s="86"/>
      <c r="N582" s="86"/>
      <c r="O582" s="86"/>
      <c r="P582" s="86"/>
      <c r="Q582" s="86"/>
      <c r="R582" s="86"/>
      <c r="S582" s="86"/>
      <c r="T582" s="86"/>
      <c r="U582" s="86"/>
      <c r="V582" s="86"/>
      <c r="W582" s="86"/>
      <c r="X582" s="86"/>
      <c r="Y582" s="86"/>
      <c r="Z582" s="86"/>
      <c r="AA582" s="86"/>
      <c r="AB582" s="86"/>
      <c r="AC582" s="86"/>
      <c r="AD582" s="86"/>
      <c r="AE582" s="86"/>
      <c r="AF582" s="86"/>
      <c r="AG582" s="86"/>
      <c r="AH582" s="86"/>
      <c r="AI582" s="86"/>
      <c r="AJ582" s="86"/>
      <c r="AK582" s="86"/>
      <c r="AL582" s="86"/>
      <c r="AM582" s="86"/>
      <c r="AN582" s="86"/>
      <c r="AO582" s="87"/>
      <c r="AP582" s="88">
        <f t="shared" si="8"/>
        <v>0</v>
      </c>
    </row>
    <row r="583" spans="2:42" s="3" customFormat="1" ht="24" customHeight="1" x14ac:dyDescent="0.2">
      <c r="B583" s="80"/>
      <c r="C583" s="81"/>
      <c r="D583" s="82"/>
      <c r="E583" s="83"/>
      <c r="F583" s="84" t="str">
        <f>IFERROR(VLOOKUP($E583,設定!$C:$G,2,0),"")</f>
        <v/>
      </c>
      <c r="G583" s="84" t="str">
        <f>IFERROR(VLOOKUP($E583,設定!$C:$G,3,0),"")</f>
        <v/>
      </c>
      <c r="H583" s="84" t="str">
        <f>IFERROR(VLOOKUP($E583,設定!$C:$G,4,0),"")</f>
        <v/>
      </c>
      <c r="I583" s="84" t="str">
        <f>IFERROR(VLOOKUP($E583,設定!$C:$G,5,0),"")</f>
        <v/>
      </c>
      <c r="J583" s="117"/>
      <c r="K583" s="85"/>
      <c r="L583" s="86"/>
      <c r="M583" s="86"/>
      <c r="N583" s="86"/>
      <c r="O583" s="86"/>
      <c r="P583" s="86"/>
      <c r="Q583" s="86"/>
      <c r="R583" s="86"/>
      <c r="S583" s="86"/>
      <c r="T583" s="86"/>
      <c r="U583" s="86"/>
      <c r="V583" s="86"/>
      <c r="W583" s="86"/>
      <c r="X583" s="86"/>
      <c r="Y583" s="86"/>
      <c r="Z583" s="86"/>
      <c r="AA583" s="86"/>
      <c r="AB583" s="86"/>
      <c r="AC583" s="86"/>
      <c r="AD583" s="86"/>
      <c r="AE583" s="86"/>
      <c r="AF583" s="86"/>
      <c r="AG583" s="86"/>
      <c r="AH583" s="86"/>
      <c r="AI583" s="86"/>
      <c r="AJ583" s="86"/>
      <c r="AK583" s="86"/>
      <c r="AL583" s="86"/>
      <c r="AM583" s="86"/>
      <c r="AN583" s="86"/>
      <c r="AO583" s="87"/>
      <c r="AP583" s="88">
        <f t="shared" si="8"/>
        <v>0</v>
      </c>
    </row>
    <row r="584" spans="2:42" s="3" customFormat="1" ht="24" customHeight="1" x14ac:dyDescent="0.2">
      <c r="B584" s="80"/>
      <c r="C584" s="81"/>
      <c r="D584" s="82"/>
      <c r="E584" s="83"/>
      <c r="F584" s="84" t="str">
        <f>IFERROR(VLOOKUP($E584,設定!$C:$G,2,0),"")</f>
        <v/>
      </c>
      <c r="G584" s="84" t="str">
        <f>IFERROR(VLOOKUP($E584,設定!$C:$G,3,0),"")</f>
        <v/>
      </c>
      <c r="H584" s="84" t="str">
        <f>IFERROR(VLOOKUP($E584,設定!$C:$G,4,0),"")</f>
        <v/>
      </c>
      <c r="I584" s="84" t="str">
        <f>IFERROR(VLOOKUP($E584,設定!$C:$G,5,0),"")</f>
        <v/>
      </c>
      <c r="J584" s="117"/>
      <c r="K584" s="85"/>
      <c r="L584" s="86"/>
      <c r="M584" s="86"/>
      <c r="N584" s="86"/>
      <c r="O584" s="86"/>
      <c r="P584" s="86"/>
      <c r="Q584" s="86"/>
      <c r="R584" s="86"/>
      <c r="S584" s="86"/>
      <c r="T584" s="86"/>
      <c r="U584" s="86"/>
      <c r="V584" s="86"/>
      <c r="W584" s="86"/>
      <c r="X584" s="86"/>
      <c r="Y584" s="86"/>
      <c r="Z584" s="86"/>
      <c r="AA584" s="86"/>
      <c r="AB584" s="86"/>
      <c r="AC584" s="86"/>
      <c r="AD584" s="86"/>
      <c r="AE584" s="86"/>
      <c r="AF584" s="86"/>
      <c r="AG584" s="86"/>
      <c r="AH584" s="86"/>
      <c r="AI584" s="86"/>
      <c r="AJ584" s="86"/>
      <c r="AK584" s="86"/>
      <c r="AL584" s="86"/>
      <c r="AM584" s="86"/>
      <c r="AN584" s="86"/>
      <c r="AO584" s="87"/>
      <c r="AP584" s="88">
        <f t="shared" ref="AP584:AP647" si="9">J584*SUM(K584:AO584)</f>
        <v>0</v>
      </c>
    </row>
    <row r="585" spans="2:42" s="3" customFormat="1" ht="24" customHeight="1" x14ac:dyDescent="0.2">
      <c r="B585" s="80"/>
      <c r="C585" s="81"/>
      <c r="D585" s="82"/>
      <c r="E585" s="83"/>
      <c r="F585" s="84" t="str">
        <f>IFERROR(VLOOKUP($E585,設定!$C:$G,2,0),"")</f>
        <v/>
      </c>
      <c r="G585" s="84" t="str">
        <f>IFERROR(VLOOKUP($E585,設定!$C:$G,3,0),"")</f>
        <v/>
      </c>
      <c r="H585" s="84" t="str">
        <f>IFERROR(VLOOKUP($E585,設定!$C:$G,4,0),"")</f>
        <v/>
      </c>
      <c r="I585" s="84" t="str">
        <f>IFERROR(VLOOKUP($E585,設定!$C:$G,5,0),"")</f>
        <v/>
      </c>
      <c r="J585" s="117"/>
      <c r="K585" s="85"/>
      <c r="L585" s="86"/>
      <c r="M585" s="86"/>
      <c r="N585" s="86"/>
      <c r="O585" s="86"/>
      <c r="P585" s="86"/>
      <c r="Q585" s="86"/>
      <c r="R585" s="86"/>
      <c r="S585" s="86"/>
      <c r="T585" s="86"/>
      <c r="U585" s="86"/>
      <c r="V585" s="86"/>
      <c r="W585" s="86"/>
      <c r="X585" s="86"/>
      <c r="Y585" s="86"/>
      <c r="Z585" s="86"/>
      <c r="AA585" s="86"/>
      <c r="AB585" s="86"/>
      <c r="AC585" s="86"/>
      <c r="AD585" s="86"/>
      <c r="AE585" s="86"/>
      <c r="AF585" s="86"/>
      <c r="AG585" s="86"/>
      <c r="AH585" s="86"/>
      <c r="AI585" s="86"/>
      <c r="AJ585" s="86"/>
      <c r="AK585" s="86"/>
      <c r="AL585" s="86"/>
      <c r="AM585" s="86"/>
      <c r="AN585" s="86"/>
      <c r="AO585" s="87"/>
      <c r="AP585" s="88">
        <f t="shared" si="9"/>
        <v>0</v>
      </c>
    </row>
    <row r="586" spans="2:42" s="3" customFormat="1" ht="24" customHeight="1" x14ac:dyDescent="0.2">
      <c r="B586" s="80"/>
      <c r="C586" s="81"/>
      <c r="D586" s="82"/>
      <c r="E586" s="83"/>
      <c r="F586" s="84" t="str">
        <f>IFERROR(VLOOKUP($E586,設定!$C:$G,2,0),"")</f>
        <v/>
      </c>
      <c r="G586" s="84" t="str">
        <f>IFERROR(VLOOKUP($E586,設定!$C:$G,3,0),"")</f>
        <v/>
      </c>
      <c r="H586" s="84" t="str">
        <f>IFERROR(VLOOKUP($E586,設定!$C:$G,4,0),"")</f>
        <v/>
      </c>
      <c r="I586" s="84" t="str">
        <f>IFERROR(VLOOKUP($E586,設定!$C:$G,5,0),"")</f>
        <v/>
      </c>
      <c r="J586" s="117"/>
      <c r="K586" s="85"/>
      <c r="L586" s="86"/>
      <c r="M586" s="86"/>
      <c r="N586" s="86"/>
      <c r="O586" s="86"/>
      <c r="P586" s="86"/>
      <c r="Q586" s="86"/>
      <c r="R586" s="86"/>
      <c r="S586" s="86"/>
      <c r="T586" s="86"/>
      <c r="U586" s="86"/>
      <c r="V586" s="86"/>
      <c r="W586" s="86"/>
      <c r="X586" s="86"/>
      <c r="Y586" s="86"/>
      <c r="Z586" s="86"/>
      <c r="AA586" s="86"/>
      <c r="AB586" s="86"/>
      <c r="AC586" s="86"/>
      <c r="AD586" s="86"/>
      <c r="AE586" s="86"/>
      <c r="AF586" s="86"/>
      <c r="AG586" s="86"/>
      <c r="AH586" s="86"/>
      <c r="AI586" s="86"/>
      <c r="AJ586" s="86"/>
      <c r="AK586" s="86"/>
      <c r="AL586" s="86"/>
      <c r="AM586" s="86"/>
      <c r="AN586" s="86"/>
      <c r="AO586" s="87"/>
      <c r="AP586" s="88">
        <f t="shared" si="9"/>
        <v>0</v>
      </c>
    </row>
    <row r="587" spans="2:42" s="3" customFormat="1" ht="24" customHeight="1" x14ac:dyDescent="0.2">
      <c r="B587" s="80"/>
      <c r="C587" s="81"/>
      <c r="D587" s="82"/>
      <c r="E587" s="83"/>
      <c r="F587" s="84" t="str">
        <f>IFERROR(VLOOKUP($E587,設定!$C:$G,2,0),"")</f>
        <v/>
      </c>
      <c r="G587" s="84" t="str">
        <f>IFERROR(VLOOKUP($E587,設定!$C:$G,3,0),"")</f>
        <v/>
      </c>
      <c r="H587" s="84" t="str">
        <f>IFERROR(VLOOKUP($E587,設定!$C:$G,4,0),"")</f>
        <v/>
      </c>
      <c r="I587" s="84" t="str">
        <f>IFERROR(VLOOKUP($E587,設定!$C:$G,5,0),"")</f>
        <v/>
      </c>
      <c r="J587" s="117"/>
      <c r="K587" s="85"/>
      <c r="L587" s="86"/>
      <c r="M587" s="86"/>
      <c r="N587" s="86"/>
      <c r="O587" s="86"/>
      <c r="P587" s="86"/>
      <c r="Q587" s="86"/>
      <c r="R587" s="86"/>
      <c r="S587" s="86"/>
      <c r="T587" s="86"/>
      <c r="U587" s="86"/>
      <c r="V587" s="86"/>
      <c r="W587" s="86"/>
      <c r="X587" s="86"/>
      <c r="Y587" s="86"/>
      <c r="Z587" s="86"/>
      <c r="AA587" s="86"/>
      <c r="AB587" s="86"/>
      <c r="AC587" s="86"/>
      <c r="AD587" s="86"/>
      <c r="AE587" s="86"/>
      <c r="AF587" s="86"/>
      <c r="AG587" s="86"/>
      <c r="AH587" s="86"/>
      <c r="AI587" s="86"/>
      <c r="AJ587" s="86"/>
      <c r="AK587" s="86"/>
      <c r="AL587" s="86"/>
      <c r="AM587" s="86"/>
      <c r="AN587" s="86"/>
      <c r="AO587" s="87"/>
      <c r="AP587" s="88">
        <f t="shared" si="9"/>
        <v>0</v>
      </c>
    </row>
    <row r="588" spans="2:42" s="3" customFormat="1" ht="24" customHeight="1" x14ac:dyDescent="0.2">
      <c r="B588" s="80"/>
      <c r="C588" s="81"/>
      <c r="D588" s="82"/>
      <c r="E588" s="83"/>
      <c r="F588" s="84" t="str">
        <f>IFERROR(VLOOKUP($E588,設定!$C:$G,2,0),"")</f>
        <v/>
      </c>
      <c r="G588" s="84" t="str">
        <f>IFERROR(VLOOKUP($E588,設定!$C:$G,3,0),"")</f>
        <v/>
      </c>
      <c r="H588" s="84" t="str">
        <f>IFERROR(VLOOKUP($E588,設定!$C:$G,4,0),"")</f>
        <v/>
      </c>
      <c r="I588" s="84" t="str">
        <f>IFERROR(VLOOKUP($E588,設定!$C:$G,5,0),"")</f>
        <v/>
      </c>
      <c r="J588" s="117"/>
      <c r="K588" s="85"/>
      <c r="L588" s="86"/>
      <c r="M588" s="86"/>
      <c r="N588" s="86"/>
      <c r="O588" s="86"/>
      <c r="P588" s="86"/>
      <c r="Q588" s="86"/>
      <c r="R588" s="86"/>
      <c r="S588" s="86"/>
      <c r="T588" s="86"/>
      <c r="U588" s="86"/>
      <c r="V588" s="86"/>
      <c r="W588" s="86"/>
      <c r="X588" s="86"/>
      <c r="Y588" s="86"/>
      <c r="Z588" s="86"/>
      <c r="AA588" s="86"/>
      <c r="AB588" s="86"/>
      <c r="AC588" s="86"/>
      <c r="AD588" s="86"/>
      <c r="AE588" s="86"/>
      <c r="AF588" s="86"/>
      <c r="AG588" s="86"/>
      <c r="AH588" s="86"/>
      <c r="AI588" s="86"/>
      <c r="AJ588" s="86"/>
      <c r="AK588" s="86"/>
      <c r="AL588" s="86"/>
      <c r="AM588" s="86"/>
      <c r="AN588" s="86"/>
      <c r="AO588" s="87"/>
      <c r="AP588" s="88">
        <f t="shared" si="9"/>
        <v>0</v>
      </c>
    </row>
    <row r="589" spans="2:42" s="3" customFormat="1" ht="24" customHeight="1" x14ac:dyDescent="0.2">
      <c r="B589" s="80"/>
      <c r="C589" s="81"/>
      <c r="D589" s="82"/>
      <c r="E589" s="83"/>
      <c r="F589" s="84" t="str">
        <f>IFERROR(VLOOKUP($E589,設定!$C:$G,2,0),"")</f>
        <v/>
      </c>
      <c r="G589" s="84" t="str">
        <f>IFERROR(VLOOKUP($E589,設定!$C:$G,3,0),"")</f>
        <v/>
      </c>
      <c r="H589" s="84" t="str">
        <f>IFERROR(VLOOKUP($E589,設定!$C:$G,4,0),"")</f>
        <v/>
      </c>
      <c r="I589" s="84" t="str">
        <f>IFERROR(VLOOKUP($E589,設定!$C:$G,5,0),"")</f>
        <v/>
      </c>
      <c r="J589" s="117"/>
      <c r="K589" s="85"/>
      <c r="L589" s="86"/>
      <c r="M589" s="86"/>
      <c r="N589" s="86"/>
      <c r="O589" s="86"/>
      <c r="P589" s="86"/>
      <c r="Q589" s="86"/>
      <c r="R589" s="86"/>
      <c r="S589" s="86"/>
      <c r="T589" s="86"/>
      <c r="U589" s="86"/>
      <c r="V589" s="86"/>
      <c r="W589" s="86"/>
      <c r="X589" s="86"/>
      <c r="Y589" s="86"/>
      <c r="Z589" s="86"/>
      <c r="AA589" s="86"/>
      <c r="AB589" s="86"/>
      <c r="AC589" s="86"/>
      <c r="AD589" s="86"/>
      <c r="AE589" s="86"/>
      <c r="AF589" s="86"/>
      <c r="AG589" s="86"/>
      <c r="AH589" s="86"/>
      <c r="AI589" s="86"/>
      <c r="AJ589" s="86"/>
      <c r="AK589" s="86"/>
      <c r="AL589" s="86"/>
      <c r="AM589" s="86"/>
      <c r="AN589" s="86"/>
      <c r="AO589" s="87"/>
      <c r="AP589" s="88">
        <f t="shared" si="9"/>
        <v>0</v>
      </c>
    </row>
    <row r="590" spans="2:42" s="3" customFormat="1" ht="24" customHeight="1" x14ac:dyDescent="0.2">
      <c r="B590" s="80"/>
      <c r="C590" s="81"/>
      <c r="D590" s="82"/>
      <c r="E590" s="83"/>
      <c r="F590" s="84" t="str">
        <f>IFERROR(VLOOKUP($E590,設定!$C:$G,2,0),"")</f>
        <v/>
      </c>
      <c r="G590" s="84" t="str">
        <f>IFERROR(VLOOKUP($E590,設定!$C:$G,3,0),"")</f>
        <v/>
      </c>
      <c r="H590" s="84" t="str">
        <f>IFERROR(VLOOKUP($E590,設定!$C:$G,4,0),"")</f>
        <v/>
      </c>
      <c r="I590" s="84" t="str">
        <f>IFERROR(VLOOKUP($E590,設定!$C:$G,5,0),"")</f>
        <v/>
      </c>
      <c r="J590" s="117"/>
      <c r="K590" s="85"/>
      <c r="L590" s="86"/>
      <c r="M590" s="86"/>
      <c r="N590" s="86"/>
      <c r="O590" s="86"/>
      <c r="P590" s="86"/>
      <c r="Q590" s="86"/>
      <c r="R590" s="86"/>
      <c r="S590" s="86"/>
      <c r="T590" s="86"/>
      <c r="U590" s="86"/>
      <c r="V590" s="86"/>
      <c r="W590" s="86"/>
      <c r="X590" s="86"/>
      <c r="Y590" s="86"/>
      <c r="Z590" s="86"/>
      <c r="AA590" s="86"/>
      <c r="AB590" s="86"/>
      <c r="AC590" s="86"/>
      <c r="AD590" s="86"/>
      <c r="AE590" s="86"/>
      <c r="AF590" s="86"/>
      <c r="AG590" s="86"/>
      <c r="AH590" s="86"/>
      <c r="AI590" s="86"/>
      <c r="AJ590" s="86"/>
      <c r="AK590" s="86"/>
      <c r="AL590" s="86"/>
      <c r="AM590" s="86"/>
      <c r="AN590" s="86"/>
      <c r="AO590" s="87"/>
      <c r="AP590" s="88">
        <f t="shared" si="9"/>
        <v>0</v>
      </c>
    </row>
    <row r="591" spans="2:42" s="3" customFormat="1" ht="24" customHeight="1" x14ac:dyDescent="0.2">
      <c r="B591" s="80"/>
      <c r="C591" s="81"/>
      <c r="D591" s="82"/>
      <c r="E591" s="83"/>
      <c r="F591" s="84" t="str">
        <f>IFERROR(VLOOKUP($E591,設定!$C:$G,2,0),"")</f>
        <v/>
      </c>
      <c r="G591" s="84" t="str">
        <f>IFERROR(VLOOKUP($E591,設定!$C:$G,3,0),"")</f>
        <v/>
      </c>
      <c r="H591" s="84" t="str">
        <f>IFERROR(VLOOKUP($E591,設定!$C:$G,4,0),"")</f>
        <v/>
      </c>
      <c r="I591" s="84" t="str">
        <f>IFERROR(VLOOKUP($E591,設定!$C:$G,5,0),"")</f>
        <v/>
      </c>
      <c r="J591" s="117"/>
      <c r="K591" s="85"/>
      <c r="L591" s="86"/>
      <c r="M591" s="86"/>
      <c r="N591" s="86"/>
      <c r="O591" s="86"/>
      <c r="P591" s="86"/>
      <c r="Q591" s="86"/>
      <c r="R591" s="86"/>
      <c r="S591" s="86"/>
      <c r="T591" s="86"/>
      <c r="U591" s="86"/>
      <c r="V591" s="86"/>
      <c r="W591" s="86"/>
      <c r="X591" s="86"/>
      <c r="Y591" s="86"/>
      <c r="Z591" s="86"/>
      <c r="AA591" s="86"/>
      <c r="AB591" s="86"/>
      <c r="AC591" s="86"/>
      <c r="AD591" s="86"/>
      <c r="AE591" s="86"/>
      <c r="AF591" s="86"/>
      <c r="AG591" s="86"/>
      <c r="AH591" s="86"/>
      <c r="AI591" s="86"/>
      <c r="AJ591" s="86"/>
      <c r="AK591" s="86"/>
      <c r="AL591" s="86"/>
      <c r="AM591" s="86"/>
      <c r="AN591" s="86"/>
      <c r="AO591" s="87"/>
      <c r="AP591" s="88">
        <f t="shared" si="9"/>
        <v>0</v>
      </c>
    </row>
    <row r="592" spans="2:42" s="3" customFormat="1" ht="24" customHeight="1" x14ac:dyDescent="0.2">
      <c r="B592" s="80"/>
      <c r="C592" s="81"/>
      <c r="D592" s="82"/>
      <c r="E592" s="83"/>
      <c r="F592" s="84" t="str">
        <f>IFERROR(VLOOKUP($E592,設定!$C:$G,2,0),"")</f>
        <v/>
      </c>
      <c r="G592" s="84" t="str">
        <f>IFERROR(VLOOKUP($E592,設定!$C:$G,3,0),"")</f>
        <v/>
      </c>
      <c r="H592" s="84" t="str">
        <f>IFERROR(VLOOKUP($E592,設定!$C:$G,4,0),"")</f>
        <v/>
      </c>
      <c r="I592" s="84" t="str">
        <f>IFERROR(VLOOKUP($E592,設定!$C:$G,5,0),"")</f>
        <v/>
      </c>
      <c r="J592" s="117"/>
      <c r="K592" s="85"/>
      <c r="L592" s="86"/>
      <c r="M592" s="86"/>
      <c r="N592" s="86"/>
      <c r="O592" s="86"/>
      <c r="P592" s="86"/>
      <c r="Q592" s="86"/>
      <c r="R592" s="86"/>
      <c r="S592" s="86"/>
      <c r="T592" s="86"/>
      <c r="U592" s="86"/>
      <c r="V592" s="86"/>
      <c r="W592" s="86"/>
      <c r="X592" s="86"/>
      <c r="Y592" s="86"/>
      <c r="Z592" s="86"/>
      <c r="AA592" s="86"/>
      <c r="AB592" s="86"/>
      <c r="AC592" s="86"/>
      <c r="AD592" s="86"/>
      <c r="AE592" s="86"/>
      <c r="AF592" s="86"/>
      <c r="AG592" s="86"/>
      <c r="AH592" s="86"/>
      <c r="AI592" s="86"/>
      <c r="AJ592" s="86"/>
      <c r="AK592" s="86"/>
      <c r="AL592" s="86"/>
      <c r="AM592" s="86"/>
      <c r="AN592" s="86"/>
      <c r="AO592" s="87"/>
      <c r="AP592" s="88">
        <f t="shared" si="9"/>
        <v>0</v>
      </c>
    </row>
    <row r="593" spans="2:42" s="3" customFormat="1" ht="24" customHeight="1" x14ac:dyDescent="0.2">
      <c r="B593" s="80"/>
      <c r="C593" s="81"/>
      <c r="D593" s="82"/>
      <c r="E593" s="83"/>
      <c r="F593" s="84" t="str">
        <f>IFERROR(VLOOKUP($E593,設定!$C:$G,2,0),"")</f>
        <v/>
      </c>
      <c r="G593" s="84" t="str">
        <f>IFERROR(VLOOKUP($E593,設定!$C:$G,3,0),"")</f>
        <v/>
      </c>
      <c r="H593" s="84" t="str">
        <f>IFERROR(VLOOKUP($E593,設定!$C:$G,4,0),"")</f>
        <v/>
      </c>
      <c r="I593" s="84" t="str">
        <f>IFERROR(VLOOKUP($E593,設定!$C:$G,5,0),"")</f>
        <v/>
      </c>
      <c r="J593" s="117"/>
      <c r="K593" s="85"/>
      <c r="L593" s="86"/>
      <c r="M593" s="86"/>
      <c r="N593" s="86"/>
      <c r="O593" s="86"/>
      <c r="P593" s="86"/>
      <c r="Q593" s="86"/>
      <c r="R593" s="86"/>
      <c r="S593" s="86"/>
      <c r="T593" s="86"/>
      <c r="U593" s="86"/>
      <c r="V593" s="86"/>
      <c r="W593" s="86"/>
      <c r="X593" s="86"/>
      <c r="Y593" s="86"/>
      <c r="Z593" s="86"/>
      <c r="AA593" s="86"/>
      <c r="AB593" s="86"/>
      <c r="AC593" s="86"/>
      <c r="AD593" s="86"/>
      <c r="AE593" s="86"/>
      <c r="AF593" s="86"/>
      <c r="AG593" s="86"/>
      <c r="AH593" s="86"/>
      <c r="AI593" s="86"/>
      <c r="AJ593" s="86"/>
      <c r="AK593" s="86"/>
      <c r="AL593" s="86"/>
      <c r="AM593" s="86"/>
      <c r="AN593" s="86"/>
      <c r="AO593" s="87"/>
      <c r="AP593" s="88">
        <f t="shared" si="9"/>
        <v>0</v>
      </c>
    </row>
    <row r="594" spans="2:42" s="3" customFormat="1" ht="24" customHeight="1" x14ac:dyDescent="0.2">
      <c r="B594" s="80"/>
      <c r="C594" s="81"/>
      <c r="D594" s="82"/>
      <c r="E594" s="83"/>
      <c r="F594" s="84" t="str">
        <f>IFERROR(VLOOKUP($E594,設定!$C:$G,2,0),"")</f>
        <v/>
      </c>
      <c r="G594" s="84" t="str">
        <f>IFERROR(VLOOKUP($E594,設定!$C:$G,3,0),"")</f>
        <v/>
      </c>
      <c r="H594" s="84" t="str">
        <f>IFERROR(VLOOKUP($E594,設定!$C:$G,4,0),"")</f>
        <v/>
      </c>
      <c r="I594" s="84" t="str">
        <f>IFERROR(VLOOKUP($E594,設定!$C:$G,5,0),"")</f>
        <v/>
      </c>
      <c r="J594" s="117"/>
      <c r="K594" s="85"/>
      <c r="L594" s="86"/>
      <c r="M594" s="86"/>
      <c r="N594" s="86"/>
      <c r="O594" s="86"/>
      <c r="P594" s="86"/>
      <c r="Q594" s="86"/>
      <c r="R594" s="86"/>
      <c r="S594" s="86"/>
      <c r="T594" s="86"/>
      <c r="U594" s="86"/>
      <c r="V594" s="86"/>
      <c r="W594" s="86"/>
      <c r="X594" s="86"/>
      <c r="Y594" s="86"/>
      <c r="Z594" s="86"/>
      <c r="AA594" s="86"/>
      <c r="AB594" s="86"/>
      <c r="AC594" s="86"/>
      <c r="AD594" s="86"/>
      <c r="AE594" s="86"/>
      <c r="AF594" s="86"/>
      <c r="AG594" s="86"/>
      <c r="AH594" s="86"/>
      <c r="AI594" s="86"/>
      <c r="AJ594" s="86"/>
      <c r="AK594" s="86"/>
      <c r="AL594" s="86"/>
      <c r="AM594" s="86"/>
      <c r="AN594" s="86"/>
      <c r="AO594" s="87"/>
      <c r="AP594" s="88">
        <f t="shared" si="9"/>
        <v>0</v>
      </c>
    </row>
    <row r="595" spans="2:42" s="3" customFormat="1" ht="24" customHeight="1" x14ac:dyDescent="0.2">
      <c r="B595" s="80"/>
      <c r="C595" s="81"/>
      <c r="D595" s="82"/>
      <c r="E595" s="83"/>
      <c r="F595" s="84" t="str">
        <f>IFERROR(VLOOKUP($E595,設定!$C:$G,2,0),"")</f>
        <v/>
      </c>
      <c r="G595" s="84" t="str">
        <f>IFERROR(VLOOKUP($E595,設定!$C:$G,3,0),"")</f>
        <v/>
      </c>
      <c r="H595" s="84" t="str">
        <f>IFERROR(VLOOKUP($E595,設定!$C:$G,4,0),"")</f>
        <v/>
      </c>
      <c r="I595" s="84" t="str">
        <f>IFERROR(VLOOKUP($E595,設定!$C:$G,5,0),"")</f>
        <v/>
      </c>
      <c r="J595" s="117"/>
      <c r="K595" s="85"/>
      <c r="L595" s="86"/>
      <c r="M595" s="86"/>
      <c r="N595" s="86"/>
      <c r="O595" s="86"/>
      <c r="P595" s="86"/>
      <c r="Q595" s="86"/>
      <c r="R595" s="86"/>
      <c r="S595" s="86"/>
      <c r="T595" s="86"/>
      <c r="U595" s="86"/>
      <c r="V595" s="86"/>
      <c r="W595" s="86"/>
      <c r="X595" s="86"/>
      <c r="Y595" s="86"/>
      <c r="Z595" s="86"/>
      <c r="AA595" s="86"/>
      <c r="AB595" s="86"/>
      <c r="AC595" s="86"/>
      <c r="AD595" s="86"/>
      <c r="AE595" s="86"/>
      <c r="AF595" s="86"/>
      <c r="AG595" s="86"/>
      <c r="AH595" s="86"/>
      <c r="AI595" s="86"/>
      <c r="AJ595" s="86"/>
      <c r="AK595" s="86"/>
      <c r="AL595" s="86"/>
      <c r="AM595" s="86"/>
      <c r="AN595" s="86"/>
      <c r="AO595" s="87"/>
      <c r="AP595" s="88">
        <f t="shared" si="9"/>
        <v>0</v>
      </c>
    </row>
    <row r="596" spans="2:42" s="3" customFormat="1" ht="24" customHeight="1" x14ac:dyDescent="0.2">
      <c r="B596" s="80"/>
      <c r="C596" s="81"/>
      <c r="D596" s="82"/>
      <c r="E596" s="83"/>
      <c r="F596" s="84" t="str">
        <f>IFERROR(VLOOKUP($E596,設定!$C:$G,2,0),"")</f>
        <v/>
      </c>
      <c r="G596" s="84" t="str">
        <f>IFERROR(VLOOKUP($E596,設定!$C:$G,3,0),"")</f>
        <v/>
      </c>
      <c r="H596" s="84" t="str">
        <f>IFERROR(VLOOKUP($E596,設定!$C:$G,4,0),"")</f>
        <v/>
      </c>
      <c r="I596" s="84" t="str">
        <f>IFERROR(VLOOKUP($E596,設定!$C:$G,5,0),"")</f>
        <v/>
      </c>
      <c r="J596" s="117"/>
      <c r="K596" s="85"/>
      <c r="L596" s="86"/>
      <c r="M596" s="86"/>
      <c r="N596" s="86"/>
      <c r="O596" s="86"/>
      <c r="P596" s="86"/>
      <c r="Q596" s="86"/>
      <c r="R596" s="86"/>
      <c r="S596" s="86"/>
      <c r="T596" s="86"/>
      <c r="U596" s="86"/>
      <c r="V596" s="86"/>
      <c r="W596" s="86"/>
      <c r="X596" s="86"/>
      <c r="Y596" s="86"/>
      <c r="Z596" s="86"/>
      <c r="AA596" s="86"/>
      <c r="AB596" s="86"/>
      <c r="AC596" s="86"/>
      <c r="AD596" s="86"/>
      <c r="AE596" s="86"/>
      <c r="AF596" s="86"/>
      <c r="AG596" s="86"/>
      <c r="AH596" s="86"/>
      <c r="AI596" s="86"/>
      <c r="AJ596" s="86"/>
      <c r="AK596" s="86"/>
      <c r="AL596" s="86"/>
      <c r="AM596" s="86"/>
      <c r="AN596" s="86"/>
      <c r="AO596" s="87"/>
      <c r="AP596" s="88">
        <f t="shared" si="9"/>
        <v>0</v>
      </c>
    </row>
    <row r="597" spans="2:42" s="3" customFormat="1" ht="24" customHeight="1" x14ac:dyDescent="0.2">
      <c r="B597" s="80"/>
      <c r="C597" s="81"/>
      <c r="D597" s="82"/>
      <c r="E597" s="83"/>
      <c r="F597" s="84" t="str">
        <f>IFERROR(VLOOKUP($E597,設定!$C:$G,2,0),"")</f>
        <v/>
      </c>
      <c r="G597" s="84" t="str">
        <f>IFERROR(VLOOKUP($E597,設定!$C:$G,3,0),"")</f>
        <v/>
      </c>
      <c r="H597" s="84" t="str">
        <f>IFERROR(VLOOKUP($E597,設定!$C:$G,4,0),"")</f>
        <v/>
      </c>
      <c r="I597" s="84" t="str">
        <f>IFERROR(VLOOKUP($E597,設定!$C:$G,5,0),"")</f>
        <v/>
      </c>
      <c r="J597" s="117"/>
      <c r="K597" s="85"/>
      <c r="L597" s="86"/>
      <c r="M597" s="86"/>
      <c r="N597" s="86"/>
      <c r="O597" s="86"/>
      <c r="P597" s="86"/>
      <c r="Q597" s="86"/>
      <c r="R597" s="86"/>
      <c r="S597" s="86"/>
      <c r="T597" s="86"/>
      <c r="U597" s="86"/>
      <c r="V597" s="86"/>
      <c r="W597" s="86"/>
      <c r="X597" s="86"/>
      <c r="Y597" s="86"/>
      <c r="Z597" s="86"/>
      <c r="AA597" s="86"/>
      <c r="AB597" s="86"/>
      <c r="AC597" s="86"/>
      <c r="AD597" s="86"/>
      <c r="AE597" s="86"/>
      <c r="AF597" s="86"/>
      <c r="AG597" s="86"/>
      <c r="AH597" s="86"/>
      <c r="AI597" s="86"/>
      <c r="AJ597" s="86"/>
      <c r="AK597" s="86"/>
      <c r="AL597" s="86"/>
      <c r="AM597" s="86"/>
      <c r="AN597" s="86"/>
      <c r="AO597" s="87"/>
      <c r="AP597" s="88">
        <f t="shared" si="9"/>
        <v>0</v>
      </c>
    </row>
    <row r="598" spans="2:42" s="3" customFormat="1" ht="24" customHeight="1" x14ac:dyDescent="0.2">
      <c r="B598" s="80"/>
      <c r="C598" s="81"/>
      <c r="D598" s="82"/>
      <c r="E598" s="83"/>
      <c r="F598" s="84" t="str">
        <f>IFERROR(VLOOKUP($E598,設定!$C:$G,2,0),"")</f>
        <v/>
      </c>
      <c r="G598" s="84" t="str">
        <f>IFERROR(VLOOKUP($E598,設定!$C:$G,3,0),"")</f>
        <v/>
      </c>
      <c r="H598" s="84" t="str">
        <f>IFERROR(VLOOKUP($E598,設定!$C:$G,4,0),"")</f>
        <v/>
      </c>
      <c r="I598" s="84" t="str">
        <f>IFERROR(VLOOKUP($E598,設定!$C:$G,5,0),"")</f>
        <v/>
      </c>
      <c r="J598" s="117"/>
      <c r="K598" s="85"/>
      <c r="L598" s="86"/>
      <c r="M598" s="86"/>
      <c r="N598" s="86"/>
      <c r="O598" s="86"/>
      <c r="P598" s="86"/>
      <c r="Q598" s="86"/>
      <c r="R598" s="86"/>
      <c r="S598" s="86"/>
      <c r="T598" s="86"/>
      <c r="U598" s="86"/>
      <c r="V598" s="86"/>
      <c r="W598" s="86"/>
      <c r="X598" s="86"/>
      <c r="Y598" s="86"/>
      <c r="Z598" s="86"/>
      <c r="AA598" s="86"/>
      <c r="AB598" s="86"/>
      <c r="AC598" s="86"/>
      <c r="AD598" s="86"/>
      <c r="AE598" s="86"/>
      <c r="AF598" s="86"/>
      <c r="AG598" s="86"/>
      <c r="AH598" s="86"/>
      <c r="AI598" s="86"/>
      <c r="AJ598" s="86"/>
      <c r="AK598" s="86"/>
      <c r="AL598" s="86"/>
      <c r="AM598" s="86"/>
      <c r="AN598" s="86"/>
      <c r="AO598" s="87"/>
      <c r="AP598" s="88">
        <f t="shared" si="9"/>
        <v>0</v>
      </c>
    </row>
    <row r="599" spans="2:42" s="3" customFormat="1" ht="24" customHeight="1" x14ac:dyDescent="0.2">
      <c r="B599" s="80"/>
      <c r="C599" s="81"/>
      <c r="D599" s="82"/>
      <c r="E599" s="83"/>
      <c r="F599" s="84" t="str">
        <f>IFERROR(VLOOKUP($E599,設定!$C:$G,2,0),"")</f>
        <v/>
      </c>
      <c r="G599" s="84" t="str">
        <f>IFERROR(VLOOKUP($E599,設定!$C:$G,3,0),"")</f>
        <v/>
      </c>
      <c r="H599" s="84" t="str">
        <f>IFERROR(VLOOKUP($E599,設定!$C:$G,4,0),"")</f>
        <v/>
      </c>
      <c r="I599" s="84" t="str">
        <f>IFERROR(VLOOKUP($E599,設定!$C:$G,5,0),"")</f>
        <v/>
      </c>
      <c r="J599" s="117"/>
      <c r="K599" s="85"/>
      <c r="L599" s="86"/>
      <c r="M599" s="86"/>
      <c r="N599" s="86"/>
      <c r="O599" s="86"/>
      <c r="P599" s="86"/>
      <c r="Q599" s="86"/>
      <c r="R599" s="86"/>
      <c r="S599" s="86"/>
      <c r="T599" s="86"/>
      <c r="U599" s="86"/>
      <c r="V599" s="86"/>
      <c r="W599" s="86"/>
      <c r="X599" s="86"/>
      <c r="Y599" s="86"/>
      <c r="Z599" s="86"/>
      <c r="AA599" s="86"/>
      <c r="AB599" s="86"/>
      <c r="AC599" s="86"/>
      <c r="AD599" s="86"/>
      <c r="AE599" s="86"/>
      <c r="AF599" s="86"/>
      <c r="AG599" s="86"/>
      <c r="AH599" s="86"/>
      <c r="AI599" s="86"/>
      <c r="AJ599" s="86"/>
      <c r="AK599" s="86"/>
      <c r="AL599" s="86"/>
      <c r="AM599" s="86"/>
      <c r="AN599" s="86"/>
      <c r="AO599" s="87"/>
      <c r="AP599" s="88">
        <f t="shared" si="9"/>
        <v>0</v>
      </c>
    </row>
    <row r="600" spans="2:42" s="3" customFormat="1" ht="24" customHeight="1" x14ac:dyDescent="0.2">
      <c r="B600" s="80"/>
      <c r="C600" s="81"/>
      <c r="D600" s="82"/>
      <c r="E600" s="83"/>
      <c r="F600" s="84" t="str">
        <f>IFERROR(VLOOKUP($E600,設定!$C:$G,2,0),"")</f>
        <v/>
      </c>
      <c r="G600" s="84" t="str">
        <f>IFERROR(VLOOKUP($E600,設定!$C:$G,3,0),"")</f>
        <v/>
      </c>
      <c r="H600" s="84" t="str">
        <f>IFERROR(VLOOKUP($E600,設定!$C:$G,4,0),"")</f>
        <v/>
      </c>
      <c r="I600" s="84" t="str">
        <f>IFERROR(VLOOKUP($E600,設定!$C:$G,5,0),"")</f>
        <v/>
      </c>
      <c r="J600" s="117"/>
      <c r="K600" s="85"/>
      <c r="L600" s="86"/>
      <c r="M600" s="86"/>
      <c r="N600" s="86"/>
      <c r="O600" s="86"/>
      <c r="P600" s="86"/>
      <c r="Q600" s="86"/>
      <c r="R600" s="86"/>
      <c r="S600" s="86"/>
      <c r="T600" s="86"/>
      <c r="U600" s="86"/>
      <c r="V600" s="86"/>
      <c r="W600" s="86"/>
      <c r="X600" s="86"/>
      <c r="Y600" s="86"/>
      <c r="Z600" s="86"/>
      <c r="AA600" s="86"/>
      <c r="AB600" s="86"/>
      <c r="AC600" s="86"/>
      <c r="AD600" s="86"/>
      <c r="AE600" s="86"/>
      <c r="AF600" s="86"/>
      <c r="AG600" s="86"/>
      <c r="AH600" s="86"/>
      <c r="AI600" s="86"/>
      <c r="AJ600" s="86"/>
      <c r="AK600" s="86"/>
      <c r="AL600" s="86"/>
      <c r="AM600" s="86"/>
      <c r="AN600" s="86"/>
      <c r="AO600" s="87"/>
      <c r="AP600" s="88">
        <f t="shared" si="9"/>
        <v>0</v>
      </c>
    </row>
    <row r="601" spans="2:42" s="3" customFormat="1" ht="24" customHeight="1" x14ac:dyDescent="0.2">
      <c r="B601" s="80"/>
      <c r="C601" s="81"/>
      <c r="D601" s="82"/>
      <c r="E601" s="83"/>
      <c r="F601" s="84" t="str">
        <f>IFERROR(VLOOKUP($E601,設定!$C:$G,2,0),"")</f>
        <v/>
      </c>
      <c r="G601" s="84" t="str">
        <f>IFERROR(VLOOKUP($E601,設定!$C:$G,3,0),"")</f>
        <v/>
      </c>
      <c r="H601" s="84" t="str">
        <f>IFERROR(VLOOKUP($E601,設定!$C:$G,4,0),"")</f>
        <v/>
      </c>
      <c r="I601" s="84" t="str">
        <f>IFERROR(VLOOKUP($E601,設定!$C:$G,5,0),"")</f>
        <v/>
      </c>
      <c r="J601" s="117"/>
      <c r="K601" s="85"/>
      <c r="L601" s="86"/>
      <c r="M601" s="86"/>
      <c r="N601" s="86"/>
      <c r="O601" s="86"/>
      <c r="P601" s="86"/>
      <c r="Q601" s="86"/>
      <c r="R601" s="86"/>
      <c r="S601" s="86"/>
      <c r="T601" s="86"/>
      <c r="U601" s="86"/>
      <c r="V601" s="86"/>
      <c r="W601" s="86"/>
      <c r="X601" s="86"/>
      <c r="Y601" s="86"/>
      <c r="Z601" s="86"/>
      <c r="AA601" s="86"/>
      <c r="AB601" s="86"/>
      <c r="AC601" s="86"/>
      <c r="AD601" s="86"/>
      <c r="AE601" s="86"/>
      <c r="AF601" s="86"/>
      <c r="AG601" s="86"/>
      <c r="AH601" s="86"/>
      <c r="AI601" s="86"/>
      <c r="AJ601" s="86"/>
      <c r="AK601" s="86"/>
      <c r="AL601" s="86"/>
      <c r="AM601" s="86"/>
      <c r="AN601" s="86"/>
      <c r="AO601" s="87"/>
      <c r="AP601" s="88">
        <f t="shared" si="9"/>
        <v>0</v>
      </c>
    </row>
    <row r="602" spans="2:42" s="3" customFormat="1" ht="24" customHeight="1" x14ac:dyDescent="0.2">
      <c r="B602" s="80"/>
      <c r="C602" s="81"/>
      <c r="D602" s="82"/>
      <c r="E602" s="83"/>
      <c r="F602" s="84" t="str">
        <f>IFERROR(VLOOKUP($E602,設定!$C:$G,2,0),"")</f>
        <v/>
      </c>
      <c r="G602" s="84" t="str">
        <f>IFERROR(VLOOKUP($E602,設定!$C:$G,3,0),"")</f>
        <v/>
      </c>
      <c r="H602" s="84" t="str">
        <f>IFERROR(VLOOKUP($E602,設定!$C:$G,4,0),"")</f>
        <v/>
      </c>
      <c r="I602" s="84" t="str">
        <f>IFERROR(VLOOKUP($E602,設定!$C:$G,5,0),"")</f>
        <v/>
      </c>
      <c r="J602" s="117"/>
      <c r="K602" s="85"/>
      <c r="L602" s="86"/>
      <c r="M602" s="86"/>
      <c r="N602" s="86"/>
      <c r="O602" s="86"/>
      <c r="P602" s="86"/>
      <c r="Q602" s="86"/>
      <c r="R602" s="86"/>
      <c r="S602" s="86"/>
      <c r="T602" s="86"/>
      <c r="U602" s="86"/>
      <c r="V602" s="86"/>
      <c r="W602" s="86"/>
      <c r="X602" s="86"/>
      <c r="Y602" s="86"/>
      <c r="Z602" s="86"/>
      <c r="AA602" s="86"/>
      <c r="AB602" s="86"/>
      <c r="AC602" s="86"/>
      <c r="AD602" s="86"/>
      <c r="AE602" s="86"/>
      <c r="AF602" s="86"/>
      <c r="AG602" s="86"/>
      <c r="AH602" s="86"/>
      <c r="AI602" s="86"/>
      <c r="AJ602" s="86"/>
      <c r="AK602" s="86"/>
      <c r="AL602" s="86"/>
      <c r="AM602" s="86"/>
      <c r="AN602" s="86"/>
      <c r="AO602" s="87"/>
      <c r="AP602" s="88">
        <f t="shared" si="9"/>
        <v>0</v>
      </c>
    </row>
    <row r="603" spans="2:42" s="3" customFormat="1" ht="24" customHeight="1" x14ac:dyDescent="0.2">
      <c r="B603" s="80"/>
      <c r="C603" s="81"/>
      <c r="D603" s="82"/>
      <c r="E603" s="83"/>
      <c r="F603" s="84" t="str">
        <f>IFERROR(VLOOKUP($E603,設定!$C:$G,2,0),"")</f>
        <v/>
      </c>
      <c r="G603" s="84" t="str">
        <f>IFERROR(VLOOKUP($E603,設定!$C:$G,3,0),"")</f>
        <v/>
      </c>
      <c r="H603" s="84" t="str">
        <f>IFERROR(VLOOKUP($E603,設定!$C:$G,4,0),"")</f>
        <v/>
      </c>
      <c r="I603" s="84" t="str">
        <f>IFERROR(VLOOKUP($E603,設定!$C:$G,5,0),"")</f>
        <v/>
      </c>
      <c r="J603" s="117"/>
      <c r="K603" s="85"/>
      <c r="L603" s="86"/>
      <c r="M603" s="86"/>
      <c r="N603" s="86"/>
      <c r="O603" s="86"/>
      <c r="P603" s="86"/>
      <c r="Q603" s="86"/>
      <c r="R603" s="86"/>
      <c r="S603" s="86"/>
      <c r="T603" s="86"/>
      <c r="U603" s="86"/>
      <c r="V603" s="86"/>
      <c r="W603" s="86"/>
      <c r="X603" s="86"/>
      <c r="Y603" s="86"/>
      <c r="Z603" s="86"/>
      <c r="AA603" s="86"/>
      <c r="AB603" s="86"/>
      <c r="AC603" s="86"/>
      <c r="AD603" s="86"/>
      <c r="AE603" s="86"/>
      <c r="AF603" s="86"/>
      <c r="AG603" s="86"/>
      <c r="AH603" s="86"/>
      <c r="AI603" s="86"/>
      <c r="AJ603" s="86"/>
      <c r="AK603" s="86"/>
      <c r="AL603" s="86"/>
      <c r="AM603" s="86"/>
      <c r="AN603" s="86"/>
      <c r="AO603" s="87"/>
      <c r="AP603" s="88">
        <f t="shared" si="9"/>
        <v>0</v>
      </c>
    </row>
    <row r="604" spans="2:42" s="3" customFormat="1" ht="24" customHeight="1" x14ac:dyDescent="0.2">
      <c r="B604" s="80"/>
      <c r="C604" s="81"/>
      <c r="D604" s="82"/>
      <c r="E604" s="83"/>
      <c r="F604" s="84" t="str">
        <f>IFERROR(VLOOKUP($E604,設定!$C:$G,2,0),"")</f>
        <v/>
      </c>
      <c r="G604" s="84" t="str">
        <f>IFERROR(VLOOKUP($E604,設定!$C:$G,3,0),"")</f>
        <v/>
      </c>
      <c r="H604" s="84" t="str">
        <f>IFERROR(VLOOKUP($E604,設定!$C:$G,4,0),"")</f>
        <v/>
      </c>
      <c r="I604" s="84" t="str">
        <f>IFERROR(VLOOKUP($E604,設定!$C:$G,5,0),"")</f>
        <v/>
      </c>
      <c r="J604" s="117"/>
      <c r="K604" s="85"/>
      <c r="L604" s="86"/>
      <c r="M604" s="86"/>
      <c r="N604" s="86"/>
      <c r="O604" s="86"/>
      <c r="P604" s="86"/>
      <c r="Q604" s="86"/>
      <c r="R604" s="86"/>
      <c r="S604" s="86"/>
      <c r="T604" s="86"/>
      <c r="U604" s="86"/>
      <c r="V604" s="86"/>
      <c r="W604" s="86"/>
      <c r="X604" s="86"/>
      <c r="Y604" s="86"/>
      <c r="Z604" s="86"/>
      <c r="AA604" s="86"/>
      <c r="AB604" s="86"/>
      <c r="AC604" s="86"/>
      <c r="AD604" s="86"/>
      <c r="AE604" s="86"/>
      <c r="AF604" s="86"/>
      <c r="AG604" s="86"/>
      <c r="AH604" s="86"/>
      <c r="AI604" s="86"/>
      <c r="AJ604" s="86"/>
      <c r="AK604" s="86"/>
      <c r="AL604" s="86"/>
      <c r="AM604" s="86"/>
      <c r="AN604" s="86"/>
      <c r="AO604" s="87"/>
      <c r="AP604" s="88">
        <f t="shared" si="9"/>
        <v>0</v>
      </c>
    </row>
    <row r="605" spans="2:42" s="3" customFormat="1" ht="24" customHeight="1" x14ac:dyDescent="0.2">
      <c r="B605" s="80"/>
      <c r="C605" s="81"/>
      <c r="D605" s="82"/>
      <c r="E605" s="83"/>
      <c r="F605" s="84" t="str">
        <f>IFERROR(VLOOKUP($E605,設定!$C:$G,2,0),"")</f>
        <v/>
      </c>
      <c r="G605" s="84" t="str">
        <f>IFERROR(VLOOKUP($E605,設定!$C:$G,3,0),"")</f>
        <v/>
      </c>
      <c r="H605" s="84" t="str">
        <f>IFERROR(VLOOKUP($E605,設定!$C:$G,4,0),"")</f>
        <v/>
      </c>
      <c r="I605" s="84" t="str">
        <f>IFERROR(VLOOKUP($E605,設定!$C:$G,5,0),"")</f>
        <v/>
      </c>
      <c r="J605" s="117"/>
      <c r="K605" s="85"/>
      <c r="L605" s="86"/>
      <c r="M605" s="86"/>
      <c r="N605" s="86"/>
      <c r="O605" s="86"/>
      <c r="P605" s="86"/>
      <c r="Q605" s="86"/>
      <c r="R605" s="86"/>
      <c r="S605" s="86"/>
      <c r="T605" s="86"/>
      <c r="U605" s="86"/>
      <c r="V605" s="86"/>
      <c r="W605" s="86"/>
      <c r="X605" s="86"/>
      <c r="Y605" s="86"/>
      <c r="Z605" s="86"/>
      <c r="AA605" s="86"/>
      <c r="AB605" s="86"/>
      <c r="AC605" s="86"/>
      <c r="AD605" s="86"/>
      <c r="AE605" s="86"/>
      <c r="AF605" s="86"/>
      <c r="AG605" s="86"/>
      <c r="AH605" s="86"/>
      <c r="AI605" s="86"/>
      <c r="AJ605" s="86"/>
      <c r="AK605" s="86"/>
      <c r="AL605" s="86"/>
      <c r="AM605" s="86"/>
      <c r="AN605" s="86"/>
      <c r="AO605" s="87"/>
      <c r="AP605" s="88">
        <f t="shared" si="9"/>
        <v>0</v>
      </c>
    </row>
    <row r="606" spans="2:42" s="3" customFormat="1" ht="24" customHeight="1" x14ac:dyDescent="0.2">
      <c r="B606" s="80"/>
      <c r="C606" s="81"/>
      <c r="D606" s="82"/>
      <c r="E606" s="83"/>
      <c r="F606" s="84" t="str">
        <f>IFERROR(VLOOKUP($E606,設定!$C:$G,2,0),"")</f>
        <v/>
      </c>
      <c r="G606" s="84" t="str">
        <f>IFERROR(VLOOKUP($E606,設定!$C:$G,3,0),"")</f>
        <v/>
      </c>
      <c r="H606" s="84" t="str">
        <f>IFERROR(VLOOKUP($E606,設定!$C:$G,4,0),"")</f>
        <v/>
      </c>
      <c r="I606" s="84" t="str">
        <f>IFERROR(VLOOKUP($E606,設定!$C:$G,5,0),"")</f>
        <v/>
      </c>
      <c r="J606" s="117"/>
      <c r="K606" s="85"/>
      <c r="L606" s="86"/>
      <c r="M606" s="86"/>
      <c r="N606" s="86"/>
      <c r="O606" s="86"/>
      <c r="P606" s="86"/>
      <c r="Q606" s="86"/>
      <c r="R606" s="86"/>
      <c r="S606" s="86"/>
      <c r="T606" s="86"/>
      <c r="U606" s="86"/>
      <c r="V606" s="86"/>
      <c r="W606" s="86"/>
      <c r="X606" s="86"/>
      <c r="Y606" s="86"/>
      <c r="Z606" s="86"/>
      <c r="AA606" s="86"/>
      <c r="AB606" s="86"/>
      <c r="AC606" s="86"/>
      <c r="AD606" s="86"/>
      <c r="AE606" s="86"/>
      <c r="AF606" s="86"/>
      <c r="AG606" s="86"/>
      <c r="AH606" s="86"/>
      <c r="AI606" s="86"/>
      <c r="AJ606" s="86"/>
      <c r="AK606" s="86"/>
      <c r="AL606" s="86"/>
      <c r="AM606" s="86"/>
      <c r="AN606" s="86"/>
      <c r="AO606" s="87"/>
      <c r="AP606" s="88">
        <f t="shared" si="9"/>
        <v>0</v>
      </c>
    </row>
    <row r="607" spans="2:42" s="3" customFormat="1" ht="24" customHeight="1" x14ac:dyDescent="0.2">
      <c r="B607" s="80"/>
      <c r="C607" s="81"/>
      <c r="D607" s="82"/>
      <c r="E607" s="83"/>
      <c r="F607" s="84" t="str">
        <f>IFERROR(VLOOKUP($E607,設定!$C:$G,2,0),"")</f>
        <v/>
      </c>
      <c r="G607" s="84" t="str">
        <f>IFERROR(VLOOKUP($E607,設定!$C:$G,3,0),"")</f>
        <v/>
      </c>
      <c r="H607" s="84" t="str">
        <f>IFERROR(VLOOKUP($E607,設定!$C:$G,4,0),"")</f>
        <v/>
      </c>
      <c r="I607" s="84" t="str">
        <f>IFERROR(VLOOKUP($E607,設定!$C:$G,5,0),"")</f>
        <v/>
      </c>
      <c r="J607" s="117"/>
      <c r="K607" s="85"/>
      <c r="L607" s="86"/>
      <c r="M607" s="86"/>
      <c r="N607" s="86"/>
      <c r="O607" s="86"/>
      <c r="P607" s="86"/>
      <c r="Q607" s="86"/>
      <c r="R607" s="86"/>
      <c r="S607" s="86"/>
      <c r="T607" s="86"/>
      <c r="U607" s="86"/>
      <c r="V607" s="86"/>
      <c r="W607" s="86"/>
      <c r="X607" s="86"/>
      <c r="Y607" s="86"/>
      <c r="Z607" s="86"/>
      <c r="AA607" s="86"/>
      <c r="AB607" s="86"/>
      <c r="AC607" s="86"/>
      <c r="AD607" s="86"/>
      <c r="AE607" s="86"/>
      <c r="AF607" s="86"/>
      <c r="AG607" s="86"/>
      <c r="AH607" s="86"/>
      <c r="AI607" s="86"/>
      <c r="AJ607" s="86"/>
      <c r="AK607" s="86"/>
      <c r="AL607" s="86"/>
      <c r="AM607" s="86"/>
      <c r="AN607" s="86"/>
      <c r="AO607" s="87"/>
      <c r="AP607" s="88">
        <f t="shared" si="9"/>
        <v>0</v>
      </c>
    </row>
    <row r="608" spans="2:42" s="3" customFormat="1" ht="24" customHeight="1" x14ac:dyDescent="0.2">
      <c r="B608" s="80"/>
      <c r="C608" s="81"/>
      <c r="D608" s="82"/>
      <c r="E608" s="83"/>
      <c r="F608" s="84" t="str">
        <f>IFERROR(VLOOKUP($E608,設定!$C:$G,2,0),"")</f>
        <v/>
      </c>
      <c r="G608" s="84" t="str">
        <f>IFERROR(VLOOKUP($E608,設定!$C:$G,3,0),"")</f>
        <v/>
      </c>
      <c r="H608" s="84" t="str">
        <f>IFERROR(VLOOKUP($E608,設定!$C:$G,4,0),"")</f>
        <v/>
      </c>
      <c r="I608" s="84" t="str">
        <f>IFERROR(VLOOKUP($E608,設定!$C:$G,5,0),"")</f>
        <v/>
      </c>
      <c r="J608" s="117"/>
      <c r="K608" s="85"/>
      <c r="L608" s="86"/>
      <c r="M608" s="86"/>
      <c r="N608" s="86"/>
      <c r="O608" s="86"/>
      <c r="P608" s="86"/>
      <c r="Q608" s="86"/>
      <c r="R608" s="86"/>
      <c r="S608" s="86"/>
      <c r="T608" s="86"/>
      <c r="U608" s="86"/>
      <c r="V608" s="86"/>
      <c r="W608" s="86"/>
      <c r="X608" s="86"/>
      <c r="Y608" s="86"/>
      <c r="Z608" s="86"/>
      <c r="AA608" s="86"/>
      <c r="AB608" s="86"/>
      <c r="AC608" s="86"/>
      <c r="AD608" s="86"/>
      <c r="AE608" s="86"/>
      <c r="AF608" s="86"/>
      <c r="AG608" s="86"/>
      <c r="AH608" s="86"/>
      <c r="AI608" s="86"/>
      <c r="AJ608" s="86"/>
      <c r="AK608" s="86"/>
      <c r="AL608" s="86"/>
      <c r="AM608" s="86"/>
      <c r="AN608" s="86"/>
      <c r="AO608" s="87"/>
      <c r="AP608" s="88">
        <f t="shared" si="9"/>
        <v>0</v>
      </c>
    </row>
    <row r="609" spans="2:42" s="3" customFormat="1" ht="24" customHeight="1" x14ac:dyDescent="0.2">
      <c r="B609" s="80"/>
      <c r="C609" s="81"/>
      <c r="D609" s="82"/>
      <c r="E609" s="83"/>
      <c r="F609" s="84" t="str">
        <f>IFERROR(VLOOKUP($E609,設定!$C:$G,2,0),"")</f>
        <v/>
      </c>
      <c r="G609" s="84" t="str">
        <f>IFERROR(VLOOKUP($E609,設定!$C:$G,3,0),"")</f>
        <v/>
      </c>
      <c r="H609" s="84" t="str">
        <f>IFERROR(VLOOKUP($E609,設定!$C:$G,4,0),"")</f>
        <v/>
      </c>
      <c r="I609" s="84" t="str">
        <f>IFERROR(VLOOKUP($E609,設定!$C:$G,5,0),"")</f>
        <v/>
      </c>
      <c r="J609" s="117"/>
      <c r="K609" s="85"/>
      <c r="L609" s="86"/>
      <c r="M609" s="86"/>
      <c r="N609" s="86"/>
      <c r="O609" s="86"/>
      <c r="P609" s="86"/>
      <c r="Q609" s="86"/>
      <c r="R609" s="86"/>
      <c r="S609" s="86"/>
      <c r="T609" s="86"/>
      <c r="U609" s="86"/>
      <c r="V609" s="86"/>
      <c r="W609" s="86"/>
      <c r="X609" s="86"/>
      <c r="Y609" s="86"/>
      <c r="Z609" s="86"/>
      <c r="AA609" s="86"/>
      <c r="AB609" s="86"/>
      <c r="AC609" s="86"/>
      <c r="AD609" s="86"/>
      <c r="AE609" s="86"/>
      <c r="AF609" s="86"/>
      <c r="AG609" s="86"/>
      <c r="AH609" s="86"/>
      <c r="AI609" s="86"/>
      <c r="AJ609" s="86"/>
      <c r="AK609" s="86"/>
      <c r="AL609" s="86"/>
      <c r="AM609" s="86"/>
      <c r="AN609" s="86"/>
      <c r="AO609" s="87"/>
      <c r="AP609" s="88">
        <f t="shared" si="9"/>
        <v>0</v>
      </c>
    </row>
    <row r="610" spans="2:42" s="3" customFormat="1" ht="24" customHeight="1" x14ac:dyDescent="0.2">
      <c r="B610" s="80"/>
      <c r="C610" s="81"/>
      <c r="D610" s="82"/>
      <c r="E610" s="83"/>
      <c r="F610" s="84" t="str">
        <f>IFERROR(VLOOKUP($E610,設定!$C:$G,2,0),"")</f>
        <v/>
      </c>
      <c r="G610" s="84" t="str">
        <f>IFERROR(VLOOKUP($E610,設定!$C:$G,3,0),"")</f>
        <v/>
      </c>
      <c r="H610" s="84" t="str">
        <f>IFERROR(VLOOKUP($E610,設定!$C:$G,4,0),"")</f>
        <v/>
      </c>
      <c r="I610" s="84" t="str">
        <f>IFERROR(VLOOKUP($E610,設定!$C:$G,5,0),"")</f>
        <v/>
      </c>
      <c r="J610" s="117"/>
      <c r="K610" s="85"/>
      <c r="L610" s="86"/>
      <c r="M610" s="86"/>
      <c r="N610" s="86"/>
      <c r="O610" s="86"/>
      <c r="P610" s="86"/>
      <c r="Q610" s="86"/>
      <c r="R610" s="86"/>
      <c r="S610" s="86"/>
      <c r="T610" s="86"/>
      <c r="U610" s="86"/>
      <c r="V610" s="86"/>
      <c r="W610" s="86"/>
      <c r="X610" s="86"/>
      <c r="Y610" s="86"/>
      <c r="Z610" s="86"/>
      <c r="AA610" s="86"/>
      <c r="AB610" s="86"/>
      <c r="AC610" s="86"/>
      <c r="AD610" s="86"/>
      <c r="AE610" s="86"/>
      <c r="AF610" s="86"/>
      <c r="AG610" s="86"/>
      <c r="AH610" s="86"/>
      <c r="AI610" s="86"/>
      <c r="AJ610" s="86"/>
      <c r="AK610" s="86"/>
      <c r="AL610" s="86"/>
      <c r="AM610" s="86"/>
      <c r="AN610" s="86"/>
      <c r="AO610" s="87"/>
      <c r="AP610" s="88">
        <f t="shared" si="9"/>
        <v>0</v>
      </c>
    </row>
    <row r="611" spans="2:42" s="3" customFormat="1" ht="24" customHeight="1" x14ac:dyDescent="0.2">
      <c r="B611" s="80"/>
      <c r="C611" s="81"/>
      <c r="D611" s="82"/>
      <c r="E611" s="83"/>
      <c r="F611" s="84" t="str">
        <f>IFERROR(VLOOKUP($E611,設定!$C:$G,2,0),"")</f>
        <v/>
      </c>
      <c r="G611" s="84" t="str">
        <f>IFERROR(VLOOKUP($E611,設定!$C:$G,3,0),"")</f>
        <v/>
      </c>
      <c r="H611" s="84" t="str">
        <f>IFERROR(VLOOKUP($E611,設定!$C:$G,4,0),"")</f>
        <v/>
      </c>
      <c r="I611" s="84" t="str">
        <f>IFERROR(VLOOKUP($E611,設定!$C:$G,5,0),"")</f>
        <v/>
      </c>
      <c r="J611" s="117"/>
      <c r="K611" s="85"/>
      <c r="L611" s="86"/>
      <c r="M611" s="86"/>
      <c r="N611" s="86"/>
      <c r="O611" s="86"/>
      <c r="P611" s="86"/>
      <c r="Q611" s="86"/>
      <c r="R611" s="86"/>
      <c r="S611" s="86"/>
      <c r="T611" s="86"/>
      <c r="U611" s="86"/>
      <c r="V611" s="86"/>
      <c r="W611" s="86"/>
      <c r="X611" s="86"/>
      <c r="Y611" s="86"/>
      <c r="Z611" s="86"/>
      <c r="AA611" s="86"/>
      <c r="AB611" s="86"/>
      <c r="AC611" s="86"/>
      <c r="AD611" s="86"/>
      <c r="AE611" s="86"/>
      <c r="AF611" s="86"/>
      <c r="AG611" s="86"/>
      <c r="AH611" s="86"/>
      <c r="AI611" s="86"/>
      <c r="AJ611" s="86"/>
      <c r="AK611" s="86"/>
      <c r="AL611" s="86"/>
      <c r="AM611" s="86"/>
      <c r="AN611" s="86"/>
      <c r="AO611" s="87"/>
      <c r="AP611" s="88">
        <f t="shared" si="9"/>
        <v>0</v>
      </c>
    </row>
    <row r="612" spans="2:42" s="3" customFormat="1" ht="24" customHeight="1" x14ac:dyDescent="0.2">
      <c r="B612" s="80"/>
      <c r="C612" s="81"/>
      <c r="D612" s="82"/>
      <c r="E612" s="83"/>
      <c r="F612" s="84" t="str">
        <f>IFERROR(VLOOKUP($E612,設定!$C:$G,2,0),"")</f>
        <v/>
      </c>
      <c r="G612" s="84" t="str">
        <f>IFERROR(VLOOKUP($E612,設定!$C:$G,3,0),"")</f>
        <v/>
      </c>
      <c r="H612" s="84" t="str">
        <f>IFERROR(VLOOKUP($E612,設定!$C:$G,4,0),"")</f>
        <v/>
      </c>
      <c r="I612" s="84" t="str">
        <f>IFERROR(VLOOKUP($E612,設定!$C:$G,5,0),"")</f>
        <v/>
      </c>
      <c r="J612" s="117"/>
      <c r="K612" s="85"/>
      <c r="L612" s="86"/>
      <c r="M612" s="86"/>
      <c r="N612" s="86"/>
      <c r="O612" s="86"/>
      <c r="P612" s="86"/>
      <c r="Q612" s="86"/>
      <c r="R612" s="86"/>
      <c r="S612" s="86"/>
      <c r="T612" s="86"/>
      <c r="U612" s="86"/>
      <c r="V612" s="86"/>
      <c r="W612" s="86"/>
      <c r="X612" s="86"/>
      <c r="Y612" s="86"/>
      <c r="Z612" s="86"/>
      <c r="AA612" s="86"/>
      <c r="AB612" s="86"/>
      <c r="AC612" s="86"/>
      <c r="AD612" s="86"/>
      <c r="AE612" s="86"/>
      <c r="AF612" s="86"/>
      <c r="AG612" s="86"/>
      <c r="AH612" s="86"/>
      <c r="AI612" s="86"/>
      <c r="AJ612" s="86"/>
      <c r="AK612" s="86"/>
      <c r="AL612" s="86"/>
      <c r="AM612" s="86"/>
      <c r="AN612" s="86"/>
      <c r="AO612" s="87"/>
      <c r="AP612" s="88">
        <f t="shared" si="9"/>
        <v>0</v>
      </c>
    </row>
    <row r="613" spans="2:42" s="3" customFormat="1" ht="24" customHeight="1" x14ac:dyDescent="0.2">
      <c r="B613" s="80"/>
      <c r="C613" s="81"/>
      <c r="D613" s="82"/>
      <c r="E613" s="83"/>
      <c r="F613" s="84" t="str">
        <f>IFERROR(VLOOKUP($E613,設定!$C:$G,2,0),"")</f>
        <v/>
      </c>
      <c r="G613" s="84" t="str">
        <f>IFERROR(VLOOKUP($E613,設定!$C:$G,3,0),"")</f>
        <v/>
      </c>
      <c r="H613" s="84" t="str">
        <f>IFERROR(VLOOKUP($E613,設定!$C:$G,4,0),"")</f>
        <v/>
      </c>
      <c r="I613" s="84" t="str">
        <f>IFERROR(VLOOKUP($E613,設定!$C:$G,5,0),"")</f>
        <v/>
      </c>
      <c r="J613" s="117"/>
      <c r="K613" s="85"/>
      <c r="L613" s="86"/>
      <c r="M613" s="86"/>
      <c r="N613" s="86"/>
      <c r="O613" s="86"/>
      <c r="P613" s="86"/>
      <c r="Q613" s="86"/>
      <c r="R613" s="86"/>
      <c r="S613" s="86"/>
      <c r="T613" s="86"/>
      <c r="U613" s="86"/>
      <c r="V613" s="86"/>
      <c r="W613" s="86"/>
      <c r="X613" s="86"/>
      <c r="Y613" s="86"/>
      <c r="Z613" s="86"/>
      <c r="AA613" s="86"/>
      <c r="AB613" s="86"/>
      <c r="AC613" s="86"/>
      <c r="AD613" s="86"/>
      <c r="AE613" s="86"/>
      <c r="AF613" s="86"/>
      <c r="AG613" s="86"/>
      <c r="AH613" s="86"/>
      <c r="AI613" s="86"/>
      <c r="AJ613" s="86"/>
      <c r="AK613" s="86"/>
      <c r="AL613" s="86"/>
      <c r="AM613" s="86"/>
      <c r="AN613" s="86"/>
      <c r="AO613" s="87"/>
      <c r="AP613" s="88">
        <f t="shared" si="9"/>
        <v>0</v>
      </c>
    </row>
    <row r="614" spans="2:42" s="3" customFormat="1" ht="24" customHeight="1" x14ac:dyDescent="0.2">
      <c r="B614" s="80"/>
      <c r="C614" s="81"/>
      <c r="D614" s="82"/>
      <c r="E614" s="83"/>
      <c r="F614" s="84" t="str">
        <f>IFERROR(VLOOKUP($E614,設定!$C:$G,2,0),"")</f>
        <v/>
      </c>
      <c r="G614" s="84" t="str">
        <f>IFERROR(VLOOKUP($E614,設定!$C:$G,3,0),"")</f>
        <v/>
      </c>
      <c r="H614" s="84" t="str">
        <f>IFERROR(VLOOKUP($E614,設定!$C:$G,4,0),"")</f>
        <v/>
      </c>
      <c r="I614" s="84" t="str">
        <f>IFERROR(VLOOKUP($E614,設定!$C:$G,5,0),"")</f>
        <v/>
      </c>
      <c r="J614" s="117"/>
      <c r="K614" s="85"/>
      <c r="L614" s="86"/>
      <c r="M614" s="86"/>
      <c r="N614" s="86"/>
      <c r="O614" s="86"/>
      <c r="P614" s="86"/>
      <c r="Q614" s="86"/>
      <c r="R614" s="86"/>
      <c r="S614" s="86"/>
      <c r="T614" s="86"/>
      <c r="U614" s="86"/>
      <c r="V614" s="86"/>
      <c r="W614" s="86"/>
      <c r="X614" s="86"/>
      <c r="Y614" s="86"/>
      <c r="Z614" s="86"/>
      <c r="AA614" s="86"/>
      <c r="AB614" s="86"/>
      <c r="AC614" s="86"/>
      <c r="AD614" s="86"/>
      <c r="AE614" s="86"/>
      <c r="AF614" s="86"/>
      <c r="AG614" s="86"/>
      <c r="AH614" s="86"/>
      <c r="AI614" s="86"/>
      <c r="AJ614" s="86"/>
      <c r="AK614" s="86"/>
      <c r="AL614" s="86"/>
      <c r="AM614" s="86"/>
      <c r="AN614" s="86"/>
      <c r="AO614" s="87"/>
      <c r="AP614" s="88">
        <f t="shared" si="9"/>
        <v>0</v>
      </c>
    </row>
    <row r="615" spans="2:42" s="3" customFormat="1" ht="24" customHeight="1" x14ac:dyDescent="0.2">
      <c r="B615" s="80"/>
      <c r="C615" s="81"/>
      <c r="D615" s="82"/>
      <c r="E615" s="83"/>
      <c r="F615" s="84" t="str">
        <f>IFERROR(VLOOKUP($E615,設定!$C:$G,2,0),"")</f>
        <v/>
      </c>
      <c r="G615" s="84" t="str">
        <f>IFERROR(VLOOKUP($E615,設定!$C:$G,3,0),"")</f>
        <v/>
      </c>
      <c r="H615" s="84" t="str">
        <f>IFERROR(VLOOKUP($E615,設定!$C:$G,4,0),"")</f>
        <v/>
      </c>
      <c r="I615" s="84" t="str">
        <f>IFERROR(VLOOKUP($E615,設定!$C:$G,5,0),"")</f>
        <v/>
      </c>
      <c r="J615" s="117"/>
      <c r="K615" s="85"/>
      <c r="L615" s="86"/>
      <c r="M615" s="86"/>
      <c r="N615" s="86"/>
      <c r="O615" s="86"/>
      <c r="P615" s="86"/>
      <c r="Q615" s="86"/>
      <c r="R615" s="86"/>
      <c r="S615" s="86"/>
      <c r="T615" s="86"/>
      <c r="U615" s="86"/>
      <c r="V615" s="86"/>
      <c r="W615" s="86"/>
      <c r="X615" s="86"/>
      <c r="Y615" s="86"/>
      <c r="Z615" s="86"/>
      <c r="AA615" s="86"/>
      <c r="AB615" s="86"/>
      <c r="AC615" s="86"/>
      <c r="AD615" s="86"/>
      <c r="AE615" s="86"/>
      <c r="AF615" s="86"/>
      <c r="AG615" s="86"/>
      <c r="AH615" s="86"/>
      <c r="AI615" s="86"/>
      <c r="AJ615" s="86"/>
      <c r="AK615" s="86"/>
      <c r="AL615" s="86"/>
      <c r="AM615" s="86"/>
      <c r="AN615" s="86"/>
      <c r="AO615" s="87"/>
      <c r="AP615" s="88">
        <f t="shared" si="9"/>
        <v>0</v>
      </c>
    </row>
    <row r="616" spans="2:42" s="3" customFormat="1" ht="24" customHeight="1" x14ac:dyDescent="0.2">
      <c r="B616" s="80"/>
      <c r="C616" s="81"/>
      <c r="D616" s="82"/>
      <c r="E616" s="83"/>
      <c r="F616" s="84" t="str">
        <f>IFERROR(VLOOKUP($E616,設定!$C:$G,2,0),"")</f>
        <v/>
      </c>
      <c r="G616" s="84" t="str">
        <f>IFERROR(VLOOKUP($E616,設定!$C:$G,3,0),"")</f>
        <v/>
      </c>
      <c r="H616" s="84" t="str">
        <f>IFERROR(VLOOKUP($E616,設定!$C:$G,4,0),"")</f>
        <v/>
      </c>
      <c r="I616" s="84" t="str">
        <f>IFERROR(VLOOKUP($E616,設定!$C:$G,5,0),"")</f>
        <v/>
      </c>
      <c r="J616" s="117"/>
      <c r="K616" s="85"/>
      <c r="L616" s="86"/>
      <c r="M616" s="86"/>
      <c r="N616" s="86"/>
      <c r="O616" s="86"/>
      <c r="P616" s="86"/>
      <c r="Q616" s="86"/>
      <c r="R616" s="86"/>
      <c r="S616" s="86"/>
      <c r="T616" s="86"/>
      <c r="U616" s="86"/>
      <c r="V616" s="86"/>
      <c r="W616" s="86"/>
      <c r="X616" s="86"/>
      <c r="Y616" s="86"/>
      <c r="Z616" s="86"/>
      <c r="AA616" s="86"/>
      <c r="AB616" s="86"/>
      <c r="AC616" s="86"/>
      <c r="AD616" s="86"/>
      <c r="AE616" s="86"/>
      <c r="AF616" s="86"/>
      <c r="AG616" s="86"/>
      <c r="AH616" s="86"/>
      <c r="AI616" s="86"/>
      <c r="AJ616" s="86"/>
      <c r="AK616" s="86"/>
      <c r="AL616" s="86"/>
      <c r="AM616" s="86"/>
      <c r="AN616" s="86"/>
      <c r="AO616" s="87"/>
      <c r="AP616" s="88">
        <f t="shared" si="9"/>
        <v>0</v>
      </c>
    </row>
    <row r="617" spans="2:42" s="3" customFormat="1" ht="24" customHeight="1" x14ac:dyDescent="0.2">
      <c r="B617" s="80"/>
      <c r="C617" s="81"/>
      <c r="D617" s="82"/>
      <c r="E617" s="83"/>
      <c r="F617" s="84" t="str">
        <f>IFERROR(VLOOKUP($E617,設定!$C:$G,2,0),"")</f>
        <v/>
      </c>
      <c r="G617" s="84" t="str">
        <f>IFERROR(VLOOKUP($E617,設定!$C:$G,3,0),"")</f>
        <v/>
      </c>
      <c r="H617" s="84" t="str">
        <f>IFERROR(VLOOKUP($E617,設定!$C:$G,4,0),"")</f>
        <v/>
      </c>
      <c r="I617" s="84" t="str">
        <f>IFERROR(VLOOKUP($E617,設定!$C:$G,5,0),"")</f>
        <v/>
      </c>
      <c r="J617" s="117"/>
      <c r="K617" s="85"/>
      <c r="L617" s="86"/>
      <c r="M617" s="86"/>
      <c r="N617" s="86"/>
      <c r="O617" s="86"/>
      <c r="P617" s="86"/>
      <c r="Q617" s="86"/>
      <c r="R617" s="86"/>
      <c r="S617" s="86"/>
      <c r="T617" s="86"/>
      <c r="U617" s="86"/>
      <c r="V617" s="86"/>
      <c r="W617" s="86"/>
      <c r="X617" s="86"/>
      <c r="Y617" s="86"/>
      <c r="Z617" s="86"/>
      <c r="AA617" s="86"/>
      <c r="AB617" s="86"/>
      <c r="AC617" s="86"/>
      <c r="AD617" s="86"/>
      <c r="AE617" s="86"/>
      <c r="AF617" s="86"/>
      <c r="AG617" s="86"/>
      <c r="AH617" s="86"/>
      <c r="AI617" s="86"/>
      <c r="AJ617" s="86"/>
      <c r="AK617" s="86"/>
      <c r="AL617" s="86"/>
      <c r="AM617" s="86"/>
      <c r="AN617" s="86"/>
      <c r="AO617" s="87"/>
      <c r="AP617" s="88">
        <f t="shared" si="9"/>
        <v>0</v>
      </c>
    </row>
    <row r="618" spans="2:42" s="3" customFormat="1" ht="24" customHeight="1" x14ac:dyDescent="0.2">
      <c r="B618" s="80"/>
      <c r="C618" s="81"/>
      <c r="D618" s="82"/>
      <c r="E618" s="83"/>
      <c r="F618" s="84" t="str">
        <f>IFERROR(VLOOKUP($E618,設定!$C:$G,2,0),"")</f>
        <v/>
      </c>
      <c r="G618" s="84" t="str">
        <f>IFERROR(VLOOKUP($E618,設定!$C:$G,3,0),"")</f>
        <v/>
      </c>
      <c r="H618" s="84" t="str">
        <f>IFERROR(VLOOKUP($E618,設定!$C:$G,4,0),"")</f>
        <v/>
      </c>
      <c r="I618" s="84" t="str">
        <f>IFERROR(VLOOKUP($E618,設定!$C:$G,5,0),"")</f>
        <v/>
      </c>
      <c r="J618" s="117"/>
      <c r="K618" s="85"/>
      <c r="L618" s="86"/>
      <c r="M618" s="86"/>
      <c r="N618" s="86"/>
      <c r="O618" s="86"/>
      <c r="P618" s="86"/>
      <c r="Q618" s="86"/>
      <c r="R618" s="86"/>
      <c r="S618" s="86"/>
      <c r="T618" s="86"/>
      <c r="U618" s="86"/>
      <c r="V618" s="86"/>
      <c r="W618" s="86"/>
      <c r="X618" s="86"/>
      <c r="Y618" s="86"/>
      <c r="Z618" s="86"/>
      <c r="AA618" s="86"/>
      <c r="AB618" s="86"/>
      <c r="AC618" s="86"/>
      <c r="AD618" s="86"/>
      <c r="AE618" s="86"/>
      <c r="AF618" s="86"/>
      <c r="AG618" s="86"/>
      <c r="AH618" s="86"/>
      <c r="AI618" s="86"/>
      <c r="AJ618" s="86"/>
      <c r="AK618" s="86"/>
      <c r="AL618" s="86"/>
      <c r="AM618" s="86"/>
      <c r="AN618" s="86"/>
      <c r="AO618" s="87"/>
      <c r="AP618" s="88">
        <f t="shared" si="9"/>
        <v>0</v>
      </c>
    </row>
    <row r="619" spans="2:42" s="3" customFormat="1" ht="24" customHeight="1" x14ac:dyDescent="0.2">
      <c r="B619" s="80"/>
      <c r="C619" s="81"/>
      <c r="D619" s="82"/>
      <c r="E619" s="83"/>
      <c r="F619" s="84" t="str">
        <f>IFERROR(VLOOKUP($E619,設定!$C:$G,2,0),"")</f>
        <v/>
      </c>
      <c r="G619" s="84" t="str">
        <f>IFERROR(VLOOKUP($E619,設定!$C:$G,3,0),"")</f>
        <v/>
      </c>
      <c r="H619" s="84" t="str">
        <f>IFERROR(VLOOKUP($E619,設定!$C:$G,4,0),"")</f>
        <v/>
      </c>
      <c r="I619" s="84" t="str">
        <f>IFERROR(VLOOKUP($E619,設定!$C:$G,5,0),"")</f>
        <v/>
      </c>
      <c r="J619" s="117"/>
      <c r="K619" s="85"/>
      <c r="L619" s="86"/>
      <c r="M619" s="86"/>
      <c r="N619" s="86"/>
      <c r="O619" s="86"/>
      <c r="P619" s="86"/>
      <c r="Q619" s="86"/>
      <c r="R619" s="86"/>
      <c r="S619" s="86"/>
      <c r="T619" s="86"/>
      <c r="U619" s="86"/>
      <c r="V619" s="86"/>
      <c r="W619" s="86"/>
      <c r="X619" s="86"/>
      <c r="Y619" s="86"/>
      <c r="Z619" s="86"/>
      <c r="AA619" s="86"/>
      <c r="AB619" s="86"/>
      <c r="AC619" s="86"/>
      <c r="AD619" s="86"/>
      <c r="AE619" s="86"/>
      <c r="AF619" s="86"/>
      <c r="AG619" s="86"/>
      <c r="AH619" s="86"/>
      <c r="AI619" s="86"/>
      <c r="AJ619" s="86"/>
      <c r="AK619" s="86"/>
      <c r="AL619" s="86"/>
      <c r="AM619" s="86"/>
      <c r="AN619" s="86"/>
      <c r="AO619" s="87"/>
      <c r="AP619" s="88">
        <f t="shared" si="9"/>
        <v>0</v>
      </c>
    </row>
    <row r="620" spans="2:42" s="3" customFormat="1" ht="24" customHeight="1" x14ac:dyDescent="0.2">
      <c r="B620" s="80"/>
      <c r="C620" s="81"/>
      <c r="D620" s="82"/>
      <c r="E620" s="83"/>
      <c r="F620" s="84" t="str">
        <f>IFERROR(VLOOKUP($E620,設定!$C:$G,2,0),"")</f>
        <v/>
      </c>
      <c r="G620" s="84" t="str">
        <f>IFERROR(VLOOKUP($E620,設定!$C:$G,3,0),"")</f>
        <v/>
      </c>
      <c r="H620" s="84" t="str">
        <f>IFERROR(VLOOKUP($E620,設定!$C:$G,4,0),"")</f>
        <v/>
      </c>
      <c r="I620" s="84" t="str">
        <f>IFERROR(VLOOKUP($E620,設定!$C:$G,5,0),"")</f>
        <v/>
      </c>
      <c r="J620" s="117"/>
      <c r="K620" s="85"/>
      <c r="L620" s="86"/>
      <c r="M620" s="86"/>
      <c r="N620" s="86"/>
      <c r="O620" s="86"/>
      <c r="P620" s="86"/>
      <c r="Q620" s="86"/>
      <c r="R620" s="86"/>
      <c r="S620" s="86"/>
      <c r="T620" s="86"/>
      <c r="U620" s="86"/>
      <c r="V620" s="86"/>
      <c r="W620" s="86"/>
      <c r="X620" s="86"/>
      <c r="Y620" s="86"/>
      <c r="Z620" s="86"/>
      <c r="AA620" s="86"/>
      <c r="AB620" s="86"/>
      <c r="AC620" s="86"/>
      <c r="AD620" s="86"/>
      <c r="AE620" s="86"/>
      <c r="AF620" s="86"/>
      <c r="AG620" s="86"/>
      <c r="AH620" s="86"/>
      <c r="AI620" s="86"/>
      <c r="AJ620" s="86"/>
      <c r="AK620" s="86"/>
      <c r="AL620" s="86"/>
      <c r="AM620" s="86"/>
      <c r="AN620" s="86"/>
      <c r="AO620" s="87"/>
      <c r="AP620" s="88">
        <f t="shared" si="9"/>
        <v>0</v>
      </c>
    </row>
    <row r="621" spans="2:42" s="3" customFormat="1" ht="24" customHeight="1" x14ac:dyDescent="0.2">
      <c r="B621" s="80"/>
      <c r="C621" s="81"/>
      <c r="D621" s="82"/>
      <c r="E621" s="83"/>
      <c r="F621" s="84" t="str">
        <f>IFERROR(VLOOKUP($E621,設定!$C:$G,2,0),"")</f>
        <v/>
      </c>
      <c r="G621" s="84" t="str">
        <f>IFERROR(VLOOKUP($E621,設定!$C:$G,3,0),"")</f>
        <v/>
      </c>
      <c r="H621" s="84" t="str">
        <f>IFERROR(VLOOKUP($E621,設定!$C:$G,4,0),"")</f>
        <v/>
      </c>
      <c r="I621" s="84" t="str">
        <f>IFERROR(VLOOKUP($E621,設定!$C:$G,5,0),"")</f>
        <v/>
      </c>
      <c r="J621" s="117"/>
      <c r="K621" s="85"/>
      <c r="L621" s="86"/>
      <c r="M621" s="86"/>
      <c r="N621" s="86"/>
      <c r="O621" s="86"/>
      <c r="P621" s="86"/>
      <c r="Q621" s="86"/>
      <c r="R621" s="86"/>
      <c r="S621" s="86"/>
      <c r="T621" s="86"/>
      <c r="U621" s="86"/>
      <c r="V621" s="86"/>
      <c r="W621" s="86"/>
      <c r="X621" s="86"/>
      <c r="Y621" s="86"/>
      <c r="Z621" s="86"/>
      <c r="AA621" s="86"/>
      <c r="AB621" s="86"/>
      <c r="AC621" s="86"/>
      <c r="AD621" s="86"/>
      <c r="AE621" s="86"/>
      <c r="AF621" s="86"/>
      <c r="AG621" s="86"/>
      <c r="AH621" s="86"/>
      <c r="AI621" s="86"/>
      <c r="AJ621" s="86"/>
      <c r="AK621" s="86"/>
      <c r="AL621" s="86"/>
      <c r="AM621" s="86"/>
      <c r="AN621" s="86"/>
      <c r="AO621" s="87"/>
      <c r="AP621" s="88">
        <f t="shared" si="9"/>
        <v>0</v>
      </c>
    </row>
    <row r="622" spans="2:42" s="3" customFormat="1" ht="24" customHeight="1" x14ac:dyDescent="0.2">
      <c r="B622" s="80"/>
      <c r="C622" s="81"/>
      <c r="D622" s="82"/>
      <c r="E622" s="83"/>
      <c r="F622" s="84" t="str">
        <f>IFERROR(VLOOKUP($E622,設定!$C:$G,2,0),"")</f>
        <v/>
      </c>
      <c r="G622" s="84" t="str">
        <f>IFERROR(VLOOKUP($E622,設定!$C:$G,3,0),"")</f>
        <v/>
      </c>
      <c r="H622" s="84" t="str">
        <f>IFERROR(VLOOKUP($E622,設定!$C:$G,4,0),"")</f>
        <v/>
      </c>
      <c r="I622" s="84" t="str">
        <f>IFERROR(VLOOKUP($E622,設定!$C:$G,5,0),"")</f>
        <v/>
      </c>
      <c r="J622" s="117"/>
      <c r="K622" s="85"/>
      <c r="L622" s="86"/>
      <c r="M622" s="86"/>
      <c r="N622" s="86"/>
      <c r="O622" s="86"/>
      <c r="P622" s="86"/>
      <c r="Q622" s="86"/>
      <c r="R622" s="86"/>
      <c r="S622" s="86"/>
      <c r="T622" s="86"/>
      <c r="U622" s="86"/>
      <c r="V622" s="86"/>
      <c r="W622" s="86"/>
      <c r="X622" s="86"/>
      <c r="Y622" s="86"/>
      <c r="Z622" s="86"/>
      <c r="AA622" s="86"/>
      <c r="AB622" s="86"/>
      <c r="AC622" s="86"/>
      <c r="AD622" s="86"/>
      <c r="AE622" s="86"/>
      <c r="AF622" s="86"/>
      <c r="AG622" s="86"/>
      <c r="AH622" s="86"/>
      <c r="AI622" s="86"/>
      <c r="AJ622" s="86"/>
      <c r="AK622" s="86"/>
      <c r="AL622" s="86"/>
      <c r="AM622" s="86"/>
      <c r="AN622" s="86"/>
      <c r="AO622" s="87"/>
      <c r="AP622" s="88">
        <f t="shared" si="9"/>
        <v>0</v>
      </c>
    </row>
    <row r="623" spans="2:42" s="3" customFormat="1" ht="24" customHeight="1" x14ac:dyDescent="0.2">
      <c r="B623" s="80"/>
      <c r="C623" s="81"/>
      <c r="D623" s="82"/>
      <c r="E623" s="83"/>
      <c r="F623" s="84" t="str">
        <f>IFERROR(VLOOKUP($E623,設定!$C:$G,2,0),"")</f>
        <v/>
      </c>
      <c r="G623" s="84" t="str">
        <f>IFERROR(VLOOKUP($E623,設定!$C:$G,3,0),"")</f>
        <v/>
      </c>
      <c r="H623" s="84" t="str">
        <f>IFERROR(VLOOKUP($E623,設定!$C:$G,4,0),"")</f>
        <v/>
      </c>
      <c r="I623" s="84" t="str">
        <f>IFERROR(VLOOKUP($E623,設定!$C:$G,5,0),"")</f>
        <v/>
      </c>
      <c r="J623" s="117"/>
      <c r="K623" s="85"/>
      <c r="L623" s="86"/>
      <c r="M623" s="86"/>
      <c r="N623" s="86"/>
      <c r="O623" s="86"/>
      <c r="P623" s="86"/>
      <c r="Q623" s="86"/>
      <c r="R623" s="86"/>
      <c r="S623" s="86"/>
      <c r="T623" s="86"/>
      <c r="U623" s="86"/>
      <c r="V623" s="86"/>
      <c r="W623" s="86"/>
      <c r="X623" s="86"/>
      <c r="Y623" s="86"/>
      <c r="Z623" s="86"/>
      <c r="AA623" s="86"/>
      <c r="AB623" s="86"/>
      <c r="AC623" s="86"/>
      <c r="AD623" s="86"/>
      <c r="AE623" s="86"/>
      <c r="AF623" s="86"/>
      <c r="AG623" s="86"/>
      <c r="AH623" s="86"/>
      <c r="AI623" s="86"/>
      <c r="AJ623" s="86"/>
      <c r="AK623" s="86"/>
      <c r="AL623" s="86"/>
      <c r="AM623" s="86"/>
      <c r="AN623" s="86"/>
      <c r="AO623" s="87"/>
      <c r="AP623" s="88">
        <f t="shared" si="9"/>
        <v>0</v>
      </c>
    </row>
    <row r="624" spans="2:42" s="3" customFormat="1" ht="24" customHeight="1" x14ac:dyDescent="0.2">
      <c r="B624" s="80"/>
      <c r="C624" s="81"/>
      <c r="D624" s="82"/>
      <c r="E624" s="83"/>
      <c r="F624" s="84" t="str">
        <f>IFERROR(VLOOKUP($E624,設定!$C:$G,2,0),"")</f>
        <v/>
      </c>
      <c r="G624" s="84" t="str">
        <f>IFERROR(VLOOKUP($E624,設定!$C:$G,3,0),"")</f>
        <v/>
      </c>
      <c r="H624" s="84" t="str">
        <f>IFERROR(VLOOKUP($E624,設定!$C:$G,4,0),"")</f>
        <v/>
      </c>
      <c r="I624" s="84" t="str">
        <f>IFERROR(VLOOKUP($E624,設定!$C:$G,5,0),"")</f>
        <v/>
      </c>
      <c r="J624" s="117"/>
      <c r="K624" s="85"/>
      <c r="L624" s="86"/>
      <c r="M624" s="86"/>
      <c r="N624" s="86"/>
      <c r="O624" s="86"/>
      <c r="P624" s="86"/>
      <c r="Q624" s="86"/>
      <c r="R624" s="86"/>
      <c r="S624" s="86"/>
      <c r="T624" s="86"/>
      <c r="U624" s="86"/>
      <c r="V624" s="86"/>
      <c r="W624" s="86"/>
      <c r="X624" s="86"/>
      <c r="Y624" s="86"/>
      <c r="Z624" s="86"/>
      <c r="AA624" s="86"/>
      <c r="AB624" s="86"/>
      <c r="AC624" s="86"/>
      <c r="AD624" s="86"/>
      <c r="AE624" s="86"/>
      <c r="AF624" s="86"/>
      <c r="AG624" s="86"/>
      <c r="AH624" s="86"/>
      <c r="AI624" s="86"/>
      <c r="AJ624" s="86"/>
      <c r="AK624" s="86"/>
      <c r="AL624" s="86"/>
      <c r="AM624" s="86"/>
      <c r="AN624" s="86"/>
      <c r="AO624" s="87"/>
      <c r="AP624" s="88">
        <f t="shared" si="9"/>
        <v>0</v>
      </c>
    </row>
    <row r="625" spans="2:42" s="3" customFormat="1" ht="24" customHeight="1" x14ac:dyDescent="0.2">
      <c r="B625" s="80"/>
      <c r="C625" s="81"/>
      <c r="D625" s="82"/>
      <c r="E625" s="83"/>
      <c r="F625" s="84" t="str">
        <f>IFERROR(VLOOKUP($E625,設定!$C:$G,2,0),"")</f>
        <v/>
      </c>
      <c r="G625" s="84" t="str">
        <f>IFERROR(VLOOKUP($E625,設定!$C:$G,3,0),"")</f>
        <v/>
      </c>
      <c r="H625" s="84" t="str">
        <f>IFERROR(VLOOKUP($E625,設定!$C:$G,4,0),"")</f>
        <v/>
      </c>
      <c r="I625" s="84" t="str">
        <f>IFERROR(VLOOKUP($E625,設定!$C:$G,5,0),"")</f>
        <v/>
      </c>
      <c r="J625" s="117"/>
      <c r="K625" s="85"/>
      <c r="L625" s="86"/>
      <c r="M625" s="86"/>
      <c r="N625" s="86"/>
      <c r="O625" s="86"/>
      <c r="P625" s="86"/>
      <c r="Q625" s="86"/>
      <c r="R625" s="86"/>
      <c r="S625" s="86"/>
      <c r="T625" s="86"/>
      <c r="U625" s="86"/>
      <c r="V625" s="86"/>
      <c r="W625" s="86"/>
      <c r="X625" s="86"/>
      <c r="Y625" s="86"/>
      <c r="Z625" s="86"/>
      <c r="AA625" s="86"/>
      <c r="AB625" s="86"/>
      <c r="AC625" s="86"/>
      <c r="AD625" s="86"/>
      <c r="AE625" s="86"/>
      <c r="AF625" s="86"/>
      <c r="AG625" s="86"/>
      <c r="AH625" s="86"/>
      <c r="AI625" s="86"/>
      <c r="AJ625" s="86"/>
      <c r="AK625" s="86"/>
      <c r="AL625" s="86"/>
      <c r="AM625" s="86"/>
      <c r="AN625" s="86"/>
      <c r="AO625" s="87"/>
      <c r="AP625" s="88">
        <f t="shared" si="9"/>
        <v>0</v>
      </c>
    </row>
    <row r="626" spans="2:42" s="3" customFormat="1" ht="24" customHeight="1" x14ac:dyDescent="0.2">
      <c r="B626" s="80"/>
      <c r="C626" s="81"/>
      <c r="D626" s="82"/>
      <c r="E626" s="83"/>
      <c r="F626" s="84" t="str">
        <f>IFERROR(VLOOKUP($E626,設定!$C:$G,2,0),"")</f>
        <v/>
      </c>
      <c r="G626" s="84" t="str">
        <f>IFERROR(VLOOKUP($E626,設定!$C:$G,3,0),"")</f>
        <v/>
      </c>
      <c r="H626" s="84" t="str">
        <f>IFERROR(VLOOKUP($E626,設定!$C:$G,4,0),"")</f>
        <v/>
      </c>
      <c r="I626" s="84" t="str">
        <f>IFERROR(VLOOKUP($E626,設定!$C:$G,5,0),"")</f>
        <v/>
      </c>
      <c r="J626" s="117"/>
      <c r="K626" s="85"/>
      <c r="L626" s="86"/>
      <c r="M626" s="86"/>
      <c r="N626" s="86"/>
      <c r="O626" s="86"/>
      <c r="P626" s="86"/>
      <c r="Q626" s="86"/>
      <c r="R626" s="86"/>
      <c r="S626" s="86"/>
      <c r="T626" s="86"/>
      <c r="U626" s="86"/>
      <c r="V626" s="86"/>
      <c r="W626" s="86"/>
      <c r="X626" s="86"/>
      <c r="Y626" s="86"/>
      <c r="Z626" s="86"/>
      <c r="AA626" s="86"/>
      <c r="AB626" s="86"/>
      <c r="AC626" s="86"/>
      <c r="AD626" s="86"/>
      <c r="AE626" s="86"/>
      <c r="AF626" s="86"/>
      <c r="AG626" s="86"/>
      <c r="AH626" s="86"/>
      <c r="AI626" s="86"/>
      <c r="AJ626" s="86"/>
      <c r="AK626" s="86"/>
      <c r="AL626" s="86"/>
      <c r="AM626" s="86"/>
      <c r="AN626" s="86"/>
      <c r="AO626" s="87"/>
      <c r="AP626" s="88">
        <f t="shared" si="9"/>
        <v>0</v>
      </c>
    </row>
    <row r="627" spans="2:42" s="3" customFormat="1" ht="24" customHeight="1" x14ac:dyDescent="0.2">
      <c r="B627" s="80"/>
      <c r="C627" s="81"/>
      <c r="D627" s="82"/>
      <c r="E627" s="83"/>
      <c r="F627" s="84" t="str">
        <f>IFERROR(VLOOKUP($E627,設定!$C:$G,2,0),"")</f>
        <v/>
      </c>
      <c r="G627" s="84" t="str">
        <f>IFERROR(VLOOKUP($E627,設定!$C:$G,3,0),"")</f>
        <v/>
      </c>
      <c r="H627" s="84" t="str">
        <f>IFERROR(VLOOKUP($E627,設定!$C:$G,4,0),"")</f>
        <v/>
      </c>
      <c r="I627" s="84" t="str">
        <f>IFERROR(VLOOKUP($E627,設定!$C:$G,5,0),"")</f>
        <v/>
      </c>
      <c r="J627" s="117"/>
      <c r="K627" s="85"/>
      <c r="L627" s="86"/>
      <c r="M627" s="86"/>
      <c r="N627" s="86"/>
      <c r="O627" s="86"/>
      <c r="P627" s="86"/>
      <c r="Q627" s="86"/>
      <c r="R627" s="86"/>
      <c r="S627" s="86"/>
      <c r="T627" s="86"/>
      <c r="U627" s="86"/>
      <c r="V627" s="86"/>
      <c r="W627" s="86"/>
      <c r="X627" s="86"/>
      <c r="Y627" s="86"/>
      <c r="Z627" s="86"/>
      <c r="AA627" s="86"/>
      <c r="AB627" s="86"/>
      <c r="AC627" s="86"/>
      <c r="AD627" s="86"/>
      <c r="AE627" s="86"/>
      <c r="AF627" s="86"/>
      <c r="AG627" s="86"/>
      <c r="AH627" s="86"/>
      <c r="AI627" s="86"/>
      <c r="AJ627" s="86"/>
      <c r="AK627" s="86"/>
      <c r="AL627" s="86"/>
      <c r="AM627" s="86"/>
      <c r="AN627" s="86"/>
      <c r="AO627" s="87"/>
      <c r="AP627" s="88">
        <f t="shared" si="9"/>
        <v>0</v>
      </c>
    </row>
    <row r="628" spans="2:42" s="3" customFormat="1" ht="24" customHeight="1" x14ac:dyDescent="0.2">
      <c r="B628" s="80"/>
      <c r="C628" s="81"/>
      <c r="D628" s="82"/>
      <c r="E628" s="83"/>
      <c r="F628" s="84" t="str">
        <f>IFERROR(VLOOKUP($E628,設定!$C:$G,2,0),"")</f>
        <v/>
      </c>
      <c r="G628" s="84" t="str">
        <f>IFERROR(VLOOKUP($E628,設定!$C:$G,3,0),"")</f>
        <v/>
      </c>
      <c r="H628" s="84" t="str">
        <f>IFERROR(VLOOKUP($E628,設定!$C:$G,4,0),"")</f>
        <v/>
      </c>
      <c r="I628" s="84" t="str">
        <f>IFERROR(VLOOKUP($E628,設定!$C:$G,5,0),"")</f>
        <v/>
      </c>
      <c r="J628" s="117"/>
      <c r="K628" s="85"/>
      <c r="L628" s="86"/>
      <c r="M628" s="86"/>
      <c r="N628" s="86"/>
      <c r="O628" s="86"/>
      <c r="P628" s="86"/>
      <c r="Q628" s="86"/>
      <c r="R628" s="86"/>
      <c r="S628" s="86"/>
      <c r="T628" s="86"/>
      <c r="U628" s="86"/>
      <c r="V628" s="86"/>
      <c r="W628" s="86"/>
      <c r="X628" s="86"/>
      <c r="Y628" s="86"/>
      <c r="Z628" s="86"/>
      <c r="AA628" s="86"/>
      <c r="AB628" s="86"/>
      <c r="AC628" s="86"/>
      <c r="AD628" s="86"/>
      <c r="AE628" s="86"/>
      <c r="AF628" s="86"/>
      <c r="AG628" s="86"/>
      <c r="AH628" s="86"/>
      <c r="AI628" s="86"/>
      <c r="AJ628" s="86"/>
      <c r="AK628" s="86"/>
      <c r="AL628" s="86"/>
      <c r="AM628" s="86"/>
      <c r="AN628" s="86"/>
      <c r="AO628" s="87"/>
      <c r="AP628" s="88">
        <f t="shared" si="9"/>
        <v>0</v>
      </c>
    </row>
    <row r="629" spans="2:42" s="3" customFormat="1" ht="24" customHeight="1" x14ac:dyDescent="0.2">
      <c r="B629" s="80"/>
      <c r="C629" s="81"/>
      <c r="D629" s="82"/>
      <c r="E629" s="83"/>
      <c r="F629" s="84" t="str">
        <f>IFERROR(VLOOKUP($E629,設定!$C:$G,2,0),"")</f>
        <v/>
      </c>
      <c r="G629" s="84" t="str">
        <f>IFERROR(VLOOKUP($E629,設定!$C:$G,3,0),"")</f>
        <v/>
      </c>
      <c r="H629" s="84" t="str">
        <f>IFERROR(VLOOKUP($E629,設定!$C:$G,4,0),"")</f>
        <v/>
      </c>
      <c r="I629" s="84" t="str">
        <f>IFERROR(VLOOKUP($E629,設定!$C:$G,5,0),"")</f>
        <v/>
      </c>
      <c r="J629" s="117"/>
      <c r="K629" s="85"/>
      <c r="L629" s="86"/>
      <c r="M629" s="86"/>
      <c r="N629" s="86"/>
      <c r="O629" s="86"/>
      <c r="P629" s="86"/>
      <c r="Q629" s="86"/>
      <c r="R629" s="86"/>
      <c r="S629" s="86"/>
      <c r="T629" s="86"/>
      <c r="U629" s="86"/>
      <c r="V629" s="86"/>
      <c r="W629" s="86"/>
      <c r="X629" s="86"/>
      <c r="Y629" s="86"/>
      <c r="Z629" s="86"/>
      <c r="AA629" s="86"/>
      <c r="AB629" s="86"/>
      <c r="AC629" s="86"/>
      <c r="AD629" s="86"/>
      <c r="AE629" s="86"/>
      <c r="AF629" s="86"/>
      <c r="AG629" s="86"/>
      <c r="AH629" s="86"/>
      <c r="AI629" s="86"/>
      <c r="AJ629" s="86"/>
      <c r="AK629" s="86"/>
      <c r="AL629" s="86"/>
      <c r="AM629" s="86"/>
      <c r="AN629" s="86"/>
      <c r="AO629" s="87"/>
      <c r="AP629" s="88">
        <f t="shared" si="9"/>
        <v>0</v>
      </c>
    </row>
    <row r="630" spans="2:42" s="3" customFormat="1" ht="24" customHeight="1" x14ac:dyDescent="0.2">
      <c r="B630" s="80"/>
      <c r="C630" s="81"/>
      <c r="D630" s="82"/>
      <c r="E630" s="83"/>
      <c r="F630" s="84" t="str">
        <f>IFERROR(VLOOKUP($E630,設定!$C:$G,2,0),"")</f>
        <v/>
      </c>
      <c r="G630" s="84" t="str">
        <f>IFERROR(VLOOKUP($E630,設定!$C:$G,3,0),"")</f>
        <v/>
      </c>
      <c r="H630" s="84" t="str">
        <f>IFERROR(VLOOKUP($E630,設定!$C:$G,4,0),"")</f>
        <v/>
      </c>
      <c r="I630" s="84" t="str">
        <f>IFERROR(VLOOKUP($E630,設定!$C:$G,5,0),"")</f>
        <v/>
      </c>
      <c r="J630" s="117"/>
      <c r="K630" s="85"/>
      <c r="L630" s="86"/>
      <c r="M630" s="86"/>
      <c r="N630" s="86"/>
      <c r="O630" s="86"/>
      <c r="P630" s="86"/>
      <c r="Q630" s="86"/>
      <c r="R630" s="86"/>
      <c r="S630" s="86"/>
      <c r="T630" s="86"/>
      <c r="U630" s="86"/>
      <c r="V630" s="86"/>
      <c r="W630" s="86"/>
      <c r="X630" s="86"/>
      <c r="Y630" s="86"/>
      <c r="Z630" s="86"/>
      <c r="AA630" s="86"/>
      <c r="AB630" s="86"/>
      <c r="AC630" s="86"/>
      <c r="AD630" s="86"/>
      <c r="AE630" s="86"/>
      <c r="AF630" s="86"/>
      <c r="AG630" s="86"/>
      <c r="AH630" s="86"/>
      <c r="AI630" s="86"/>
      <c r="AJ630" s="86"/>
      <c r="AK630" s="86"/>
      <c r="AL630" s="86"/>
      <c r="AM630" s="86"/>
      <c r="AN630" s="86"/>
      <c r="AO630" s="87"/>
      <c r="AP630" s="88">
        <f t="shared" si="9"/>
        <v>0</v>
      </c>
    </row>
    <row r="631" spans="2:42" s="3" customFormat="1" ht="24" customHeight="1" x14ac:dyDescent="0.2">
      <c r="B631" s="80"/>
      <c r="C631" s="81"/>
      <c r="D631" s="82"/>
      <c r="E631" s="83"/>
      <c r="F631" s="84" t="str">
        <f>IFERROR(VLOOKUP($E631,設定!$C:$G,2,0),"")</f>
        <v/>
      </c>
      <c r="G631" s="84" t="str">
        <f>IFERROR(VLOOKUP($E631,設定!$C:$G,3,0),"")</f>
        <v/>
      </c>
      <c r="H631" s="84" t="str">
        <f>IFERROR(VLOOKUP($E631,設定!$C:$G,4,0),"")</f>
        <v/>
      </c>
      <c r="I631" s="84" t="str">
        <f>IFERROR(VLOOKUP($E631,設定!$C:$G,5,0),"")</f>
        <v/>
      </c>
      <c r="J631" s="117"/>
      <c r="K631" s="85"/>
      <c r="L631" s="86"/>
      <c r="M631" s="86"/>
      <c r="N631" s="86"/>
      <c r="O631" s="86"/>
      <c r="P631" s="86"/>
      <c r="Q631" s="86"/>
      <c r="R631" s="86"/>
      <c r="S631" s="86"/>
      <c r="T631" s="86"/>
      <c r="U631" s="86"/>
      <c r="V631" s="86"/>
      <c r="W631" s="86"/>
      <c r="X631" s="86"/>
      <c r="Y631" s="86"/>
      <c r="Z631" s="86"/>
      <c r="AA631" s="86"/>
      <c r="AB631" s="86"/>
      <c r="AC631" s="86"/>
      <c r="AD631" s="86"/>
      <c r="AE631" s="86"/>
      <c r="AF631" s="86"/>
      <c r="AG631" s="86"/>
      <c r="AH631" s="86"/>
      <c r="AI631" s="86"/>
      <c r="AJ631" s="86"/>
      <c r="AK631" s="86"/>
      <c r="AL631" s="86"/>
      <c r="AM631" s="86"/>
      <c r="AN631" s="86"/>
      <c r="AO631" s="87"/>
      <c r="AP631" s="88">
        <f t="shared" si="9"/>
        <v>0</v>
      </c>
    </row>
    <row r="632" spans="2:42" s="3" customFormat="1" ht="24" customHeight="1" x14ac:dyDescent="0.2">
      <c r="B632" s="80"/>
      <c r="C632" s="81"/>
      <c r="D632" s="82"/>
      <c r="E632" s="83"/>
      <c r="F632" s="84" t="str">
        <f>IFERROR(VLOOKUP($E632,設定!$C:$G,2,0),"")</f>
        <v/>
      </c>
      <c r="G632" s="84" t="str">
        <f>IFERROR(VLOOKUP($E632,設定!$C:$G,3,0),"")</f>
        <v/>
      </c>
      <c r="H632" s="84" t="str">
        <f>IFERROR(VLOOKUP($E632,設定!$C:$G,4,0),"")</f>
        <v/>
      </c>
      <c r="I632" s="84" t="str">
        <f>IFERROR(VLOOKUP($E632,設定!$C:$G,5,0),"")</f>
        <v/>
      </c>
      <c r="J632" s="117"/>
      <c r="K632" s="85"/>
      <c r="L632" s="86"/>
      <c r="M632" s="86"/>
      <c r="N632" s="86"/>
      <c r="O632" s="86"/>
      <c r="P632" s="86"/>
      <c r="Q632" s="86"/>
      <c r="R632" s="86"/>
      <c r="S632" s="86"/>
      <c r="T632" s="86"/>
      <c r="U632" s="86"/>
      <c r="V632" s="86"/>
      <c r="W632" s="86"/>
      <c r="X632" s="86"/>
      <c r="Y632" s="86"/>
      <c r="Z632" s="86"/>
      <c r="AA632" s="86"/>
      <c r="AB632" s="86"/>
      <c r="AC632" s="86"/>
      <c r="AD632" s="86"/>
      <c r="AE632" s="86"/>
      <c r="AF632" s="86"/>
      <c r="AG632" s="86"/>
      <c r="AH632" s="86"/>
      <c r="AI632" s="86"/>
      <c r="AJ632" s="86"/>
      <c r="AK632" s="86"/>
      <c r="AL632" s="86"/>
      <c r="AM632" s="86"/>
      <c r="AN632" s="86"/>
      <c r="AO632" s="87"/>
      <c r="AP632" s="88">
        <f t="shared" si="9"/>
        <v>0</v>
      </c>
    </row>
    <row r="633" spans="2:42" s="3" customFormat="1" ht="24" customHeight="1" x14ac:dyDescent="0.2">
      <c r="B633" s="80"/>
      <c r="C633" s="81"/>
      <c r="D633" s="82"/>
      <c r="E633" s="83"/>
      <c r="F633" s="84" t="str">
        <f>IFERROR(VLOOKUP($E633,設定!$C:$G,2,0),"")</f>
        <v/>
      </c>
      <c r="G633" s="84" t="str">
        <f>IFERROR(VLOOKUP($E633,設定!$C:$G,3,0),"")</f>
        <v/>
      </c>
      <c r="H633" s="84" t="str">
        <f>IFERROR(VLOOKUP($E633,設定!$C:$G,4,0),"")</f>
        <v/>
      </c>
      <c r="I633" s="84" t="str">
        <f>IFERROR(VLOOKUP($E633,設定!$C:$G,5,0),"")</f>
        <v/>
      </c>
      <c r="J633" s="117"/>
      <c r="K633" s="85"/>
      <c r="L633" s="86"/>
      <c r="M633" s="86"/>
      <c r="N633" s="86"/>
      <c r="O633" s="86"/>
      <c r="P633" s="86"/>
      <c r="Q633" s="86"/>
      <c r="R633" s="86"/>
      <c r="S633" s="86"/>
      <c r="T633" s="86"/>
      <c r="U633" s="86"/>
      <c r="V633" s="86"/>
      <c r="W633" s="86"/>
      <c r="X633" s="86"/>
      <c r="Y633" s="86"/>
      <c r="Z633" s="86"/>
      <c r="AA633" s="86"/>
      <c r="AB633" s="86"/>
      <c r="AC633" s="86"/>
      <c r="AD633" s="86"/>
      <c r="AE633" s="86"/>
      <c r="AF633" s="86"/>
      <c r="AG633" s="86"/>
      <c r="AH633" s="86"/>
      <c r="AI633" s="86"/>
      <c r="AJ633" s="86"/>
      <c r="AK633" s="86"/>
      <c r="AL633" s="86"/>
      <c r="AM633" s="86"/>
      <c r="AN633" s="86"/>
      <c r="AO633" s="87"/>
      <c r="AP633" s="88">
        <f t="shared" si="9"/>
        <v>0</v>
      </c>
    </row>
    <row r="634" spans="2:42" s="3" customFormat="1" ht="24" customHeight="1" x14ac:dyDescent="0.2">
      <c r="B634" s="80"/>
      <c r="C634" s="81"/>
      <c r="D634" s="82"/>
      <c r="E634" s="83"/>
      <c r="F634" s="84" t="str">
        <f>IFERROR(VLOOKUP($E634,設定!$C:$G,2,0),"")</f>
        <v/>
      </c>
      <c r="G634" s="84" t="str">
        <f>IFERROR(VLOOKUP($E634,設定!$C:$G,3,0),"")</f>
        <v/>
      </c>
      <c r="H634" s="84" t="str">
        <f>IFERROR(VLOOKUP($E634,設定!$C:$G,4,0),"")</f>
        <v/>
      </c>
      <c r="I634" s="84" t="str">
        <f>IFERROR(VLOOKUP($E634,設定!$C:$G,5,0),"")</f>
        <v/>
      </c>
      <c r="J634" s="117"/>
      <c r="K634" s="85"/>
      <c r="L634" s="86"/>
      <c r="M634" s="86"/>
      <c r="N634" s="86"/>
      <c r="O634" s="86"/>
      <c r="P634" s="86"/>
      <c r="Q634" s="86"/>
      <c r="R634" s="86"/>
      <c r="S634" s="86"/>
      <c r="T634" s="86"/>
      <c r="U634" s="86"/>
      <c r="V634" s="86"/>
      <c r="W634" s="86"/>
      <c r="X634" s="86"/>
      <c r="Y634" s="86"/>
      <c r="Z634" s="86"/>
      <c r="AA634" s="86"/>
      <c r="AB634" s="86"/>
      <c r="AC634" s="86"/>
      <c r="AD634" s="86"/>
      <c r="AE634" s="86"/>
      <c r="AF634" s="86"/>
      <c r="AG634" s="86"/>
      <c r="AH634" s="86"/>
      <c r="AI634" s="86"/>
      <c r="AJ634" s="86"/>
      <c r="AK634" s="86"/>
      <c r="AL634" s="86"/>
      <c r="AM634" s="86"/>
      <c r="AN634" s="86"/>
      <c r="AO634" s="87"/>
      <c r="AP634" s="88">
        <f t="shared" si="9"/>
        <v>0</v>
      </c>
    </row>
    <row r="635" spans="2:42" s="3" customFormat="1" ht="24" customHeight="1" x14ac:dyDescent="0.2">
      <c r="B635" s="80"/>
      <c r="C635" s="81"/>
      <c r="D635" s="82"/>
      <c r="E635" s="83"/>
      <c r="F635" s="84" t="str">
        <f>IFERROR(VLOOKUP($E635,設定!$C:$G,2,0),"")</f>
        <v/>
      </c>
      <c r="G635" s="84" t="str">
        <f>IFERROR(VLOOKUP($E635,設定!$C:$G,3,0),"")</f>
        <v/>
      </c>
      <c r="H635" s="84" t="str">
        <f>IFERROR(VLOOKUP($E635,設定!$C:$G,4,0),"")</f>
        <v/>
      </c>
      <c r="I635" s="84" t="str">
        <f>IFERROR(VLOOKUP($E635,設定!$C:$G,5,0),"")</f>
        <v/>
      </c>
      <c r="J635" s="117"/>
      <c r="K635" s="85"/>
      <c r="L635" s="86"/>
      <c r="M635" s="86"/>
      <c r="N635" s="86"/>
      <c r="O635" s="86"/>
      <c r="P635" s="86"/>
      <c r="Q635" s="86"/>
      <c r="R635" s="86"/>
      <c r="S635" s="86"/>
      <c r="T635" s="86"/>
      <c r="U635" s="86"/>
      <c r="V635" s="86"/>
      <c r="W635" s="86"/>
      <c r="X635" s="86"/>
      <c r="Y635" s="86"/>
      <c r="Z635" s="86"/>
      <c r="AA635" s="86"/>
      <c r="AB635" s="86"/>
      <c r="AC635" s="86"/>
      <c r="AD635" s="86"/>
      <c r="AE635" s="86"/>
      <c r="AF635" s="86"/>
      <c r="AG635" s="86"/>
      <c r="AH635" s="86"/>
      <c r="AI635" s="86"/>
      <c r="AJ635" s="86"/>
      <c r="AK635" s="86"/>
      <c r="AL635" s="86"/>
      <c r="AM635" s="86"/>
      <c r="AN635" s="86"/>
      <c r="AO635" s="87"/>
      <c r="AP635" s="88">
        <f t="shared" si="9"/>
        <v>0</v>
      </c>
    </row>
    <row r="636" spans="2:42" s="3" customFormat="1" ht="24" customHeight="1" x14ac:dyDescent="0.2">
      <c r="B636" s="80"/>
      <c r="C636" s="81"/>
      <c r="D636" s="82"/>
      <c r="E636" s="83"/>
      <c r="F636" s="84" t="str">
        <f>IFERROR(VLOOKUP($E636,設定!$C:$G,2,0),"")</f>
        <v/>
      </c>
      <c r="G636" s="84" t="str">
        <f>IFERROR(VLOOKUP($E636,設定!$C:$G,3,0),"")</f>
        <v/>
      </c>
      <c r="H636" s="84" t="str">
        <f>IFERROR(VLOOKUP($E636,設定!$C:$G,4,0),"")</f>
        <v/>
      </c>
      <c r="I636" s="84" t="str">
        <f>IFERROR(VLOOKUP($E636,設定!$C:$G,5,0),"")</f>
        <v/>
      </c>
      <c r="J636" s="117"/>
      <c r="K636" s="85"/>
      <c r="L636" s="86"/>
      <c r="M636" s="86"/>
      <c r="N636" s="86"/>
      <c r="O636" s="86"/>
      <c r="P636" s="86"/>
      <c r="Q636" s="86"/>
      <c r="R636" s="86"/>
      <c r="S636" s="86"/>
      <c r="T636" s="86"/>
      <c r="U636" s="86"/>
      <c r="V636" s="86"/>
      <c r="W636" s="86"/>
      <c r="X636" s="86"/>
      <c r="Y636" s="86"/>
      <c r="Z636" s="86"/>
      <c r="AA636" s="86"/>
      <c r="AB636" s="86"/>
      <c r="AC636" s="86"/>
      <c r="AD636" s="86"/>
      <c r="AE636" s="86"/>
      <c r="AF636" s="86"/>
      <c r="AG636" s="86"/>
      <c r="AH636" s="86"/>
      <c r="AI636" s="86"/>
      <c r="AJ636" s="86"/>
      <c r="AK636" s="86"/>
      <c r="AL636" s="86"/>
      <c r="AM636" s="86"/>
      <c r="AN636" s="86"/>
      <c r="AO636" s="87"/>
      <c r="AP636" s="88">
        <f t="shared" si="9"/>
        <v>0</v>
      </c>
    </row>
    <row r="637" spans="2:42" s="3" customFormat="1" ht="24" customHeight="1" x14ac:dyDescent="0.2">
      <c r="B637" s="80"/>
      <c r="C637" s="81"/>
      <c r="D637" s="82"/>
      <c r="E637" s="83"/>
      <c r="F637" s="84" t="str">
        <f>IFERROR(VLOOKUP($E637,設定!$C:$G,2,0),"")</f>
        <v/>
      </c>
      <c r="G637" s="84" t="str">
        <f>IFERROR(VLOOKUP($E637,設定!$C:$G,3,0),"")</f>
        <v/>
      </c>
      <c r="H637" s="84" t="str">
        <f>IFERROR(VLOOKUP($E637,設定!$C:$G,4,0),"")</f>
        <v/>
      </c>
      <c r="I637" s="84" t="str">
        <f>IFERROR(VLOOKUP($E637,設定!$C:$G,5,0),"")</f>
        <v/>
      </c>
      <c r="J637" s="117"/>
      <c r="K637" s="85"/>
      <c r="L637" s="86"/>
      <c r="M637" s="86"/>
      <c r="N637" s="86"/>
      <c r="O637" s="86"/>
      <c r="P637" s="86"/>
      <c r="Q637" s="86"/>
      <c r="R637" s="86"/>
      <c r="S637" s="86"/>
      <c r="T637" s="86"/>
      <c r="U637" s="86"/>
      <c r="V637" s="86"/>
      <c r="W637" s="86"/>
      <c r="X637" s="86"/>
      <c r="Y637" s="86"/>
      <c r="Z637" s="86"/>
      <c r="AA637" s="86"/>
      <c r="AB637" s="86"/>
      <c r="AC637" s="86"/>
      <c r="AD637" s="86"/>
      <c r="AE637" s="86"/>
      <c r="AF637" s="86"/>
      <c r="AG637" s="86"/>
      <c r="AH637" s="86"/>
      <c r="AI637" s="86"/>
      <c r="AJ637" s="86"/>
      <c r="AK637" s="86"/>
      <c r="AL637" s="86"/>
      <c r="AM637" s="86"/>
      <c r="AN637" s="86"/>
      <c r="AO637" s="87"/>
      <c r="AP637" s="88">
        <f t="shared" si="9"/>
        <v>0</v>
      </c>
    </row>
    <row r="638" spans="2:42" s="3" customFormat="1" ht="24" customHeight="1" x14ac:dyDescent="0.2">
      <c r="B638" s="80"/>
      <c r="C638" s="81"/>
      <c r="D638" s="82"/>
      <c r="E638" s="83"/>
      <c r="F638" s="84" t="str">
        <f>IFERROR(VLOOKUP($E638,設定!$C:$G,2,0),"")</f>
        <v/>
      </c>
      <c r="G638" s="84" t="str">
        <f>IFERROR(VLOOKUP($E638,設定!$C:$G,3,0),"")</f>
        <v/>
      </c>
      <c r="H638" s="84" t="str">
        <f>IFERROR(VLOOKUP($E638,設定!$C:$G,4,0),"")</f>
        <v/>
      </c>
      <c r="I638" s="84" t="str">
        <f>IFERROR(VLOOKUP($E638,設定!$C:$G,5,0),"")</f>
        <v/>
      </c>
      <c r="J638" s="117"/>
      <c r="K638" s="85"/>
      <c r="L638" s="86"/>
      <c r="M638" s="86"/>
      <c r="N638" s="86"/>
      <c r="O638" s="86"/>
      <c r="P638" s="86"/>
      <c r="Q638" s="86"/>
      <c r="R638" s="86"/>
      <c r="S638" s="86"/>
      <c r="T638" s="86"/>
      <c r="U638" s="86"/>
      <c r="V638" s="86"/>
      <c r="W638" s="86"/>
      <c r="X638" s="86"/>
      <c r="Y638" s="86"/>
      <c r="Z638" s="86"/>
      <c r="AA638" s="86"/>
      <c r="AB638" s="86"/>
      <c r="AC638" s="86"/>
      <c r="AD638" s="86"/>
      <c r="AE638" s="86"/>
      <c r="AF638" s="86"/>
      <c r="AG638" s="86"/>
      <c r="AH638" s="86"/>
      <c r="AI638" s="86"/>
      <c r="AJ638" s="86"/>
      <c r="AK638" s="86"/>
      <c r="AL638" s="86"/>
      <c r="AM638" s="86"/>
      <c r="AN638" s="86"/>
      <c r="AO638" s="87"/>
      <c r="AP638" s="88">
        <f t="shared" si="9"/>
        <v>0</v>
      </c>
    </row>
    <row r="639" spans="2:42" s="3" customFormat="1" ht="24" customHeight="1" x14ac:dyDescent="0.2">
      <c r="B639" s="80"/>
      <c r="C639" s="81"/>
      <c r="D639" s="82"/>
      <c r="E639" s="83"/>
      <c r="F639" s="84" t="str">
        <f>IFERROR(VLOOKUP($E639,設定!$C:$G,2,0),"")</f>
        <v/>
      </c>
      <c r="G639" s="84" t="str">
        <f>IFERROR(VLOOKUP($E639,設定!$C:$G,3,0),"")</f>
        <v/>
      </c>
      <c r="H639" s="84" t="str">
        <f>IFERROR(VLOOKUP($E639,設定!$C:$G,4,0),"")</f>
        <v/>
      </c>
      <c r="I639" s="84" t="str">
        <f>IFERROR(VLOOKUP($E639,設定!$C:$G,5,0),"")</f>
        <v/>
      </c>
      <c r="J639" s="117"/>
      <c r="K639" s="85"/>
      <c r="L639" s="86"/>
      <c r="M639" s="86"/>
      <c r="N639" s="86"/>
      <c r="O639" s="86"/>
      <c r="P639" s="86"/>
      <c r="Q639" s="86"/>
      <c r="R639" s="86"/>
      <c r="S639" s="86"/>
      <c r="T639" s="86"/>
      <c r="U639" s="86"/>
      <c r="V639" s="86"/>
      <c r="W639" s="86"/>
      <c r="X639" s="86"/>
      <c r="Y639" s="86"/>
      <c r="Z639" s="86"/>
      <c r="AA639" s="86"/>
      <c r="AB639" s="86"/>
      <c r="AC639" s="86"/>
      <c r="AD639" s="86"/>
      <c r="AE639" s="86"/>
      <c r="AF639" s="86"/>
      <c r="AG639" s="86"/>
      <c r="AH639" s="86"/>
      <c r="AI639" s="86"/>
      <c r="AJ639" s="86"/>
      <c r="AK639" s="86"/>
      <c r="AL639" s="86"/>
      <c r="AM639" s="86"/>
      <c r="AN639" s="86"/>
      <c r="AO639" s="87"/>
      <c r="AP639" s="88">
        <f t="shared" si="9"/>
        <v>0</v>
      </c>
    </row>
    <row r="640" spans="2:42" s="3" customFormat="1" ht="24" customHeight="1" x14ac:dyDescent="0.2">
      <c r="B640" s="80"/>
      <c r="C640" s="81"/>
      <c r="D640" s="82"/>
      <c r="E640" s="83"/>
      <c r="F640" s="84" t="str">
        <f>IFERROR(VLOOKUP($E640,設定!$C:$G,2,0),"")</f>
        <v/>
      </c>
      <c r="G640" s="84" t="str">
        <f>IFERROR(VLOOKUP($E640,設定!$C:$G,3,0),"")</f>
        <v/>
      </c>
      <c r="H640" s="84" t="str">
        <f>IFERROR(VLOOKUP($E640,設定!$C:$G,4,0),"")</f>
        <v/>
      </c>
      <c r="I640" s="84" t="str">
        <f>IFERROR(VLOOKUP($E640,設定!$C:$G,5,0),"")</f>
        <v/>
      </c>
      <c r="J640" s="117"/>
      <c r="K640" s="85"/>
      <c r="L640" s="86"/>
      <c r="M640" s="86"/>
      <c r="N640" s="86"/>
      <c r="O640" s="86"/>
      <c r="P640" s="86"/>
      <c r="Q640" s="86"/>
      <c r="R640" s="86"/>
      <c r="S640" s="86"/>
      <c r="T640" s="86"/>
      <c r="U640" s="86"/>
      <c r="V640" s="86"/>
      <c r="W640" s="86"/>
      <c r="X640" s="86"/>
      <c r="Y640" s="86"/>
      <c r="Z640" s="86"/>
      <c r="AA640" s="86"/>
      <c r="AB640" s="86"/>
      <c r="AC640" s="86"/>
      <c r="AD640" s="86"/>
      <c r="AE640" s="86"/>
      <c r="AF640" s="86"/>
      <c r="AG640" s="86"/>
      <c r="AH640" s="86"/>
      <c r="AI640" s="86"/>
      <c r="AJ640" s="86"/>
      <c r="AK640" s="86"/>
      <c r="AL640" s="86"/>
      <c r="AM640" s="86"/>
      <c r="AN640" s="86"/>
      <c r="AO640" s="87"/>
      <c r="AP640" s="88">
        <f t="shared" si="9"/>
        <v>0</v>
      </c>
    </row>
    <row r="641" spans="2:42" s="3" customFormat="1" ht="24" customHeight="1" x14ac:dyDescent="0.2">
      <c r="B641" s="80"/>
      <c r="C641" s="81"/>
      <c r="D641" s="82"/>
      <c r="E641" s="83"/>
      <c r="F641" s="84" t="str">
        <f>IFERROR(VLOOKUP($E641,設定!$C:$G,2,0),"")</f>
        <v/>
      </c>
      <c r="G641" s="84" t="str">
        <f>IFERROR(VLOOKUP($E641,設定!$C:$G,3,0),"")</f>
        <v/>
      </c>
      <c r="H641" s="84" t="str">
        <f>IFERROR(VLOOKUP($E641,設定!$C:$G,4,0),"")</f>
        <v/>
      </c>
      <c r="I641" s="84" t="str">
        <f>IFERROR(VLOOKUP($E641,設定!$C:$G,5,0),"")</f>
        <v/>
      </c>
      <c r="J641" s="117"/>
      <c r="K641" s="85"/>
      <c r="L641" s="86"/>
      <c r="M641" s="86"/>
      <c r="N641" s="86"/>
      <c r="O641" s="86"/>
      <c r="P641" s="86"/>
      <c r="Q641" s="86"/>
      <c r="R641" s="86"/>
      <c r="S641" s="86"/>
      <c r="T641" s="86"/>
      <c r="U641" s="86"/>
      <c r="V641" s="86"/>
      <c r="W641" s="86"/>
      <c r="X641" s="86"/>
      <c r="Y641" s="86"/>
      <c r="Z641" s="86"/>
      <c r="AA641" s="86"/>
      <c r="AB641" s="86"/>
      <c r="AC641" s="86"/>
      <c r="AD641" s="86"/>
      <c r="AE641" s="86"/>
      <c r="AF641" s="86"/>
      <c r="AG641" s="86"/>
      <c r="AH641" s="86"/>
      <c r="AI641" s="86"/>
      <c r="AJ641" s="86"/>
      <c r="AK641" s="86"/>
      <c r="AL641" s="86"/>
      <c r="AM641" s="86"/>
      <c r="AN641" s="86"/>
      <c r="AO641" s="87"/>
      <c r="AP641" s="88">
        <f t="shared" si="9"/>
        <v>0</v>
      </c>
    </row>
    <row r="642" spans="2:42" s="3" customFormat="1" ht="24" customHeight="1" x14ac:dyDescent="0.2">
      <c r="B642" s="80"/>
      <c r="C642" s="81"/>
      <c r="D642" s="82"/>
      <c r="E642" s="83"/>
      <c r="F642" s="84" t="str">
        <f>IFERROR(VLOOKUP($E642,設定!$C:$G,2,0),"")</f>
        <v/>
      </c>
      <c r="G642" s="84" t="str">
        <f>IFERROR(VLOOKUP($E642,設定!$C:$G,3,0),"")</f>
        <v/>
      </c>
      <c r="H642" s="84" t="str">
        <f>IFERROR(VLOOKUP($E642,設定!$C:$G,4,0),"")</f>
        <v/>
      </c>
      <c r="I642" s="84" t="str">
        <f>IFERROR(VLOOKUP($E642,設定!$C:$G,5,0),"")</f>
        <v/>
      </c>
      <c r="J642" s="117"/>
      <c r="K642" s="85"/>
      <c r="L642" s="86"/>
      <c r="M642" s="86"/>
      <c r="N642" s="86"/>
      <c r="O642" s="86"/>
      <c r="P642" s="86"/>
      <c r="Q642" s="86"/>
      <c r="R642" s="86"/>
      <c r="S642" s="86"/>
      <c r="T642" s="86"/>
      <c r="U642" s="86"/>
      <c r="V642" s="86"/>
      <c r="W642" s="86"/>
      <c r="X642" s="86"/>
      <c r="Y642" s="86"/>
      <c r="Z642" s="86"/>
      <c r="AA642" s="86"/>
      <c r="AB642" s="86"/>
      <c r="AC642" s="86"/>
      <c r="AD642" s="86"/>
      <c r="AE642" s="86"/>
      <c r="AF642" s="86"/>
      <c r="AG642" s="86"/>
      <c r="AH642" s="86"/>
      <c r="AI642" s="86"/>
      <c r="AJ642" s="86"/>
      <c r="AK642" s="86"/>
      <c r="AL642" s="86"/>
      <c r="AM642" s="86"/>
      <c r="AN642" s="86"/>
      <c r="AO642" s="87"/>
      <c r="AP642" s="88">
        <f t="shared" si="9"/>
        <v>0</v>
      </c>
    </row>
    <row r="643" spans="2:42" s="3" customFormat="1" ht="24" customHeight="1" x14ac:dyDescent="0.2">
      <c r="B643" s="80"/>
      <c r="C643" s="81"/>
      <c r="D643" s="82"/>
      <c r="E643" s="83"/>
      <c r="F643" s="84" t="str">
        <f>IFERROR(VLOOKUP($E643,設定!$C:$G,2,0),"")</f>
        <v/>
      </c>
      <c r="G643" s="84" t="str">
        <f>IFERROR(VLOOKUP($E643,設定!$C:$G,3,0),"")</f>
        <v/>
      </c>
      <c r="H643" s="84" t="str">
        <f>IFERROR(VLOOKUP($E643,設定!$C:$G,4,0),"")</f>
        <v/>
      </c>
      <c r="I643" s="84" t="str">
        <f>IFERROR(VLOOKUP($E643,設定!$C:$G,5,0),"")</f>
        <v/>
      </c>
      <c r="J643" s="117"/>
      <c r="K643" s="85"/>
      <c r="L643" s="86"/>
      <c r="M643" s="86"/>
      <c r="N643" s="86"/>
      <c r="O643" s="86"/>
      <c r="P643" s="86"/>
      <c r="Q643" s="86"/>
      <c r="R643" s="86"/>
      <c r="S643" s="86"/>
      <c r="T643" s="86"/>
      <c r="U643" s="86"/>
      <c r="V643" s="86"/>
      <c r="W643" s="86"/>
      <c r="X643" s="86"/>
      <c r="Y643" s="86"/>
      <c r="Z643" s="86"/>
      <c r="AA643" s="86"/>
      <c r="AB643" s="86"/>
      <c r="AC643" s="86"/>
      <c r="AD643" s="86"/>
      <c r="AE643" s="86"/>
      <c r="AF643" s="86"/>
      <c r="AG643" s="86"/>
      <c r="AH643" s="86"/>
      <c r="AI643" s="86"/>
      <c r="AJ643" s="86"/>
      <c r="AK643" s="86"/>
      <c r="AL643" s="86"/>
      <c r="AM643" s="86"/>
      <c r="AN643" s="86"/>
      <c r="AO643" s="87"/>
      <c r="AP643" s="88">
        <f t="shared" si="9"/>
        <v>0</v>
      </c>
    </row>
    <row r="644" spans="2:42" s="3" customFormat="1" ht="24" customHeight="1" x14ac:dyDescent="0.2">
      <c r="B644" s="80"/>
      <c r="C644" s="81"/>
      <c r="D644" s="82"/>
      <c r="E644" s="83"/>
      <c r="F644" s="84" t="str">
        <f>IFERROR(VLOOKUP($E644,設定!$C:$G,2,0),"")</f>
        <v/>
      </c>
      <c r="G644" s="84" t="str">
        <f>IFERROR(VLOOKUP($E644,設定!$C:$G,3,0),"")</f>
        <v/>
      </c>
      <c r="H644" s="84" t="str">
        <f>IFERROR(VLOOKUP($E644,設定!$C:$G,4,0),"")</f>
        <v/>
      </c>
      <c r="I644" s="84" t="str">
        <f>IFERROR(VLOOKUP($E644,設定!$C:$G,5,0),"")</f>
        <v/>
      </c>
      <c r="J644" s="117"/>
      <c r="K644" s="85"/>
      <c r="L644" s="86"/>
      <c r="M644" s="86"/>
      <c r="N644" s="86"/>
      <c r="O644" s="86"/>
      <c r="P644" s="86"/>
      <c r="Q644" s="86"/>
      <c r="R644" s="86"/>
      <c r="S644" s="86"/>
      <c r="T644" s="86"/>
      <c r="U644" s="86"/>
      <c r="V644" s="86"/>
      <c r="W644" s="86"/>
      <c r="X644" s="86"/>
      <c r="Y644" s="86"/>
      <c r="Z644" s="86"/>
      <c r="AA644" s="86"/>
      <c r="AB644" s="86"/>
      <c r="AC644" s="86"/>
      <c r="AD644" s="86"/>
      <c r="AE644" s="86"/>
      <c r="AF644" s="86"/>
      <c r="AG644" s="86"/>
      <c r="AH644" s="86"/>
      <c r="AI644" s="86"/>
      <c r="AJ644" s="86"/>
      <c r="AK644" s="86"/>
      <c r="AL644" s="86"/>
      <c r="AM644" s="86"/>
      <c r="AN644" s="86"/>
      <c r="AO644" s="87"/>
      <c r="AP644" s="88">
        <f t="shared" si="9"/>
        <v>0</v>
      </c>
    </row>
    <row r="645" spans="2:42" s="3" customFormat="1" ht="24" customHeight="1" x14ac:dyDescent="0.2">
      <c r="B645" s="80"/>
      <c r="C645" s="81"/>
      <c r="D645" s="82"/>
      <c r="E645" s="83"/>
      <c r="F645" s="84" t="str">
        <f>IFERROR(VLOOKUP($E645,設定!$C:$G,2,0),"")</f>
        <v/>
      </c>
      <c r="G645" s="84" t="str">
        <f>IFERROR(VLOOKUP($E645,設定!$C:$G,3,0),"")</f>
        <v/>
      </c>
      <c r="H645" s="84" t="str">
        <f>IFERROR(VLOOKUP($E645,設定!$C:$G,4,0),"")</f>
        <v/>
      </c>
      <c r="I645" s="84" t="str">
        <f>IFERROR(VLOOKUP($E645,設定!$C:$G,5,0),"")</f>
        <v/>
      </c>
      <c r="J645" s="117"/>
      <c r="K645" s="85"/>
      <c r="L645" s="86"/>
      <c r="M645" s="86"/>
      <c r="N645" s="86"/>
      <c r="O645" s="86"/>
      <c r="P645" s="86"/>
      <c r="Q645" s="86"/>
      <c r="R645" s="86"/>
      <c r="S645" s="86"/>
      <c r="T645" s="86"/>
      <c r="U645" s="86"/>
      <c r="V645" s="86"/>
      <c r="W645" s="86"/>
      <c r="X645" s="86"/>
      <c r="Y645" s="86"/>
      <c r="Z645" s="86"/>
      <c r="AA645" s="86"/>
      <c r="AB645" s="86"/>
      <c r="AC645" s="86"/>
      <c r="AD645" s="86"/>
      <c r="AE645" s="86"/>
      <c r="AF645" s="86"/>
      <c r="AG645" s="86"/>
      <c r="AH645" s="86"/>
      <c r="AI645" s="86"/>
      <c r="AJ645" s="86"/>
      <c r="AK645" s="86"/>
      <c r="AL645" s="86"/>
      <c r="AM645" s="86"/>
      <c r="AN645" s="86"/>
      <c r="AO645" s="87"/>
      <c r="AP645" s="88">
        <f t="shared" si="9"/>
        <v>0</v>
      </c>
    </row>
    <row r="646" spans="2:42" s="3" customFormat="1" ht="24" customHeight="1" x14ac:dyDescent="0.2">
      <c r="B646" s="80"/>
      <c r="C646" s="81"/>
      <c r="D646" s="82"/>
      <c r="E646" s="83"/>
      <c r="F646" s="84" t="str">
        <f>IFERROR(VLOOKUP($E646,設定!$C:$G,2,0),"")</f>
        <v/>
      </c>
      <c r="G646" s="84" t="str">
        <f>IFERROR(VLOOKUP($E646,設定!$C:$G,3,0),"")</f>
        <v/>
      </c>
      <c r="H646" s="84" t="str">
        <f>IFERROR(VLOOKUP($E646,設定!$C:$G,4,0),"")</f>
        <v/>
      </c>
      <c r="I646" s="84" t="str">
        <f>IFERROR(VLOOKUP($E646,設定!$C:$G,5,0),"")</f>
        <v/>
      </c>
      <c r="J646" s="117"/>
      <c r="K646" s="85"/>
      <c r="L646" s="86"/>
      <c r="M646" s="86"/>
      <c r="N646" s="86"/>
      <c r="O646" s="86"/>
      <c r="P646" s="86"/>
      <c r="Q646" s="86"/>
      <c r="R646" s="86"/>
      <c r="S646" s="86"/>
      <c r="T646" s="86"/>
      <c r="U646" s="86"/>
      <c r="V646" s="86"/>
      <c r="W646" s="86"/>
      <c r="X646" s="86"/>
      <c r="Y646" s="86"/>
      <c r="Z646" s="86"/>
      <c r="AA646" s="86"/>
      <c r="AB646" s="86"/>
      <c r="AC646" s="86"/>
      <c r="AD646" s="86"/>
      <c r="AE646" s="86"/>
      <c r="AF646" s="86"/>
      <c r="AG646" s="86"/>
      <c r="AH646" s="86"/>
      <c r="AI646" s="86"/>
      <c r="AJ646" s="86"/>
      <c r="AK646" s="86"/>
      <c r="AL646" s="86"/>
      <c r="AM646" s="86"/>
      <c r="AN646" s="86"/>
      <c r="AO646" s="87"/>
      <c r="AP646" s="88">
        <f t="shared" si="9"/>
        <v>0</v>
      </c>
    </row>
    <row r="647" spans="2:42" s="3" customFormat="1" ht="24" customHeight="1" x14ac:dyDescent="0.2">
      <c r="B647" s="80"/>
      <c r="C647" s="81"/>
      <c r="D647" s="82"/>
      <c r="E647" s="83"/>
      <c r="F647" s="84" t="str">
        <f>IFERROR(VLOOKUP($E647,設定!$C:$G,2,0),"")</f>
        <v/>
      </c>
      <c r="G647" s="84" t="str">
        <f>IFERROR(VLOOKUP($E647,設定!$C:$G,3,0),"")</f>
        <v/>
      </c>
      <c r="H647" s="84" t="str">
        <f>IFERROR(VLOOKUP($E647,設定!$C:$G,4,0),"")</f>
        <v/>
      </c>
      <c r="I647" s="84" t="str">
        <f>IFERROR(VLOOKUP($E647,設定!$C:$G,5,0),"")</f>
        <v/>
      </c>
      <c r="J647" s="117"/>
      <c r="K647" s="85"/>
      <c r="L647" s="86"/>
      <c r="M647" s="86"/>
      <c r="N647" s="86"/>
      <c r="O647" s="86"/>
      <c r="P647" s="86"/>
      <c r="Q647" s="86"/>
      <c r="R647" s="86"/>
      <c r="S647" s="86"/>
      <c r="T647" s="86"/>
      <c r="U647" s="86"/>
      <c r="V647" s="86"/>
      <c r="W647" s="86"/>
      <c r="X647" s="86"/>
      <c r="Y647" s="86"/>
      <c r="Z647" s="86"/>
      <c r="AA647" s="86"/>
      <c r="AB647" s="86"/>
      <c r="AC647" s="86"/>
      <c r="AD647" s="86"/>
      <c r="AE647" s="86"/>
      <c r="AF647" s="86"/>
      <c r="AG647" s="86"/>
      <c r="AH647" s="86"/>
      <c r="AI647" s="86"/>
      <c r="AJ647" s="86"/>
      <c r="AK647" s="86"/>
      <c r="AL647" s="86"/>
      <c r="AM647" s="86"/>
      <c r="AN647" s="86"/>
      <c r="AO647" s="87"/>
      <c r="AP647" s="88">
        <f t="shared" si="9"/>
        <v>0</v>
      </c>
    </row>
    <row r="648" spans="2:42" s="3" customFormat="1" ht="24" customHeight="1" x14ac:dyDescent="0.2">
      <c r="B648" s="80"/>
      <c r="C648" s="81"/>
      <c r="D648" s="82"/>
      <c r="E648" s="83"/>
      <c r="F648" s="84" t="str">
        <f>IFERROR(VLOOKUP($E648,設定!$C:$G,2,0),"")</f>
        <v/>
      </c>
      <c r="G648" s="84" t="str">
        <f>IFERROR(VLOOKUP($E648,設定!$C:$G,3,0),"")</f>
        <v/>
      </c>
      <c r="H648" s="84" t="str">
        <f>IFERROR(VLOOKUP($E648,設定!$C:$G,4,0),"")</f>
        <v/>
      </c>
      <c r="I648" s="84" t="str">
        <f>IFERROR(VLOOKUP($E648,設定!$C:$G,5,0),"")</f>
        <v/>
      </c>
      <c r="J648" s="117"/>
      <c r="K648" s="85"/>
      <c r="L648" s="86"/>
      <c r="M648" s="86"/>
      <c r="N648" s="86"/>
      <c r="O648" s="86"/>
      <c r="P648" s="86"/>
      <c r="Q648" s="86"/>
      <c r="R648" s="86"/>
      <c r="S648" s="86"/>
      <c r="T648" s="86"/>
      <c r="U648" s="86"/>
      <c r="V648" s="86"/>
      <c r="W648" s="86"/>
      <c r="X648" s="86"/>
      <c r="Y648" s="86"/>
      <c r="Z648" s="86"/>
      <c r="AA648" s="86"/>
      <c r="AB648" s="86"/>
      <c r="AC648" s="86"/>
      <c r="AD648" s="86"/>
      <c r="AE648" s="86"/>
      <c r="AF648" s="86"/>
      <c r="AG648" s="86"/>
      <c r="AH648" s="86"/>
      <c r="AI648" s="86"/>
      <c r="AJ648" s="86"/>
      <c r="AK648" s="86"/>
      <c r="AL648" s="86"/>
      <c r="AM648" s="86"/>
      <c r="AN648" s="86"/>
      <c r="AO648" s="87"/>
      <c r="AP648" s="88">
        <f t="shared" ref="AP648:AP681" si="10">J648*SUM(K648:AO648)</f>
        <v>0</v>
      </c>
    </row>
    <row r="649" spans="2:42" s="3" customFormat="1" ht="24" customHeight="1" x14ac:dyDescent="0.2">
      <c r="B649" s="80"/>
      <c r="C649" s="81"/>
      <c r="D649" s="82"/>
      <c r="E649" s="83"/>
      <c r="F649" s="84" t="str">
        <f>IFERROR(VLOOKUP($E649,設定!$C:$G,2,0),"")</f>
        <v/>
      </c>
      <c r="G649" s="84" t="str">
        <f>IFERROR(VLOOKUP($E649,設定!$C:$G,3,0),"")</f>
        <v/>
      </c>
      <c r="H649" s="84" t="str">
        <f>IFERROR(VLOOKUP($E649,設定!$C:$G,4,0),"")</f>
        <v/>
      </c>
      <c r="I649" s="84" t="str">
        <f>IFERROR(VLOOKUP($E649,設定!$C:$G,5,0),"")</f>
        <v/>
      </c>
      <c r="J649" s="117"/>
      <c r="K649" s="85"/>
      <c r="L649" s="86"/>
      <c r="M649" s="86"/>
      <c r="N649" s="86"/>
      <c r="O649" s="86"/>
      <c r="P649" s="86"/>
      <c r="Q649" s="86"/>
      <c r="R649" s="86"/>
      <c r="S649" s="86"/>
      <c r="T649" s="86"/>
      <c r="U649" s="86"/>
      <c r="V649" s="86"/>
      <c r="W649" s="86"/>
      <c r="X649" s="86"/>
      <c r="Y649" s="86"/>
      <c r="Z649" s="86"/>
      <c r="AA649" s="86"/>
      <c r="AB649" s="86"/>
      <c r="AC649" s="86"/>
      <c r="AD649" s="86"/>
      <c r="AE649" s="86"/>
      <c r="AF649" s="86"/>
      <c r="AG649" s="86"/>
      <c r="AH649" s="86"/>
      <c r="AI649" s="86"/>
      <c r="AJ649" s="86"/>
      <c r="AK649" s="86"/>
      <c r="AL649" s="86"/>
      <c r="AM649" s="86"/>
      <c r="AN649" s="86"/>
      <c r="AO649" s="87"/>
      <c r="AP649" s="88">
        <f t="shared" si="10"/>
        <v>0</v>
      </c>
    </row>
    <row r="650" spans="2:42" s="3" customFormat="1" ht="24" customHeight="1" x14ac:dyDescent="0.2">
      <c r="B650" s="80"/>
      <c r="C650" s="81"/>
      <c r="D650" s="82"/>
      <c r="E650" s="83"/>
      <c r="F650" s="84" t="str">
        <f>IFERROR(VLOOKUP($E650,設定!$C:$G,2,0),"")</f>
        <v/>
      </c>
      <c r="G650" s="84" t="str">
        <f>IFERROR(VLOOKUP($E650,設定!$C:$G,3,0),"")</f>
        <v/>
      </c>
      <c r="H650" s="84" t="str">
        <f>IFERROR(VLOOKUP($E650,設定!$C:$G,4,0),"")</f>
        <v/>
      </c>
      <c r="I650" s="84" t="str">
        <f>IFERROR(VLOOKUP($E650,設定!$C:$G,5,0),"")</f>
        <v/>
      </c>
      <c r="J650" s="117"/>
      <c r="K650" s="85"/>
      <c r="L650" s="86"/>
      <c r="M650" s="86"/>
      <c r="N650" s="86"/>
      <c r="O650" s="86"/>
      <c r="P650" s="86"/>
      <c r="Q650" s="86"/>
      <c r="R650" s="86"/>
      <c r="S650" s="86"/>
      <c r="T650" s="86"/>
      <c r="U650" s="86"/>
      <c r="V650" s="86"/>
      <c r="W650" s="86"/>
      <c r="X650" s="86"/>
      <c r="Y650" s="86"/>
      <c r="Z650" s="86"/>
      <c r="AA650" s="86"/>
      <c r="AB650" s="86"/>
      <c r="AC650" s="86"/>
      <c r="AD650" s="86"/>
      <c r="AE650" s="86"/>
      <c r="AF650" s="86"/>
      <c r="AG650" s="86"/>
      <c r="AH650" s="86"/>
      <c r="AI650" s="86"/>
      <c r="AJ650" s="86"/>
      <c r="AK650" s="86"/>
      <c r="AL650" s="86"/>
      <c r="AM650" s="86"/>
      <c r="AN650" s="86"/>
      <c r="AO650" s="87"/>
      <c r="AP650" s="88">
        <f t="shared" si="10"/>
        <v>0</v>
      </c>
    </row>
    <row r="651" spans="2:42" s="3" customFormat="1" ht="24" customHeight="1" x14ac:dyDescent="0.2">
      <c r="B651" s="80"/>
      <c r="C651" s="81"/>
      <c r="D651" s="82"/>
      <c r="E651" s="83"/>
      <c r="F651" s="84" t="str">
        <f>IFERROR(VLOOKUP($E651,設定!$C:$G,2,0),"")</f>
        <v/>
      </c>
      <c r="G651" s="84" t="str">
        <f>IFERROR(VLOOKUP($E651,設定!$C:$G,3,0),"")</f>
        <v/>
      </c>
      <c r="H651" s="84" t="str">
        <f>IFERROR(VLOOKUP($E651,設定!$C:$G,4,0),"")</f>
        <v/>
      </c>
      <c r="I651" s="84" t="str">
        <f>IFERROR(VLOOKUP($E651,設定!$C:$G,5,0),"")</f>
        <v/>
      </c>
      <c r="J651" s="117"/>
      <c r="K651" s="85"/>
      <c r="L651" s="86"/>
      <c r="M651" s="86"/>
      <c r="N651" s="86"/>
      <c r="O651" s="86"/>
      <c r="P651" s="86"/>
      <c r="Q651" s="86"/>
      <c r="R651" s="86"/>
      <c r="S651" s="86"/>
      <c r="T651" s="86"/>
      <c r="U651" s="86"/>
      <c r="V651" s="86"/>
      <c r="W651" s="86"/>
      <c r="X651" s="86"/>
      <c r="Y651" s="86"/>
      <c r="Z651" s="86"/>
      <c r="AA651" s="86"/>
      <c r="AB651" s="86"/>
      <c r="AC651" s="86"/>
      <c r="AD651" s="86"/>
      <c r="AE651" s="86"/>
      <c r="AF651" s="86"/>
      <c r="AG651" s="86"/>
      <c r="AH651" s="86"/>
      <c r="AI651" s="86"/>
      <c r="AJ651" s="86"/>
      <c r="AK651" s="86"/>
      <c r="AL651" s="86"/>
      <c r="AM651" s="86"/>
      <c r="AN651" s="86"/>
      <c r="AO651" s="87"/>
      <c r="AP651" s="88">
        <f t="shared" si="10"/>
        <v>0</v>
      </c>
    </row>
    <row r="652" spans="2:42" s="3" customFormat="1" ht="24" customHeight="1" x14ac:dyDescent="0.2">
      <c r="B652" s="80"/>
      <c r="C652" s="81"/>
      <c r="D652" s="82"/>
      <c r="E652" s="83"/>
      <c r="F652" s="84" t="str">
        <f>IFERROR(VLOOKUP($E652,設定!$C:$G,2,0),"")</f>
        <v/>
      </c>
      <c r="G652" s="84" t="str">
        <f>IFERROR(VLOOKUP($E652,設定!$C:$G,3,0),"")</f>
        <v/>
      </c>
      <c r="H652" s="84" t="str">
        <f>IFERROR(VLOOKUP($E652,設定!$C:$G,4,0),"")</f>
        <v/>
      </c>
      <c r="I652" s="84" t="str">
        <f>IFERROR(VLOOKUP($E652,設定!$C:$G,5,0),"")</f>
        <v/>
      </c>
      <c r="J652" s="117"/>
      <c r="K652" s="85"/>
      <c r="L652" s="86"/>
      <c r="M652" s="86"/>
      <c r="N652" s="86"/>
      <c r="O652" s="86"/>
      <c r="P652" s="86"/>
      <c r="Q652" s="86"/>
      <c r="R652" s="86"/>
      <c r="S652" s="86"/>
      <c r="T652" s="86"/>
      <c r="U652" s="86"/>
      <c r="V652" s="86"/>
      <c r="W652" s="86"/>
      <c r="X652" s="86"/>
      <c r="Y652" s="86"/>
      <c r="Z652" s="86"/>
      <c r="AA652" s="86"/>
      <c r="AB652" s="86"/>
      <c r="AC652" s="86"/>
      <c r="AD652" s="86"/>
      <c r="AE652" s="86"/>
      <c r="AF652" s="86"/>
      <c r="AG652" s="86"/>
      <c r="AH652" s="86"/>
      <c r="AI652" s="86"/>
      <c r="AJ652" s="86"/>
      <c r="AK652" s="86"/>
      <c r="AL652" s="86"/>
      <c r="AM652" s="86"/>
      <c r="AN652" s="86"/>
      <c r="AO652" s="87"/>
      <c r="AP652" s="88">
        <f t="shared" si="10"/>
        <v>0</v>
      </c>
    </row>
    <row r="653" spans="2:42" s="3" customFormat="1" ht="24" customHeight="1" x14ac:dyDescent="0.2">
      <c r="B653" s="80"/>
      <c r="C653" s="81"/>
      <c r="D653" s="82"/>
      <c r="E653" s="83"/>
      <c r="F653" s="84" t="str">
        <f>IFERROR(VLOOKUP($E653,設定!$C:$G,2,0),"")</f>
        <v/>
      </c>
      <c r="G653" s="84" t="str">
        <f>IFERROR(VLOOKUP($E653,設定!$C:$G,3,0),"")</f>
        <v/>
      </c>
      <c r="H653" s="84" t="str">
        <f>IFERROR(VLOOKUP($E653,設定!$C:$G,4,0),"")</f>
        <v/>
      </c>
      <c r="I653" s="84" t="str">
        <f>IFERROR(VLOOKUP($E653,設定!$C:$G,5,0),"")</f>
        <v/>
      </c>
      <c r="J653" s="117"/>
      <c r="K653" s="85"/>
      <c r="L653" s="86"/>
      <c r="M653" s="86"/>
      <c r="N653" s="86"/>
      <c r="O653" s="86"/>
      <c r="P653" s="86"/>
      <c r="Q653" s="86"/>
      <c r="R653" s="86"/>
      <c r="S653" s="86"/>
      <c r="T653" s="86"/>
      <c r="U653" s="86"/>
      <c r="V653" s="86"/>
      <c r="W653" s="86"/>
      <c r="X653" s="86"/>
      <c r="Y653" s="86"/>
      <c r="Z653" s="86"/>
      <c r="AA653" s="86"/>
      <c r="AB653" s="86"/>
      <c r="AC653" s="86"/>
      <c r="AD653" s="86"/>
      <c r="AE653" s="86"/>
      <c r="AF653" s="86"/>
      <c r="AG653" s="86"/>
      <c r="AH653" s="86"/>
      <c r="AI653" s="86"/>
      <c r="AJ653" s="86"/>
      <c r="AK653" s="86"/>
      <c r="AL653" s="86"/>
      <c r="AM653" s="86"/>
      <c r="AN653" s="86"/>
      <c r="AO653" s="87"/>
      <c r="AP653" s="88">
        <f t="shared" si="10"/>
        <v>0</v>
      </c>
    </row>
    <row r="654" spans="2:42" s="3" customFormat="1" ht="24" customHeight="1" x14ac:dyDescent="0.2">
      <c r="B654" s="80"/>
      <c r="C654" s="81"/>
      <c r="D654" s="82"/>
      <c r="E654" s="83"/>
      <c r="F654" s="84" t="str">
        <f>IFERROR(VLOOKUP($E654,設定!$C:$G,2,0),"")</f>
        <v/>
      </c>
      <c r="G654" s="84" t="str">
        <f>IFERROR(VLOOKUP($E654,設定!$C:$G,3,0),"")</f>
        <v/>
      </c>
      <c r="H654" s="84" t="str">
        <f>IFERROR(VLOOKUP($E654,設定!$C:$G,4,0),"")</f>
        <v/>
      </c>
      <c r="I654" s="84" t="str">
        <f>IFERROR(VLOOKUP($E654,設定!$C:$G,5,0),"")</f>
        <v/>
      </c>
      <c r="J654" s="117"/>
      <c r="K654" s="85"/>
      <c r="L654" s="86"/>
      <c r="M654" s="86"/>
      <c r="N654" s="86"/>
      <c r="O654" s="86"/>
      <c r="P654" s="86"/>
      <c r="Q654" s="86"/>
      <c r="R654" s="86"/>
      <c r="S654" s="86"/>
      <c r="T654" s="86"/>
      <c r="U654" s="86"/>
      <c r="V654" s="86"/>
      <c r="W654" s="86"/>
      <c r="X654" s="86"/>
      <c r="Y654" s="86"/>
      <c r="Z654" s="86"/>
      <c r="AA654" s="86"/>
      <c r="AB654" s="86"/>
      <c r="AC654" s="86"/>
      <c r="AD654" s="86"/>
      <c r="AE654" s="86"/>
      <c r="AF654" s="86"/>
      <c r="AG654" s="86"/>
      <c r="AH654" s="86"/>
      <c r="AI654" s="86"/>
      <c r="AJ654" s="86"/>
      <c r="AK654" s="86"/>
      <c r="AL654" s="86"/>
      <c r="AM654" s="86"/>
      <c r="AN654" s="86"/>
      <c r="AO654" s="87"/>
      <c r="AP654" s="88">
        <f t="shared" si="10"/>
        <v>0</v>
      </c>
    </row>
    <row r="655" spans="2:42" s="3" customFormat="1" ht="24" customHeight="1" x14ac:dyDescent="0.2">
      <c r="B655" s="80"/>
      <c r="C655" s="81"/>
      <c r="D655" s="82"/>
      <c r="E655" s="83"/>
      <c r="F655" s="84" t="str">
        <f>IFERROR(VLOOKUP($E655,設定!$C:$G,2,0),"")</f>
        <v/>
      </c>
      <c r="G655" s="84" t="str">
        <f>IFERROR(VLOOKUP($E655,設定!$C:$G,3,0),"")</f>
        <v/>
      </c>
      <c r="H655" s="84" t="str">
        <f>IFERROR(VLOOKUP($E655,設定!$C:$G,4,0),"")</f>
        <v/>
      </c>
      <c r="I655" s="84" t="str">
        <f>IFERROR(VLOOKUP($E655,設定!$C:$G,5,0),"")</f>
        <v/>
      </c>
      <c r="J655" s="117"/>
      <c r="K655" s="85"/>
      <c r="L655" s="86"/>
      <c r="M655" s="86"/>
      <c r="N655" s="86"/>
      <c r="O655" s="86"/>
      <c r="P655" s="86"/>
      <c r="Q655" s="86"/>
      <c r="R655" s="86"/>
      <c r="S655" s="86"/>
      <c r="T655" s="86"/>
      <c r="U655" s="86"/>
      <c r="V655" s="86"/>
      <c r="W655" s="86"/>
      <c r="X655" s="86"/>
      <c r="Y655" s="86"/>
      <c r="Z655" s="86"/>
      <c r="AA655" s="86"/>
      <c r="AB655" s="86"/>
      <c r="AC655" s="86"/>
      <c r="AD655" s="86"/>
      <c r="AE655" s="86"/>
      <c r="AF655" s="86"/>
      <c r="AG655" s="86"/>
      <c r="AH655" s="86"/>
      <c r="AI655" s="86"/>
      <c r="AJ655" s="86"/>
      <c r="AK655" s="86"/>
      <c r="AL655" s="86"/>
      <c r="AM655" s="86"/>
      <c r="AN655" s="86"/>
      <c r="AO655" s="87"/>
      <c r="AP655" s="88">
        <f t="shared" si="10"/>
        <v>0</v>
      </c>
    </row>
    <row r="656" spans="2:42" s="3" customFormat="1" ht="24" customHeight="1" x14ac:dyDescent="0.2">
      <c r="B656" s="80"/>
      <c r="C656" s="81"/>
      <c r="D656" s="82"/>
      <c r="E656" s="83"/>
      <c r="F656" s="84" t="str">
        <f>IFERROR(VLOOKUP($E656,設定!$C:$G,2,0),"")</f>
        <v/>
      </c>
      <c r="G656" s="84" t="str">
        <f>IFERROR(VLOOKUP($E656,設定!$C:$G,3,0),"")</f>
        <v/>
      </c>
      <c r="H656" s="84" t="str">
        <f>IFERROR(VLOOKUP($E656,設定!$C:$G,4,0),"")</f>
        <v/>
      </c>
      <c r="I656" s="84" t="str">
        <f>IFERROR(VLOOKUP($E656,設定!$C:$G,5,0),"")</f>
        <v/>
      </c>
      <c r="J656" s="117"/>
      <c r="K656" s="85"/>
      <c r="L656" s="86"/>
      <c r="M656" s="86"/>
      <c r="N656" s="86"/>
      <c r="O656" s="86"/>
      <c r="P656" s="86"/>
      <c r="Q656" s="86"/>
      <c r="R656" s="86"/>
      <c r="S656" s="86"/>
      <c r="T656" s="86"/>
      <c r="U656" s="86"/>
      <c r="V656" s="86"/>
      <c r="W656" s="86"/>
      <c r="X656" s="86"/>
      <c r="Y656" s="86"/>
      <c r="Z656" s="86"/>
      <c r="AA656" s="86"/>
      <c r="AB656" s="86"/>
      <c r="AC656" s="86"/>
      <c r="AD656" s="86"/>
      <c r="AE656" s="86"/>
      <c r="AF656" s="86"/>
      <c r="AG656" s="86"/>
      <c r="AH656" s="86"/>
      <c r="AI656" s="86"/>
      <c r="AJ656" s="86"/>
      <c r="AK656" s="86"/>
      <c r="AL656" s="86"/>
      <c r="AM656" s="86"/>
      <c r="AN656" s="86"/>
      <c r="AO656" s="87"/>
      <c r="AP656" s="88">
        <f t="shared" si="10"/>
        <v>0</v>
      </c>
    </row>
    <row r="657" spans="2:42" s="3" customFormat="1" ht="24" customHeight="1" x14ac:dyDescent="0.2">
      <c r="B657" s="80"/>
      <c r="C657" s="81"/>
      <c r="D657" s="82"/>
      <c r="E657" s="83"/>
      <c r="F657" s="84" t="str">
        <f>IFERROR(VLOOKUP($E657,設定!$C:$G,2,0),"")</f>
        <v/>
      </c>
      <c r="G657" s="84" t="str">
        <f>IFERROR(VLOOKUP($E657,設定!$C:$G,3,0),"")</f>
        <v/>
      </c>
      <c r="H657" s="84" t="str">
        <f>IFERROR(VLOOKUP($E657,設定!$C:$G,4,0),"")</f>
        <v/>
      </c>
      <c r="I657" s="84" t="str">
        <f>IFERROR(VLOOKUP($E657,設定!$C:$G,5,0),"")</f>
        <v/>
      </c>
      <c r="J657" s="117"/>
      <c r="K657" s="85"/>
      <c r="L657" s="86"/>
      <c r="M657" s="86"/>
      <c r="N657" s="86"/>
      <c r="O657" s="86"/>
      <c r="P657" s="86"/>
      <c r="Q657" s="86"/>
      <c r="R657" s="86"/>
      <c r="S657" s="86"/>
      <c r="T657" s="86"/>
      <c r="U657" s="86"/>
      <c r="V657" s="86"/>
      <c r="W657" s="86"/>
      <c r="X657" s="86"/>
      <c r="Y657" s="86"/>
      <c r="Z657" s="86"/>
      <c r="AA657" s="86"/>
      <c r="AB657" s="86"/>
      <c r="AC657" s="86"/>
      <c r="AD657" s="86"/>
      <c r="AE657" s="86"/>
      <c r="AF657" s="86"/>
      <c r="AG657" s="86"/>
      <c r="AH657" s="86"/>
      <c r="AI657" s="86"/>
      <c r="AJ657" s="86"/>
      <c r="AK657" s="86"/>
      <c r="AL657" s="86"/>
      <c r="AM657" s="86"/>
      <c r="AN657" s="86"/>
      <c r="AO657" s="87"/>
      <c r="AP657" s="88">
        <f t="shared" si="10"/>
        <v>0</v>
      </c>
    </row>
    <row r="658" spans="2:42" s="3" customFormat="1" ht="24" customHeight="1" x14ac:dyDescent="0.2">
      <c r="B658" s="80"/>
      <c r="C658" s="81"/>
      <c r="D658" s="82"/>
      <c r="E658" s="83"/>
      <c r="F658" s="84" t="str">
        <f>IFERROR(VLOOKUP($E658,設定!$C:$G,2,0),"")</f>
        <v/>
      </c>
      <c r="G658" s="84" t="str">
        <f>IFERROR(VLOOKUP($E658,設定!$C:$G,3,0),"")</f>
        <v/>
      </c>
      <c r="H658" s="84" t="str">
        <f>IFERROR(VLOOKUP($E658,設定!$C:$G,4,0),"")</f>
        <v/>
      </c>
      <c r="I658" s="84" t="str">
        <f>IFERROR(VLOOKUP($E658,設定!$C:$G,5,0),"")</f>
        <v/>
      </c>
      <c r="J658" s="117"/>
      <c r="K658" s="85"/>
      <c r="L658" s="86"/>
      <c r="M658" s="86"/>
      <c r="N658" s="86"/>
      <c r="O658" s="86"/>
      <c r="P658" s="86"/>
      <c r="Q658" s="86"/>
      <c r="R658" s="86"/>
      <c r="S658" s="86"/>
      <c r="T658" s="86"/>
      <c r="U658" s="86"/>
      <c r="V658" s="86"/>
      <c r="W658" s="86"/>
      <c r="X658" s="86"/>
      <c r="Y658" s="86"/>
      <c r="Z658" s="86"/>
      <c r="AA658" s="86"/>
      <c r="AB658" s="86"/>
      <c r="AC658" s="86"/>
      <c r="AD658" s="86"/>
      <c r="AE658" s="86"/>
      <c r="AF658" s="86"/>
      <c r="AG658" s="86"/>
      <c r="AH658" s="86"/>
      <c r="AI658" s="86"/>
      <c r="AJ658" s="86"/>
      <c r="AK658" s="86"/>
      <c r="AL658" s="86"/>
      <c r="AM658" s="86"/>
      <c r="AN658" s="86"/>
      <c r="AO658" s="87"/>
      <c r="AP658" s="88">
        <f t="shared" si="10"/>
        <v>0</v>
      </c>
    </row>
    <row r="659" spans="2:42" s="3" customFormat="1" ht="24" customHeight="1" x14ac:dyDescent="0.2">
      <c r="B659" s="80"/>
      <c r="C659" s="81"/>
      <c r="D659" s="82"/>
      <c r="E659" s="83"/>
      <c r="F659" s="84" t="str">
        <f>IFERROR(VLOOKUP($E659,設定!$C:$G,2,0),"")</f>
        <v/>
      </c>
      <c r="G659" s="84" t="str">
        <f>IFERROR(VLOOKUP($E659,設定!$C:$G,3,0),"")</f>
        <v/>
      </c>
      <c r="H659" s="84" t="str">
        <f>IFERROR(VLOOKUP($E659,設定!$C:$G,4,0),"")</f>
        <v/>
      </c>
      <c r="I659" s="84" t="str">
        <f>IFERROR(VLOOKUP($E659,設定!$C:$G,5,0),"")</f>
        <v/>
      </c>
      <c r="J659" s="117"/>
      <c r="K659" s="85"/>
      <c r="L659" s="86"/>
      <c r="M659" s="86"/>
      <c r="N659" s="86"/>
      <c r="O659" s="86"/>
      <c r="P659" s="86"/>
      <c r="Q659" s="86"/>
      <c r="R659" s="86"/>
      <c r="S659" s="86"/>
      <c r="T659" s="86"/>
      <c r="U659" s="86"/>
      <c r="V659" s="86"/>
      <c r="W659" s="86"/>
      <c r="X659" s="86"/>
      <c r="Y659" s="86"/>
      <c r="Z659" s="86"/>
      <c r="AA659" s="86"/>
      <c r="AB659" s="86"/>
      <c r="AC659" s="86"/>
      <c r="AD659" s="86"/>
      <c r="AE659" s="86"/>
      <c r="AF659" s="86"/>
      <c r="AG659" s="86"/>
      <c r="AH659" s="86"/>
      <c r="AI659" s="86"/>
      <c r="AJ659" s="86"/>
      <c r="AK659" s="86"/>
      <c r="AL659" s="86"/>
      <c r="AM659" s="86"/>
      <c r="AN659" s="86"/>
      <c r="AO659" s="87"/>
      <c r="AP659" s="88">
        <f t="shared" si="10"/>
        <v>0</v>
      </c>
    </row>
    <row r="660" spans="2:42" s="3" customFormat="1" ht="24" customHeight="1" x14ac:dyDescent="0.2">
      <c r="B660" s="80"/>
      <c r="C660" s="81"/>
      <c r="D660" s="82"/>
      <c r="E660" s="83"/>
      <c r="F660" s="84" t="str">
        <f>IFERROR(VLOOKUP($E660,設定!$C:$G,2,0),"")</f>
        <v/>
      </c>
      <c r="G660" s="84" t="str">
        <f>IFERROR(VLOOKUP($E660,設定!$C:$G,3,0),"")</f>
        <v/>
      </c>
      <c r="H660" s="84" t="str">
        <f>IFERROR(VLOOKUP($E660,設定!$C:$G,4,0),"")</f>
        <v/>
      </c>
      <c r="I660" s="84" t="str">
        <f>IFERROR(VLOOKUP($E660,設定!$C:$G,5,0),"")</f>
        <v/>
      </c>
      <c r="J660" s="117"/>
      <c r="K660" s="85"/>
      <c r="L660" s="86"/>
      <c r="M660" s="86"/>
      <c r="N660" s="86"/>
      <c r="O660" s="86"/>
      <c r="P660" s="86"/>
      <c r="Q660" s="86"/>
      <c r="R660" s="86"/>
      <c r="S660" s="86"/>
      <c r="T660" s="86"/>
      <c r="U660" s="86"/>
      <c r="V660" s="86"/>
      <c r="W660" s="86"/>
      <c r="X660" s="86"/>
      <c r="Y660" s="86"/>
      <c r="Z660" s="86"/>
      <c r="AA660" s="86"/>
      <c r="AB660" s="86"/>
      <c r="AC660" s="86"/>
      <c r="AD660" s="86"/>
      <c r="AE660" s="86"/>
      <c r="AF660" s="86"/>
      <c r="AG660" s="86"/>
      <c r="AH660" s="86"/>
      <c r="AI660" s="86"/>
      <c r="AJ660" s="86"/>
      <c r="AK660" s="86"/>
      <c r="AL660" s="86"/>
      <c r="AM660" s="86"/>
      <c r="AN660" s="86"/>
      <c r="AO660" s="87"/>
      <c r="AP660" s="88">
        <f t="shared" si="10"/>
        <v>0</v>
      </c>
    </row>
    <row r="661" spans="2:42" s="3" customFormat="1" ht="24" customHeight="1" x14ac:dyDescent="0.2">
      <c r="B661" s="80"/>
      <c r="C661" s="81"/>
      <c r="D661" s="82"/>
      <c r="E661" s="83"/>
      <c r="F661" s="84" t="str">
        <f>IFERROR(VLOOKUP($E661,設定!$C:$G,2,0),"")</f>
        <v/>
      </c>
      <c r="G661" s="84" t="str">
        <f>IFERROR(VLOOKUP($E661,設定!$C:$G,3,0),"")</f>
        <v/>
      </c>
      <c r="H661" s="84" t="str">
        <f>IFERROR(VLOOKUP($E661,設定!$C:$G,4,0),"")</f>
        <v/>
      </c>
      <c r="I661" s="84" t="str">
        <f>IFERROR(VLOOKUP($E661,設定!$C:$G,5,0),"")</f>
        <v/>
      </c>
      <c r="J661" s="117"/>
      <c r="K661" s="85"/>
      <c r="L661" s="86"/>
      <c r="M661" s="86"/>
      <c r="N661" s="86"/>
      <c r="O661" s="86"/>
      <c r="P661" s="86"/>
      <c r="Q661" s="86"/>
      <c r="R661" s="86"/>
      <c r="S661" s="86"/>
      <c r="T661" s="86"/>
      <c r="U661" s="86"/>
      <c r="V661" s="86"/>
      <c r="W661" s="86"/>
      <c r="X661" s="86"/>
      <c r="Y661" s="86"/>
      <c r="Z661" s="86"/>
      <c r="AA661" s="86"/>
      <c r="AB661" s="86"/>
      <c r="AC661" s="86"/>
      <c r="AD661" s="86"/>
      <c r="AE661" s="86"/>
      <c r="AF661" s="86"/>
      <c r="AG661" s="86"/>
      <c r="AH661" s="86"/>
      <c r="AI661" s="86"/>
      <c r="AJ661" s="86"/>
      <c r="AK661" s="86"/>
      <c r="AL661" s="86"/>
      <c r="AM661" s="86"/>
      <c r="AN661" s="86"/>
      <c r="AO661" s="87"/>
      <c r="AP661" s="88">
        <f t="shared" si="10"/>
        <v>0</v>
      </c>
    </row>
    <row r="662" spans="2:42" s="3" customFormat="1" ht="24" customHeight="1" x14ac:dyDescent="0.2">
      <c r="B662" s="80"/>
      <c r="C662" s="81"/>
      <c r="D662" s="82"/>
      <c r="E662" s="83"/>
      <c r="F662" s="84" t="str">
        <f>IFERROR(VLOOKUP($E662,設定!$C:$G,2,0),"")</f>
        <v/>
      </c>
      <c r="G662" s="84" t="str">
        <f>IFERROR(VLOOKUP($E662,設定!$C:$G,3,0),"")</f>
        <v/>
      </c>
      <c r="H662" s="84" t="str">
        <f>IFERROR(VLOOKUP($E662,設定!$C:$G,4,0),"")</f>
        <v/>
      </c>
      <c r="I662" s="84" t="str">
        <f>IFERROR(VLOOKUP($E662,設定!$C:$G,5,0),"")</f>
        <v/>
      </c>
      <c r="J662" s="117"/>
      <c r="K662" s="85"/>
      <c r="L662" s="86"/>
      <c r="M662" s="86"/>
      <c r="N662" s="86"/>
      <c r="O662" s="86"/>
      <c r="P662" s="86"/>
      <c r="Q662" s="86"/>
      <c r="R662" s="86"/>
      <c r="S662" s="86"/>
      <c r="T662" s="86"/>
      <c r="U662" s="86"/>
      <c r="V662" s="86"/>
      <c r="W662" s="86"/>
      <c r="X662" s="86"/>
      <c r="Y662" s="86"/>
      <c r="Z662" s="86"/>
      <c r="AA662" s="86"/>
      <c r="AB662" s="86"/>
      <c r="AC662" s="86"/>
      <c r="AD662" s="86"/>
      <c r="AE662" s="86"/>
      <c r="AF662" s="86"/>
      <c r="AG662" s="86"/>
      <c r="AH662" s="86"/>
      <c r="AI662" s="86"/>
      <c r="AJ662" s="86"/>
      <c r="AK662" s="86"/>
      <c r="AL662" s="86"/>
      <c r="AM662" s="86"/>
      <c r="AN662" s="86"/>
      <c r="AO662" s="87"/>
      <c r="AP662" s="88">
        <f t="shared" si="10"/>
        <v>0</v>
      </c>
    </row>
    <row r="663" spans="2:42" s="3" customFormat="1" ht="24" customHeight="1" x14ac:dyDescent="0.2">
      <c r="B663" s="80"/>
      <c r="C663" s="81"/>
      <c r="D663" s="82"/>
      <c r="E663" s="83"/>
      <c r="F663" s="84" t="str">
        <f>IFERROR(VLOOKUP($E663,設定!$C:$G,2,0),"")</f>
        <v/>
      </c>
      <c r="G663" s="84" t="str">
        <f>IFERROR(VLOOKUP($E663,設定!$C:$G,3,0),"")</f>
        <v/>
      </c>
      <c r="H663" s="84" t="str">
        <f>IFERROR(VLOOKUP($E663,設定!$C:$G,4,0),"")</f>
        <v/>
      </c>
      <c r="I663" s="84" t="str">
        <f>IFERROR(VLOOKUP($E663,設定!$C:$G,5,0),"")</f>
        <v/>
      </c>
      <c r="J663" s="117"/>
      <c r="K663" s="85"/>
      <c r="L663" s="86"/>
      <c r="M663" s="86"/>
      <c r="N663" s="86"/>
      <c r="O663" s="86"/>
      <c r="P663" s="86"/>
      <c r="Q663" s="86"/>
      <c r="R663" s="86"/>
      <c r="S663" s="86"/>
      <c r="T663" s="86"/>
      <c r="U663" s="86"/>
      <c r="V663" s="86"/>
      <c r="W663" s="86"/>
      <c r="X663" s="86"/>
      <c r="Y663" s="86"/>
      <c r="Z663" s="86"/>
      <c r="AA663" s="86"/>
      <c r="AB663" s="86"/>
      <c r="AC663" s="86"/>
      <c r="AD663" s="86"/>
      <c r="AE663" s="86"/>
      <c r="AF663" s="86"/>
      <c r="AG663" s="86"/>
      <c r="AH663" s="86"/>
      <c r="AI663" s="86"/>
      <c r="AJ663" s="86"/>
      <c r="AK663" s="86"/>
      <c r="AL663" s="86"/>
      <c r="AM663" s="86"/>
      <c r="AN663" s="86"/>
      <c r="AO663" s="87"/>
      <c r="AP663" s="88">
        <f t="shared" si="10"/>
        <v>0</v>
      </c>
    </row>
    <row r="664" spans="2:42" s="3" customFormat="1" ht="24" customHeight="1" x14ac:dyDescent="0.2">
      <c r="B664" s="80"/>
      <c r="C664" s="81"/>
      <c r="D664" s="82"/>
      <c r="E664" s="83"/>
      <c r="F664" s="84" t="str">
        <f>IFERROR(VLOOKUP($E664,設定!$C:$G,2,0),"")</f>
        <v/>
      </c>
      <c r="G664" s="84" t="str">
        <f>IFERROR(VLOOKUP($E664,設定!$C:$G,3,0),"")</f>
        <v/>
      </c>
      <c r="H664" s="84" t="str">
        <f>IFERROR(VLOOKUP($E664,設定!$C:$G,4,0),"")</f>
        <v/>
      </c>
      <c r="I664" s="84" t="str">
        <f>IFERROR(VLOOKUP($E664,設定!$C:$G,5,0),"")</f>
        <v/>
      </c>
      <c r="J664" s="117"/>
      <c r="K664" s="85"/>
      <c r="L664" s="86"/>
      <c r="M664" s="86"/>
      <c r="N664" s="86"/>
      <c r="O664" s="86"/>
      <c r="P664" s="86"/>
      <c r="Q664" s="86"/>
      <c r="R664" s="86"/>
      <c r="S664" s="86"/>
      <c r="T664" s="86"/>
      <c r="U664" s="86"/>
      <c r="V664" s="86"/>
      <c r="W664" s="86"/>
      <c r="X664" s="86"/>
      <c r="Y664" s="86"/>
      <c r="Z664" s="86"/>
      <c r="AA664" s="86"/>
      <c r="AB664" s="86"/>
      <c r="AC664" s="86"/>
      <c r="AD664" s="86"/>
      <c r="AE664" s="86"/>
      <c r="AF664" s="86"/>
      <c r="AG664" s="86"/>
      <c r="AH664" s="86"/>
      <c r="AI664" s="86"/>
      <c r="AJ664" s="86"/>
      <c r="AK664" s="86"/>
      <c r="AL664" s="86"/>
      <c r="AM664" s="86"/>
      <c r="AN664" s="86"/>
      <c r="AO664" s="87"/>
      <c r="AP664" s="88">
        <f t="shared" si="10"/>
        <v>0</v>
      </c>
    </row>
    <row r="665" spans="2:42" s="3" customFormat="1" ht="24" customHeight="1" x14ac:dyDescent="0.2">
      <c r="B665" s="80"/>
      <c r="C665" s="81"/>
      <c r="D665" s="82"/>
      <c r="E665" s="83"/>
      <c r="F665" s="84" t="str">
        <f>IFERROR(VLOOKUP($E665,設定!$C:$G,2,0),"")</f>
        <v/>
      </c>
      <c r="G665" s="84" t="str">
        <f>IFERROR(VLOOKUP($E665,設定!$C:$G,3,0),"")</f>
        <v/>
      </c>
      <c r="H665" s="84" t="str">
        <f>IFERROR(VLOOKUP($E665,設定!$C:$G,4,0),"")</f>
        <v/>
      </c>
      <c r="I665" s="84" t="str">
        <f>IFERROR(VLOOKUP($E665,設定!$C:$G,5,0),"")</f>
        <v/>
      </c>
      <c r="J665" s="117"/>
      <c r="K665" s="85"/>
      <c r="L665" s="86"/>
      <c r="M665" s="86"/>
      <c r="N665" s="86"/>
      <c r="O665" s="86"/>
      <c r="P665" s="86"/>
      <c r="Q665" s="86"/>
      <c r="R665" s="86"/>
      <c r="S665" s="86"/>
      <c r="T665" s="86"/>
      <c r="U665" s="86"/>
      <c r="V665" s="86"/>
      <c r="W665" s="86"/>
      <c r="X665" s="86"/>
      <c r="Y665" s="86"/>
      <c r="Z665" s="86"/>
      <c r="AA665" s="86"/>
      <c r="AB665" s="86"/>
      <c r="AC665" s="86"/>
      <c r="AD665" s="86"/>
      <c r="AE665" s="86"/>
      <c r="AF665" s="86"/>
      <c r="AG665" s="86"/>
      <c r="AH665" s="86"/>
      <c r="AI665" s="86"/>
      <c r="AJ665" s="86"/>
      <c r="AK665" s="86"/>
      <c r="AL665" s="86"/>
      <c r="AM665" s="86"/>
      <c r="AN665" s="86"/>
      <c r="AO665" s="87"/>
      <c r="AP665" s="88">
        <f t="shared" si="10"/>
        <v>0</v>
      </c>
    </row>
    <row r="666" spans="2:42" s="3" customFormat="1" ht="24" customHeight="1" x14ac:dyDescent="0.2">
      <c r="B666" s="80"/>
      <c r="C666" s="81"/>
      <c r="D666" s="82"/>
      <c r="E666" s="83"/>
      <c r="F666" s="84" t="str">
        <f>IFERROR(VLOOKUP($E666,設定!$C:$G,2,0),"")</f>
        <v/>
      </c>
      <c r="G666" s="84" t="str">
        <f>IFERROR(VLOOKUP($E666,設定!$C:$G,3,0),"")</f>
        <v/>
      </c>
      <c r="H666" s="84" t="str">
        <f>IFERROR(VLOOKUP($E666,設定!$C:$G,4,0),"")</f>
        <v/>
      </c>
      <c r="I666" s="84" t="str">
        <f>IFERROR(VLOOKUP($E666,設定!$C:$G,5,0),"")</f>
        <v/>
      </c>
      <c r="J666" s="117"/>
      <c r="K666" s="85"/>
      <c r="L666" s="86"/>
      <c r="M666" s="86"/>
      <c r="N666" s="86"/>
      <c r="O666" s="86"/>
      <c r="P666" s="86"/>
      <c r="Q666" s="86"/>
      <c r="R666" s="86"/>
      <c r="S666" s="86"/>
      <c r="T666" s="86"/>
      <c r="U666" s="86"/>
      <c r="V666" s="86"/>
      <c r="W666" s="86"/>
      <c r="X666" s="86"/>
      <c r="Y666" s="86"/>
      <c r="Z666" s="86"/>
      <c r="AA666" s="86"/>
      <c r="AB666" s="86"/>
      <c r="AC666" s="86"/>
      <c r="AD666" s="86"/>
      <c r="AE666" s="86"/>
      <c r="AF666" s="86"/>
      <c r="AG666" s="86"/>
      <c r="AH666" s="86"/>
      <c r="AI666" s="86"/>
      <c r="AJ666" s="86"/>
      <c r="AK666" s="86"/>
      <c r="AL666" s="86"/>
      <c r="AM666" s="86"/>
      <c r="AN666" s="86"/>
      <c r="AO666" s="87"/>
      <c r="AP666" s="88">
        <f t="shared" si="10"/>
        <v>0</v>
      </c>
    </row>
    <row r="667" spans="2:42" s="3" customFormat="1" ht="24" customHeight="1" x14ac:dyDescent="0.2">
      <c r="B667" s="80"/>
      <c r="C667" s="81"/>
      <c r="D667" s="82"/>
      <c r="E667" s="83"/>
      <c r="F667" s="84" t="str">
        <f>IFERROR(VLOOKUP($E667,設定!$C:$G,2,0),"")</f>
        <v/>
      </c>
      <c r="G667" s="84" t="str">
        <f>IFERROR(VLOOKUP($E667,設定!$C:$G,3,0),"")</f>
        <v/>
      </c>
      <c r="H667" s="84" t="str">
        <f>IFERROR(VLOOKUP($E667,設定!$C:$G,4,0),"")</f>
        <v/>
      </c>
      <c r="I667" s="84" t="str">
        <f>IFERROR(VLOOKUP($E667,設定!$C:$G,5,0),"")</f>
        <v/>
      </c>
      <c r="J667" s="117"/>
      <c r="K667" s="85"/>
      <c r="L667" s="86"/>
      <c r="M667" s="86"/>
      <c r="N667" s="86"/>
      <c r="O667" s="86"/>
      <c r="P667" s="86"/>
      <c r="Q667" s="86"/>
      <c r="R667" s="86"/>
      <c r="S667" s="86"/>
      <c r="T667" s="86"/>
      <c r="U667" s="86"/>
      <c r="V667" s="86"/>
      <c r="W667" s="86"/>
      <c r="X667" s="86"/>
      <c r="Y667" s="86"/>
      <c r="Z667" s="86"/>
      <c r="AA667" s="86"/>
      <c r="AB667" s="86"/>
      <c r="AC667" s="86"/>
      <c r="AD667" s="86"/>
      <c r="AE667" s="86"/>
      <c r="AF667" s="86"/>
      <c r="AG667" s="86"/>
      <c r="AH667" s="86"/>
      <c r="AI667" s="86"/>
      <c r="AJ667" s="86"/>
      <c r="AK667" s="86"/>
      <c r="AL667" s="86"/>
      <c r="AM667" s="86"/>
      <c r="AN667" s="86"/>
      <c r="AO667" s="87"/>
      <c r="AP667" s="88">
        <f t="shared" si="10"/>
        <v>0</v>
      </c>
    </row>
    <row r="668" spans="2:42" s="3" customFormat="1" ht="24" customHeight="1" x14ac:dyDescent="0.2">
      <c r="B668" s="80"/>
      <c r="C668" s="81"/>
      <c r="D668" s="82"/>
      <c r="E668" s="83"/>
      <c r="F668" s="84" t="str">
        <f>IFERROR(VLOOKUP($E668,設定!$C:$G,2,0),"")</f>
        <v/>
      </c>
      <c r="G668" s="84" t="str">
        <f>IFERROR(VLOOKUP($E668,設定!$C:$G,3,0),"")</f>
        <v/>
      </c>
      <c r="H668" s="84" t="str">
        <f>IFERROR(VLOOKUP($E668,設定!$C:$G,4,0),"")</f>
        <v/>
      </c>
      <c r="I668" s="84" t="str">
        <f>IFERROR(VLOOKUP($E668,設定!$C:$G,5,0),"")</f>
        <v/>
      </c>
      <c r="J668" s="117"/>
      <c r="K668" s="85"/>
      <c r="L668" s="86"/>
      <c r="M668" s="86"/>
      <c r="N668" s="86"/>
      <c r="O668" s="86"/>
      <c r="P668" s="86"/>
      <c r="Q668" s="86"/>
      <c r="R668" s="86"/>
      <c r="S668" s="86"/>
      <c r="T668" s="86"/>
      <c r="U668" s="86"/>
      <c r="V668" s="86"/>
      <c r="W668" s="86"/>
      <c r="X668" s="86"/>
      <c r="Y668" s="86"/>
      <c r="Z668" s="86"/>
      <c r="AA668" s="86"/>
      <c r="AB668" s="86"/>
      <c r="AC668" s="86"/>
      <c r="AD668" s="86"/>
      <c r="AE668" s="86"/>
      <c r="AF668" s="86"/>
      <c r="AG668" s="86"/>
      <c r="AH668" s="86"/>
      <c r="AI668" s="86"/>
      <c r="AJ668" s="86"/>
      <c r="AK668" s="86"/>
      <c r="AL668" s="86"/>
      <c r="AM668" s="86"/>
      <c r="AN668" s="86"/>
      <c r="AO668" s="87"/>
      <c r="AP668" s="88">
        <f t="shared" si="10"/>
        <v>0</v>
      </c>
    </row>
    <row r="669" spans="2:42" s="3" customFormat="1" ht="24" customHeight="1" x14ac:dyDescent="0.2">
      <c r="B669" s="80"/>
      <c r="C669" s="81"/>
      <c r="D669" s="82"/>
      <c r="E669" s="83"/>
      <c r="F669" s="84" t="str">
        <f>IFERROR(VLOOKUP($E669,設定!$C:$G,2,0),"")</f>
        <v/>
      </c>
      <c r="G669" s="84" t="str">
        <f>IFERROR(VLOOKUP($E669,設定!$C:$G,3,0),"")</f>
        <v/>
      </c>
      <c r="H669" s="84" t="str">
        <f>IFERROR(VLOOKUP($E669,設定!$C:$G,4,0),"")</f>
        <v/>
      </c>
      <c r="I669" s="84" t="str">
        <f>IFERROR(VLOOKUP($E669,設定!$C:$G,5,0),"")</f>
        <v/>
      </c>
      <c r="J669" s="117"/>
      <c r="K669" s="85"/>
      <c r="L669" s="86"/>
      <c r="M669" s="86"/>
      <c r="N669" s="86"/>
      <c r="O669" s="86"/>
      <c r="P669" s="86"/>
      <c r="Q669" s="86"/>
      <c r="R669" s="86"/>
      <c r="S669" s="86"/>
      <c r="T669" s="86"/>
      <c r="U669" s="86"/>
      <c r="V669" s="86"/>
      <c r="W669" s="86"/>
      <c r="X669" s="86"/>
      <c r="Y669" s="86"/>
      <c r="Z669" s="86"/>
      <c r="AA669" s="86"/>
      <c r="AB669" s="86"/>
      <c r="AC669" s="86"/>
      <c r="AD669" s="86"/>
      <c r="AE669" s="86"/>
      <c r="AF669" s="86"/>
      <c r="AG669" s="86"/>
      <c r="AH669" s="86"/>
      <c r="AI669" s="86"/>
      <c r="AJ669" s="86"/>
      <c r="AK669" s="86"/>
      <c r="AL669" s="86"/>
      <c r="AM669" s="86"/>
      <c r="AN669" s="86"/>
      <c r="AO669" s="87"/>
      <c r="AP669" s="88">
        <f t="shared" si="10"/>
        <v>0</v>
      </c>
    </row>
    <row r="670" spans="2:42" s="3" customFormat="1" ht="24" customHeight="1" x14ac:dyDescent="0.2">
      <c r="B670" s="80"/>
      <c r="C670" s="81"/>
      <c r="D670" s="82"/>
      <c r="E670" s="83"/>
      <c r="F670" s="84" t="str">
        <f>IFERROR(VLOOKUP($E670,設定!$C:$G,2,0),"")</f>
        <v/>
      </c>
      <c r="G670" s="84" t="str">
        <f>IFERROR(VLOOKUP($E670,設定!$C:$G,3,0),"")</f>
        <v/>
      </c>
      <c r="H670" s="84" t="str">
        <f>IFERROR(VLOOKUP($E670,設定!$C:$G,4,0),"")</f>
        <v/>
      </c>
      <c r="I670" s="84" t="str">
        <f>IFERROR(VLOOKUP($E670,設定!$C:$G,5,0),"")</f>
        <v/>
      </c>
      <c r="J670" s="117"/>
      <c r="K670" s="85"/>
      <c r="L670" s="86"/>
      <c r="M670" s="86"/>
      <c r="N670" s="86"/>
      <c r="O670" s="86"/>
      <c r="P670" s="86"/>
      <c r="Q670" s="86"/>
      <c r="R670" s="86"/>
      <c r="S670" s="86"/>
      <c r="T670" s="86"/>
      <c r="U670" s="86"/>
      <c r="V670" s="86"/>
      <c r="W670" s="86"/>
      <c r="X670" s="86"/>
      <c r="Y670" s="86"/>
      <c r="Z670" s="86"/>
      <c r="AA670" s="86"/>
      <c r="AB670" s="86"/>
      <c r="AC670" s="86"/>
      <c r="AD670" s="86"/>
      <c r="AE670" s="86"/>
      <c r="AF670" s="86"/>
      <c r="AG670" s="86"/>
      <c r="AH670" s="86"/>
      <c r="AI670" s="86"/>
      <c r="AJ670" s="86"/>
      <c r="AK670" s="86"/>
      <c r="AL670" s="86"/>
      <c r="AM670" s="86"/>
      <c r="AN670" s="86"/>
      <c r="AO670" s="87"/>
      <c r="AP670" s="88">
        <f t="shared" si="10"/>
        <v>0</v>
      </c>
    </row>
    <row r="671" spans="2:42" s="3" customFormat="1" ht="24" customHeight="1" x14ac:dyDescent="0.2">
      <c r="B671" s="80"/>
      <c r="C671" s="81"/>
      <c r="D671" s="82"/>
      <c r="E671" s="83"/>
      <c r="F671" s="84" t="str">
        <f>IFERROR(VLOOKUP($E671,設定!$C:$G,2,0),"")</f>
        <v/>
      </c>
      <c r="G671" s="84" t="str">
        <f>IFERROR(VLOOKUP($E671,設定!$C:$G,3,0),"")</f>
        <v/>
      </c>
      <c r="H671" s="84" t="str">
        <f>IFERROR(VLOOKUP($E671,設定!$C:$G,4,0),"")</f>
        <v/>
      </c>
      <c r="I671" s="84" t="str">
        <f>IFERROR(VLOOKUP($E671,設定!$C:$G,5,0),"")</f>
        <v/>
      </c>
      <c r="J671" s="117"/>
      <c r="K671" s="85"/>
      <c r="L671" s="86"/>
      <c r="M671" s="86"/>
      <c r="N671" s="86"/>
      <c r="O671" s="86"/>
      <c r="P671" s="86"/>
      <c r="Q671" s="86"/>
      <c r="R671" s="86"/>
      <c r="S671" s="86"/>
      <c r="T671" s="86"/>
      <c r="U671" s="86"/>
      <c r="V671" s="86"/>
      <c r="W671" s="86"/>
      <c r="X671" s="86"/>
      <c r="Y671" s="86"/>
      <c r="Z671" s="86"/>
      <c r="AA671" s="86"/>
      <c r="AB671" s="86"/>
      <c r="AC671" s="86"/>
      <c r="AD671" s="86"/>
      <c r="AE671" s="86"/>
      <c r="AF671" s="86"/>
      <c r="AG671" s="86"/>
      <c r="AH671" s="86"/>
      <c r="AI671" s="86"/>
      <c r="AJ671" s="86"/>
      <c r="AK671" s="86"/>
      <c r="AL671" s="86"/>
      <c r="AM671" s="86"/>
      <c r="AN671" s="86"/>
      <c r="AO671" s="87"/>
      <c r="AP671" s="88">
        <f t="shared" si="10"/>
        <v>0</v>
      </c>
    </row>
    <row r="672" spans="2:42" s="3" customFormat="1" ht="24" customHeight="1" x14ac:dyDescent="0.2">
      <c r="B672" s="80"/>
      <c r="C672" s="81"/>
      <c r="D672" s="82"/>
      <c r="E672" s="83"/>
      <c r="F672" s="84" t="str">
        <f>IFERROR(VLOOKUP($E672,設定!$C:$G,2,0),"")</f>
        <v/>
      </c>
      <c r="G672" s="84" t="str">
        <f>IFERROR(VLOOKUP($E672,設定!$C:$G,3,0),"")</f>
        <v/>
      </c>
      <c r="H672" s="84" t="str">
        <f>IFERROR(VLOOKUP($E672,設定!$C:$G,4,0),"")</f>
        <v/>
      </c>
      <c r="I672" s="84" t="str">
        <f>IFERROR(VLOOKUP($E672,設定!$C:$G,5,0),"")</f>
        <v/>
      </c>
      <c r="J672" s="117"/>
      <c r="K672" s="85"/>
      <c r="L672" s="86"/>
      <c r="M672" s="86"/>
      <c r="N672" s="86"/>
      <c r="O672" s="86"/>
      <c r="P672" s="86"/>
      <c r="Q672" s="86"/>
      <c r="R672" s="86"/>
      <c r="S672" s="86"/>
      <c r="T672" s="86"/>
      <c r="U672" s="86"/>
      <c r="V672" s="86"/>
      <c r="W672" s="86"/>
      <c r="X672" s="86"/>
      <c r="Y672" s="86"/>
      <c r="Z672" s="86"/>
      <c r="AA672" s="86"/>
      <c r="AB672" s="86"/>
      <c r="AC672" s="86"/>
      <c r="AD672" s="86"/>
      <c r="AE672" s="86"/>
      <c r="AF672" s="86"/>
      <c r="AG672" s="86"/>
      <c r="AH672" s="86"/>
      <c r="AI672" s="86"/>
      <c r="AJ672" s="86"/>
      <c r="AK672" s="86"/>
      <c r="AL672" s="86"/>
      <c r="AM672" s="86"/>
      <c r="AN672" s="86"/>
      <c r="AO672" s="87"/>
      <c r="AP672" s="88">
        <f t="shared" si="10"/>
        <v>0</v>
      </c>
    </row>
    <row r="673" spans="2:42" s="3" customFormat="1" ht="24" customHeight="1" x14ac:dyDescent="0.2">
      <c r="B673" s="80"/>
      <c r="C673" s="81"/>
      <c r="D673" s="82"/>
      <c r="E673" s="83"/>
      <c r="F673" s="84" t="str">
        <f>IFERROR(VLOOKUP($E673,設定!$C:$G,2,0),"")</f>
        <v/>
      </c>
      <c r="G673" s="84" t="str">
        <f>IFERROR(VLOOKUP($E673,設定!$C:$G,3,0),"")</f>
        <v/>
      </c>
      <c r="H673" s="84" t="str">
        <f>IFERROR(VLOOKUP($E673,設定!$C:$G,4,0),"")</f>
        <v/>
      </c>
      <c r="I673" s="84" t="str">
        <f>IFERROR(VLOOKUP($E673,設定!$C:$G,5,0),"")</f>
        <v/>
      </c>
      <c r="J673" s="117"/>
      <c r="K673" s="85"/>
      <c r="L673" s="86"/>
      <c r="M673" s="86"/>
      <c r="N673" s="86"/>
      <c r="O673" s="86"/>
      <c r="P673" s="86"/>
      <c r="Q673" s="86"/>
      <c r="R673" s="86"/>
      <c r="S673" s="86"/>
      <c r="T673" s="86"/>
      <c r="U673" s="86"/>
      <c r="V673" s="86"/>
      <c r="W673" s="86"/>
      <c r="X673" s="86"/>
      <c r="Y673" s="86"/>
      <c r="Z673" s="86"/>
      <c r="AA673" s="86"/>
      <c r="AB673" s="86"/>
      <c r="AC673" s="86"/>
      <c r="AD673" s="86"/>
      <c r="AE673" s="86"/>
      <c r="AF673" s="86"/>
      <c r="AG673" s="86"/>
      <c r="AH673" s="86"/>
      <c r="AI673" s="86"/>
      <c r="AJ673" s="86"/>
      <c r="AK673" s="86"/>
      <c r="AL673" s="86"/>
      <c r="AM673" s="86"/>
      <c r="AN673" s="86"/>
      <c r="AO673" s="87"/>
      <c r="AP673" s="88">
        <f t="shared" si="10"/>
        <v>0</v>
      </c>
    </row>
    <row r="674" spans="2:42" s="3" customFormat="1" ht="24" customHeight="1" x14ac:dyDescent="0.2">
      <c r="B674" s="80"/>
      <c r="C674" s="81"/>
      <c r="D674" s="82"/>
      <c r="E674" s="83"/>
      <c r="F674" s="84" t="str">
        <f>IFERROR(VLOOKUP($E674,設定!$C:$G,2,0),"")</f>
        <v/>
      </c>
      <c r="G674" s="84" t="str">
        <f>IFERROR(VLOOKUP($E674,設定!$C:$G,3,0),"")</f>
        <v/>
      </c>
      <c r="H674" s="84" t="str">
        <f>IFERROR(VLOOKUP($E674,設定!$C:$G,4,0),"")</f>
        <v/>
      </c>
      <c r="I674" s="84" t="str">
        <f>IFERROR(VLOOKUP($E674,設定!$C:$G,5,0),"")</f>
        <v/>
      </c>
      <c r="J674" s="117"/>
      <c r="K674" s="85"/>
      <c r="L674" s="86"/>
      <c r="M674" s="86"/>
      <c r="N674" s="86"/>
      <c r="O674" s="86"/>
      <c r="P674" s="86"/>
      <c r="Q674" s="86"/>
      <c r="R674" s="86"/>
      <c r="S674" s="86"/>
      <c r="T674" s="86"/>
      <c r="U674" s="86"/>
      <c r="V674" s="86"/>
      <c r="W674" s="86"/>
      <c r="X674" s="86"/>
      <c r="Y674" s="86"/>
      <c r="Z674" s="86"/>
      <c r="AA674" s="86"/>
      <c r="AB674" s="86"/>
      <c r="AC674" s="86"/>
      <c r="AD674" s="86"/>
      <c r="AE674" s="86"/>
      <c r="AF674" s="86"/>
      <c r="AG674" s="86"/>
      <c r="AH674" s="86"/>
      <c r="AI674" s="86"/>
      <c r="AJ674" s="86"/>
      <c r="AK674" s="86"/>
      <c r="AL674" s="86"/>
      <c r="AM674" s="86"/>
      <c r="AN674" s="86"/>
      <c r="AO674" s="87"/>
      <c r="AP674" s="88">
        <f t="shared" si="10"/>
        <v>0</v>
      </c>
    </row>
    <row r="675" spans="2:42" s="3" customFormat="1" ht="24" customHeight="1" x14ac:dyDescent="0.2">
      <c r="B675" s="80"/>
      <c r="C675" s="81"/>
      <c r="D675" s="82"/>
      <c r="E675" s="83"/>
      <c r="F675" s="84" t="str">
        <f>IFERROR(VLOOKUP($E675,設定!$C:$G,2,0),"")</f>
        <v/>
      </c>
      <c r="G675" s="84" t="str">
        <f>IFERROR(VLOOKUP($E675,設定!$C:$G,3,0),"")</f>
        <v/>
      </c>
      <c r="H675" s="84" t="str">
        <f>IFERROR(VLOOKUP($E675,設定!$C:$G,4,0),"")</f>
        <v/>
      </c>
      <c r="I675" s="84" t="str">
        <f>IFERROR(VLOOKUP($E675,設定!$C:$G,5,0),"")</f>
        <v/>
      </c>
      <c r="J675" s="117"/>
      <c r="K675" s="85"/>
      <c r="L675" s="86"/>
      <c r="M675" s="86"/>
      <c r="N675" s="86"/>
      <c r="O675" s="86"/>
      <c r="P675" s="86"/>
      <c r="Q675" s="86"/>
      <c r="R675" s="86"/>
      <c r="S675" s="86"/>
      <c r="T675" s="86"/>
      <c r="U675" s="86"/>
      <c r="V675" s="86"/>
      <c r="W675" s="86"/>
      <c r="X675" s="86"/>
      <c r="Y675" s="86"/>
      <c r="Z675" s="86"/>
      <c r="AA675" s="86"/>
      <c r="AB675" s="86"/>
      <c r="AC675" s="86"/>
      <c r="AD675" s="86"/>
      <c r="AE675" s="86"/>
      <c r="AF675" s="86"/>
      <c r="AG675" s="86"/>
      <c r="AH675" s="86"/>
      <c r="AI675" s="86"/>
      <c r="AJ675" s="86"/>
      <c r="AK675" s="86"/>
      <c r="AL675" s="86"/>
      <c r="AM675" s="86"/>
      <c r="AN675" s="86"/>
      <c r="AO675" s="87"/>
      <c r="AP675" s="88">
        <f t="shared" si="10"/>
        <v>0</v>
      </c>
    </row>
    <row r="676" spans="2:42" s="3" customFormat="1" ht="24" customHeight="1" x14ac:dyDescent="0.2">
      <c r="B676" s="80"/>
      <c r="C676" s="81"/>
      <c r="D676" s="82"/>
      <c r="E676" s="83"/>
      <c r="F676" s="84" t="str">
        <f>IFERROR(VLOOKUP($E676,設定!$C:$G,2,0),"")</f>
        <v/>
      </c>
      <c r="G676" s="84" t="str">
        <f>IFERROR(VLOOKUP($E676,設定!$C:$G,3,0),"")</f>
        <v/>
      </c>
      <c r="H676" s="84" t="str">
        <f>IFERROR(VLOOKUP($E676,設定!$C:$G,4,0),"")</f>
        <v/>
      </c>
      <c r="I676" s="84" t="str">
        <f>IFERROR(VLOOKUP($E676,設定!$C:$G,5,0),"")</f>
        <v/>
      </c>
      <c r="J676" s="117"/>
      <c r="K676" s="85"/>
      <c r="L676" s="86"/>
      <c r="M676" s="86"/>
      <c r="N676" s="86"/>
      <c r="O676" s="86"/>
      <c r="P676" s="86"/>
      <c r="Q676" s="86"/>
      <c r="R676" s="86"/>
      <c r="S676" s="86"/>
      <c r="T676" s="86"/>
      <c r="U676" s="86"/>
      <c r="V676" s="86"/>
      <c r="W676" s="86"/>
      <c r="X676" s="86"/>
      <c r="Y676" s="86"/>
      <c r="Z676" s="86"/>
      <c r="AA676" s="86"/>
      <c r="AB676" s="86"/>
      <c r="AC676" s="86"/>
      <c r="AD676" s="86"/>
      <c r="AE676" s="86"/>
      <c r="AF676" s="86"/>
      <c r="AG676" s="86"/>
      <c r="AH676" s="86"/>
      <c r="AI676" s="86"/>
      <c r="AJ676" s="86"/>
      <c r="AK676" s="86"/>
      <c r="AL676" s="86"/>
      <c r="AM676" s="86"/>
      <c r="AN676" s="86"/>
      <c r="AO676" s="87"/>
      <c r="AP676" s="88">
        <f t="shared" si="10"/>
        <v>0</v>
      </c>
    </row>
    <row r="677" spans="2:42" s="3" customFormat="1" ht="24" customHeight="1" x14ac:dyDescent="0.2">
      <c r="B677" s="80"/>
      <c r="C677" s="81"/>
      <c r="D677" s="82"/>
      <c r="E677" s="83"/>
      <c r="F677" s="84" t="str">
        <f>IFERROR(VLOOKUP($E677,設定!$C:$G,2,0),"")</f>
        <v/>
      </c>
      <c r="G677" s="84" t="str">
        <f>IFERROR(VLOOKUP($E677,設定!$C:$G,3,0),"")</f>
        <v/>
      </c>
      <c r="H677" s="84" t="str">
        <f>IFERROR(VLOOKUP($E677,設定!$C:$G,4,0),"")</f>
        <v/>
      </c>
      <c r="I677" s="84" t="str">
        <f>IFERROR(VLOOKUP($E677,設定!$C:$G,5,0),"")</f>
        <v/>
      </c>
      <c r="J677" s="117"/>
      <c r="K677" s="85"/>
      <c r="L677" s="86"/>
      <c r="M677" s="86"/>
      <c r="N677" s="86"/>
      <c r="O677" s="86"/>
      <c r="P677" s="86"/>
      <c r="Q677" s="86"/>
      <c r="R677" s="86"/>
      <c r="S677" s="86"/>
      <c r="T677" s="86"/>
      <c r="U677" s="86"/>
      <c r="V677" s="86"/>
      <c r="W677" s="86"/>
      <c r="X677" s="86"/>
      <c r="Y677" s="86"/>
      <c r="Z677" s="86"/>
      <c r="AA677" s="86"/>
      <c r="AB677" s="86"/>
      <c r="AC677" s="86"/>
      <c r="AD677" s="86"/>
      <c r="AE677" s="86"/>
      <c r="AF677" s="86"/>
      <c r="AG677" s="86"/>
      <c r="AH677" s="86"/>
      <c r="AI677" s="86"/>
      <c r="AJ677" s="86"/>
      <c r="AK677" s="86"/>
      <c r="AL677" s="86"/>
      <c r="AM677" s="86"/>
      <c r="AN677" s="86"/>
      <c r="AO677" s="87"/>
      <c r="AP677" s="88">
        <f t="shared" si="10"/>
        <v>0</v>
      </c>
    </row>
    <row r="678" spans="2:42" s="3" customFormat="1" ht="24" customHeight="1" x14ac:dyDescent="0.2">
      <c r="B678" s="80"/>
      <c r="C678" s="81"/>
      <c r="D678" s="82"/>
      <c r="E678" s="83"/>
      <c r="F678" s="84" t="str">
        <f>IFERROR(VLOOKUP($E678,設定!$C:$G,2,0),"")</f>
        <v/>
      </c>
      <c r="G678" s="84" t="str">
        <f>IFERROR(VLOOKUP($E678,設定!$C:$G,3,0),"")</f>
        <v/>
      </c>
      <c r="H678" s="84" t="str">
        <f>IFERROR(VLOOKUP($E678,設定!$C:$G,4,0),"")</f>
        <v/>
      </c>
      <c r="I678" s="84" t="str">
        <f>IFERROR(VLOOKUP($E678,設定!$C:$G,5,0),"")</f>
        <v/>
      </c>
      <c r="J678" s="117"/>
      <c r="K678" s="85"/>
      <c r="L678" s="86"/>
      <c r="M678" s="86"/>
      <c r="N678" s="86"/>
      <c r="O678" s="86"/>
      <c r="P678" s="86"/>
      <c r="Q678" s="86"/>
      <c r="R678" s="86"/>
      <c r="S678" s="86"/>
      <c r="T678" s="86"/>
      <c r="U678" s="86"/>
      <c r="V678" s="86"/>
      <c r="W678" s="86"/>
      <c r="X678" s="86"/>
      <c r="Y678" s="86"/>
      <c r="Z678" s="86"/>
      <c r="AA678" s="86"/>
      <c r="AB678" s="86"/>
      <c r="AC678" s="86"/>
      <c r="AD678" s="86"/>
      <c r="AE678" s="86"/>
      <c r="AF678" s="86"/>
      <c r="AG678" s="86"/>
      <c r="AH678" s="86"/>
      <c r="AI678" s="86"/>
      <c r="AJ678" s="86"/>
      <c r="AK678" s="86"/>
      <c r="AL678" s="86"/>
      <c r="AM678" s="86"/>
      <c r="AN678" s="86"/>
      <c r="AO678" s="87"/>
      <c r="AP678" s="88">
        <f t="shared" si="10"/>
        <v>0</v>
      </c>
    </row>
    <row r="679" spans="2:42" s="3" customFormat="1" ht="24" customHeight="1" x14ac:dyDescent="0.2">
      <c r="B679" s="80"/>
      <c r="C679" s="81"/>
      <c r="D679" s="82"/>
      <c r="E679" s="83"/>
      <c r="F679" s="84" t="str">
        <f>IFERROR(VLOOKUP($E679,設定!$C:$G,2,0),"")</f>
        <v/>
      </c>
      <c r="G679" s="84" t="str">
        <f>IFERROR(VLOOKUP($E679,設定!$C:$G,3,0),"")</f>
        <v/>
      </c>
      <c r="H679" s="84" t="str">
        <f>IFERROR(VLOOKUP($E679,設定!$C:$G,4,0),"")</f>
        <v/>
      </c>
      <c r="I679" s="84" t="str">
        <f>IFERROR(VLOOKUP($E679,設定!$C:$G,5,0),"")</f>
        <v/>
      </c>
      <c r="J679" s="117"/>
      <c r="K679" s="85"/>
      <c r="L679" s="86"/>
      <c r="M679" s="86"/>
      <c r="N679" s="86"/>
      <c r="O679" s="86"/>
      <c r="P679" s="86"/>
      <c r="Q679" s="86"/>
      <c r="R679" s="86"/>
      <c r="S679" s="86"/>
      <c r="T679" s="86"/>
      <c r="U679" s="86"/>
      <c r="V679" s="86"/>
      <c r="W679" s="86"/>
      <c r="X679" s="86"/>
      <c r="Y679" s="86"/>
      <c r="Z679" s="86"/>
      <c r="AA679" s="86"/>
      <c r="AB679" s="86"/>
      <c r="AC679" s="86"/>
      <c r="AD679" s="86"/>
      <c r="AE679" s="86"/>
      <c r="AF679" s="86"/>
      <c r="AG679" s="86"/>
      <c r="AH679" s="86"/>
      <c r="AI679" s="86"/>
      <c r="AJ679" s="86"/>
      <c r="AK679" s="86"/>
      <c r="AL679" s="86"/>
      <c r="AM679" s="86"/>
      <c r="AN679" s="86"/>
      <c r="AO679" s="87"/>
      <c r="AP679" s="88">
        <f t="shared" si="10"/>
        <v>0</v>
      </c>
    </row>
    <row r="680" spans="2:42" s="3" customFormat="1" ht="24" customHeight="1" x14ac:dyDescent="0.2">
      <c r="B680" s="80"/>
      <c r="C680" s="81"/>
      <c r="D680" s="82"/>
      <c r="E680" s="83"/>
      <c r="F680" s="84" t="str">
        <f>IFERROR(VLOOKUP($E680,設定!$C:$G,2,0),"")</f>
        <v/>
      </c>
      <c r="G680" s="84" t="str">
        <f>IFERROR(VLOOKUP($E680,設定!$C:$G,3,0),"")</f>
        <v/>
      </c>
      <c r="H680" s="84" t="str">
        <f>IFERROR(VLOOKUP($E680,設定!$C:$G,4,0),"")</f>
        <v/>
      </c>
      <c r="I680" s="84" t="str">
        <f>IFERROR(VLOOKUP($E680,設定!$C:$G,5,0),"")</f>
        <v/>
      </c>
      <c r="J680" s="117"/>
      <c r="K680" s="85"/>
      <c r="L680" s="86"/>
      <c r="M680" s="86"/>
      <c r="N680" s="86"/>
      <c r="O680" s="86"/>
      <c r="P680" s="86"/>
      <c r="Q680" s="86"/>
      <c r="R680" s="86"/>
      <c r="S680" s="86"/>
      <c r="T680" s="86"/>
      <c r="U680" s="86"/>
      <c r="V680" s="86"/>
      <c r="W680" s="86"/>
      <c r="X680" s="86"/>
      <c r="Y680" s="86"/>
      <c r="Z680" s="86"/>
      <c r="AA680" s="86"/>
      <c r="AB680" s="86"/>
      <c r="AC680" s="86"/>
      <c r="AD680" s="86"/>
      <c r="AE680" s="86"/>
      <c r="AF680" s="86"/>
      <c r="AG680" s="86"/>
      <c r="AH680" s="86"/>
      <c r="AI680" s="86"/>
      <c r="AJ680" s="86"/>
      <c r="AK680" s="86"/>
      <c r="AL680" s="86"/>
      <c r="AM680" s="86"/>
      <c r="AN680" s="86"/>
      <c r="AO680" s="87"/>
      <c r="AP680" s="88">
        <f t="shared" si="10"/>
        <v>0</v>
      </c>
    </row>
    <row r="681" spans="2:42" s="3" customFormat="1" ht="24" customHeight="1" thickBot="1" x14ac:dyDescent="0.25">
      <c r="B681" s="89"/>
      <c r="C681" s="90"/>
      <c r="D681" s="91"/>
      <c r="E681" s="90"/>
      <c r="F681" s="92" t="str">
        <f>IFERROR(VLOOKUP($E681,設定!$C:$G,2,0),"")</f>
        <v/>
      </c>
      <c r="G681" s="92" t="str">
        <f>IFERROR(VLOOKUP($E681,設定!$C:$G,3,0),"")</f>
        <v/>
      </c>
      <c r="H681" s="92" t="str">
        <f>IFERROR(VLOOKUP($E681,設定!$C:$G,4,0),"")</f>
        <v/>
      </c>
      <c r="I681" s="92" t="str">
        <f>IFERROR(VLOOKUP($E681,設定!$C:$G,5,0),"")</f>
        <v/>
      </c>
      <c r="J681" s="118"/>
      <c r="K681" s="93"/>
      <c r="L681" s="94"/>
      <c r="M681" s="94"/>
      <c r="N681" s="94"/>
      <c r="O681" s="94"/>
      <c r="P681" s="94"/>
      <c r="Q681" s="94"/>
      <c r="R681" s="94"/>
      <c r="S681" s="94"/>
      <c r="T681" s="94"/>
      <c r="U681" s="94"/>
      <c r="V681" s="94"/>
      <c r="W681" s="94"/>
      <c r="X681" s="94"/>
      <c r="Y681" s="94"/>
      <c r="Z681" s="94"/>
      <c r="AA681" s="94"/>
      <c r="AB681" s="94"/>
      <c r="AC681" s="94"/>
      <c r="AD681" s="94"/>
      <c r="AE681" s="94"/>
      <c r="AF681" s="94"/>
      <c r="AG681" s="94"/>
      <c r="AH681" s="94"/>
      <c r="AI681" s="94"/>
      <c r="AJ681" s="94"/>
      <c r="AK681" s="94"/>
      <c r="AL681" s="94"/>
      <c r="AM681" s="94"/>
      <c r="AN681" s="94"/>
      <c r="AO681" s="95"/>
      <c r="AP681" s="96">
        <f t="shared" si="10"/>
        <v>0</v>
      </c>
    </row>
  </sheetData>
  <mergeCells count="14">
    <mergeCell ref="H5:H6"/>
    <mergeCell ref="AP5:AP6"/>
    <mergeCell ref="I5:I6"/>
    <mergeCell ref="B1:AP1"/>
    <mergeCell ref="B2:D2"/>
    <mergeCell ref="B3:D3"/>
    <mergeCell ref="B5:B6"/>
    <mergeCell ref="C5:C6"/>
    <mergeCell ref="D5:D6"/>
    <mergeCell ref="E5:E6"/>
    <mergeCell ref="F5:F6"/>
    <mergeCell ref="G5:G6"/>
    <mergeCell ref="K5:AO5"/>
    <mergeCell ref="J5:J6"/>
  </mergeCells>
  <phoneticPr fontId="2"/>
  <pageMargins left="0.19685039370078741" right="0.19685039370078741" top="0.31496062992125984" bottom="0.19685039370078741" header="0" footer="0.27559055118110237"/>
  <pageSetup paperSize="9" orientation="landscape" r:id="rId1"/>
  <headerFooter alignWithMargins="0"/>
  <legacy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C34D6FC-BFC1-439E-9B9E-D2CF3247D842}">
          <x14:formula1>
            <xm:f>'リスト '!$A$2:$A$6</xm:f>
          </x14:formula1>
          <xm:sqref>D7:D681</xm:sqref>
        </x14:dataValidation>
        <x14:dataValidation type="list" allowBlank="1" showInputMessage="1" showErrorMessage="1" xr:uid="{EA5B13BA-9703-4564-81C9-F29CABF16B7D}">
          <x14:formula1>
            <xm:f>設定!$C$9:$C$108</xm:f>
          </x14:formula1>
          <xm:sqref>E7:E681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0B8F8C-EC77-4663-A73F-429481F18996}">
  <dimension ref="A1:AR44"/>
  <sheetViews>
    <sheetView showGridLines="0" view="pageBreakPreview" zoomScaleNormal="100" zoomScaleSheetLayoutView="100" workbookViewId="0"/>
  </sheetViews>
  <sheetFormatPr defaultColWidth="2.109375" defaultRowHeight="13.2" x14ac:dyDescent="0.2"/>
  <cols>
    <col min="1" max="44" width="2.109375" style="28"/>
  </cols>
  <sheetData>
    <row r="1" spans="1:44" ht="16.2" customHeight="1" x14ac:dyDescent="0.2">
      <c r="A1" s="43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  <c r="AR1" s="107"/>
    </row>
    <row r="2" spans="1:44" ht="16.2" x14ac:dyDescent="0.2">
      <c r="A2" s="113" t="s">
        <v>16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8"/>
      <c r="AH2" s="107"/>
      <c r="AI2" s="107"/>
      <c r="AJ2" s="107"/>
      <c r="AK2" s="107"/>
      <c r="AL2" s="107"/>
      <c r="AM2" s="107"/>
      <c r="AN2" s="107"/>
      <c r="AO2" s="107"/>
      <c r="AP2" s="107"/>
      <c r="AQ2" s="107"/>
      <c r="AR2" s="107"/>
    </row>
    <row r="3" spans="1:44" x14ac:dyDescent="0.2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</row>
    <row r="4" spans="1:44" ht="14.4" x14ac:dyDescent="0.2">
      <c r="A4" s="107"/>
      <c r="B4" s="112" t="s">
        <v>89</v>
      </c>
      <c r="C4" s="110"/>
      <c r="D4" s="110"/>
      <c r="E4" s="110"/>
      <c r="F4" s="110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  <c r="AR4" s="110"/>
    </row>
    <row r="5" spans="1:44" ht="13.5" customHeight="1" x14ac:dyDescent="0.2">
      <c r="A5" s="107"/>
      <c r="B5" s="110"/>
      <c r="C5" s="116" t="s">
        <v>64</v>
      </c>
      <c r="D5" s="116"/>
      <c r="E5" s="116"/>
      <c r="F5" s="116"/>
      <c r="G5" s="116"/>
      <c r="H5" s="116"/>
      <c r="I5" s="116"/>
      <c r="J5" s="116"/>
      <c r="K5" s="116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116"/>
      <c r="Z5" s="116"/>
      <c r="AA5" s="116"/>
      <c r="AB5" s="116"/>
      <c r="AC5" s="116"/>
      <c r="AD5" s="116"/>
      <c r="AE5" s="116"/>
      <c r="AF5" s="116"/>
      <c r="AG5" s="116"/>
      <c r="AH5" s="116"/>
      <c r="AI5" s="116"/>
      <c r="AJ5" s="116"/>
      <c r="AK5" s="116"/>
      <c r="AL5" s="116"/>
      <c r="AM5" s="116"/>
      <c r="AN5" s="116"/>
      <c r="AO5" s="116"/>
      <c r="AP5" s="116"/>
      <c r="AQ5" s="116"/>
      <c r="AR5" s="111"/>
    </row>
    <row r="6" spans="1:44" x14ac:dyDescent="0.2">
      <c r="A6" s="107"/>
      <c r="B6" s="110"/>
      <c r="C6" s="116"/>
      <c r="D6" s="116"/>
      <c r="E6" s="116"/>
      <c r="F6" s="116"/>
      <c r="G6" s="116"/>
      <c r="H6" s="116"/>
      <c r="I6" s="116"/>
      <c r="J6" s="116"/>
      <c r="K6" s="116"/>
      <c r="L6" s="116"/>
      <c r="M6" s="116"/>
      <c r="N6" s="116"/>
      <c r="O6" s="116"/>
      <c r="P6" s="116"/>
      <c r="Q6" s="116"/>
      <c r="R6" s="116"/>
      <c r="S6" s="116"/>
      <c r="T6" s="116"/>
      <c r="U6" s="116"/>
      <c r="V6" s="116"/>
      <c r="W6" s="116"/>
      <c r="X6" s="116"/>
      <c r="Y6" s="116"/>
      <c r="Z6" s="116"/>
      <c r="AA6" s="116"/>
      <c r="AB6" s="116"/>
      <c r="AC6" s="116"/>
      <c r="AD6" s="116"/>
      <c r="AE6" s="116"/>
      <c r="AF6" s="116"/>
      <c r="AG6" s="116"/>
      <c r="AH6" s="116"/>
      <c r="AI6" s="116"/>
      <c r="AJ6" s="116"/>
      <c r="AK6" s="116"/>
      <c r="AL6" s="116"/>
      <c r="AM6" s="116"/>
      <c r="AN6" s="116"/>
      <c r="AO6" s="116"/>
      <c r="AP6" s="116"/>
      <c r="AQ6" s="116"/>
      <c r="AR6" s="111"/>
    </row>
    <row r="7" spans="1:44" ht="15" thickBot="1" x14ac:dyDescent="0.25">
      <c r="B7" s="30" t="s">
        <v>17</v>
      </c>
      <c r="C7" s="31"/>
      <c r="D7" s="31"/>
      <c r="E7" s="31"/>
      <c r="F7" s="31"/>
      <c r="G7" s="31"/>
      <c r="H7" s="31"/>
      <c r="I7" s="31"/>
      <c r="J7" s="31"/>
      <c r="K7" s="31"/>
      <c r="L7" s="31"/>
      <c r="M7" s="31"/>
      <c r="N7" s="32"/>
      <c r="O7" s="32"/>
      <c r="P7" s="32"/>
      <c r="Q7" s="32"/>
      <c r="R7" s="32"/>
      <c r="S7" s="32"/>
      <c r="AA7" s="33"/>
    </row>
    <row r="8" spans="1:44" ht="13.2" customHeight="1" x14ac:dyDescent="0.2">
      <c r="B8" s="222" t="s">
        <v>18</v>
      </c>
      <c r="C8" s="223"/>
      <c r="D8" s="223"/>
      <c r="E8" s="223"/>
      <c r="F8" s="223"/>
      <c r="G8" s="223"/>
      <c r="H8" s="223"/>
      <c r="I8" s="223"/>
      <c r="J8" s="223"/>
      <c r="K8" s="223"/>
      <c r="L8" s="223"/>
      <c r="M8" s="223"/>
      <c r="N8" s="223"/>
      <c r="O8" s="223"/>
      <c r="P8" s="226" t="s">
        <v>19</v>
      </c>
      <c r="Q8" s="227"/>
      <c r="R8" s="227"/>
      <c r="S8" s="227"/>
      <c r="T8" s="227"/>
      <c r="U8" s="227"/>
      <c r="V8" s="182" t="s">
        <v>20</v>
      </c>
      <c r="W8" s="183"/>
      <c r="X8" s="183"/>
      <c r="Y8" s="183"/>
      <c r="Z8" s="183"/>
      <c r="AA8" s="184"/>
    </row>
    <row r="9" spans="1:44" ht="13.8" thickBot="1" x14ac:dyDescent="0.25">
      <c r="B9" s="224"/>
      <c r="C9" s="225"/>
      <c r="D9" s="225"/>
      <c r="E9" s="225"/>
      <c r="F9" s="225"/>
      <c r="G9" s="225"/>
      <c r="H9" s="225"/>
      <c r="I9" s="225"/>
      <c r="J9" s="225"/>
      <c r="K9" s="225"/>
      <c r="L9" s="225"/>
      <c r="M9" s="225"/>
      <c r="N9" s="225"/>
      <c r="O9" s="225"/>
      <c r="P9" s="228"/>
      <c r="Q9" s="228"/>
      <c r="R9" s="228"/>
      <c r="S9" s="228"/>
      <c r="T9" s="228"/>
      <c r="U9" s="228"/>
      <c r="V9" s="185"/>
      <c r="W9" s="185"/>
      <c r="X9" s="185"/>
      <c r="Y9" s="185"/>
      <c r="Z9" s="185"/>
      <c r="AA9" s="186"/>
      <c r="AB9" s="29"/>
      <c r="AC9" s="29"/>
      <c r="AD9" s="29"/>
      <c r="AE9" s="29"/>
      <c r="AF9" s="29"/>
      <c r="AG9" s="29"/>
      <c r="AH9" s="29"/>
      <c r="AI9" s="29"/>
      <c r="AJ9" s="29"/>
      <c r="AK9" s="29"/>
    </row>
    <row r="10" spans="1:44" ht="13.95" customHeight="1" thickTop="1" x14ac:dyDescent="0.2">
      <c r="B10" s="229" t="s">
        <v>21</v>
      </c>
      <c r="C10" s="230"/>
      <c r="D10" s="213" t="s">
        <v>22</v>
      </c>
      <c r="E10" s="214"/>
      <c r="F10" s="214"/>
      <c r="G10" s="214"/>
      <c r="H10" s="214"/>
      <c r="I10" s="214"/>
      <c r="J10" s="214"/>
      <c r="K10" s="214"/>
      <c r="L10" s="214"/>
      <c r="M10" s="214"/>
      <c r="N10" s="214"/>
      <c r="O10" s="215"/>
      <c r="P10" s="251">
        <f>COUNTIFS(設定!$F:$F,"有給役員",設定!$D:$D,"男")</f>
        <v>0</v>
      </c>
      <c r="Q10" s="252"/>
      <c r="R10" s="252"/>
      <c r="S10" s="252"/>
      <c r="T10" s="252"/>
      <c r="U10" s="253"/>
      <c r="V10" s="245">
        <f>COUNTIFS(設定!$F:$F,"有給役員",設定!$D:$D,"女")</f>
        <v>0</v>
      </c>
      <c r="W10" s="177"/>
      <c r="X10" s="177"/>
      <c r="Y10" s="177"/>
      <c r="Z10" s="177"/>
      <c r="AA10" s="246"/>
      <c r="AB10" s="29"/>
      <c r="AC10" s="29"/>
      <c r="AD10" s="29"/>
      <c r="AE10" s="29"/>
      <c r="AF10" s="29"/>
      <c r="AG10" s="29"/>
      <c r="AH10" s="29"/>
      <c r="AI10" s="29"/>
      <c r="AJ10" s="29"/>
      <c r="AK10" s="29"/>
    </row>
    <row r="11" spans="1:44" ht="13.2" customHeight="1" x14ac:dyDescent="0.2">
      <c r="B11" s="231"/>
      <c r="C11" s="232"/>
      <c r="D11" s="34"/>
      <c r="E11" s="179" t="s">
        <v>23</v>
      </c>
      <c r="F11" s="180"/>
      <c r="G11" s="180"/>
      <c r="H11" s="180"/>
      <c r="I11" s="180"/>
      <c r="J11" s="180"/>
      <c r="K11" s="180"/>
      <c r="L11" s="180"/>
      <c r="M11" s="180"/>
      <c r="N11" s="180"/>
      <c r="O11" s="181"/>
      <c r="P11" s="205">
        <f>COUNTIFS(設定!$F:$F,"有給役員",設定!$I:$I,"&gt;1",設定!$D:$D,"男")</f>
        <v>0</v>
      </c>
      <c r="Q11" s="206"/>
      <c r="R11" s="206"/>
      <c r="S11" s="206"/>
      <c r="T11" s="206"/>
      <c r="U11" s="207"/>
      <c r="V11" s="171">
        <f>COUNTIFS(設定!$F:$F,"有給役員",設定!$I:$I,"&gt;1",設定!$D:$D,"女")</f>
        <v>0</v>
      </c>
      <c r="W11" s="172"/>
      <c r="X11" s="172"/>
      <c r="Y11" s="172"/>
      <c r="Z11" s="172"/>
      <c r="AA11" s="173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</row>
    <row r="12" spans="1:44" ht="13.2" customHeight="1" x14ac:dyDescent="0.2">
      <c r="B12" s="254" t="s">
        <v>24</v>
      </c>
      <c r="C12" s="255"/>
      <c r="D12" s="194" t="s">
        <v>25</v>
      </c>
      <c r="E12" s="195"/>
      <c r="F12" s="195"/>
      <c r="G12" s="195"/>
      <c r="H12" s="195"/>
      <c r="I12" s="195"/>
      <c r="J12" s="195"/>
      <c r="K12" s="195"/>
      <c r="L12" s="195"/>
      <c r="M12" s="195"/>
      <c r="N12" s="195"/>
      <c r="O12" s="196"/>
      <c r="P12" s="205">
        <f>COUNTIFS(設定!$F:$F,"正社員７か月以上",設定!$D:$D,"男")+COUNTIFS(設定!$F:$F,"正社員７か月未満",設定!$D:$D,"男")</f>
        <v>0</v>
      </c>
      <c r="Q12" s="206"/>
      <c r="R12" s="206"/>
      <c r="S12" s="206"/>
      <c r="T12" s="206"/>
      <c r="U12" s="207"/>
      <c r="V12" s="171">
        <f>COUNTIFS(設定!$F:$F,"正社員７か月以上",設定!$D:$D,"女")+COUNTIFS(設定!$F:$F,"正社員７か月未満",設定!$D:$D,"女")</f>
        <v>0</v>
      </c>
      <c r="W12" s="172"/>
      <c r="X12" s="172"/>
      <c r="Y12" s="172"/>
      <c r="Z12" s="172"/>
      <c r="AA12" s="173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</row>
    <row r="13" spans="1:44" ht="13.2" customHeight="1" x14ac:dyDescent="0.2">
      <c r="B13" s="256"/>
      <c r="C13" s="257"/>
      <c r="D13" s="35"/>
      <c r="E13" s="179" t="s">
        <v>23</v>
      </c>
      <c r="F13" s="180"/>
      <c r="G13" s="180"/>
      <c r="H13" s="180"/>
      <c r="I13" s="180"/>
      <c r="J13" s="180"/>
      <c r="K13" s="180"/>
      <c r="L13" s="180"/>
      <c r="M13" s="180"/>
      <c r="N13" s="180"/>
      <c r="O13" s="181"/>
      <c r="P13" s="205">
        <f>COUNTIFS(設定!$F:$F,"正社員７か月以上",設定!$I:$I,"&gt;1",設定!$D:$D,"男")+COUNTIFS(設定!$F:$F,"正社員７か月未満",設定!$I:$I,"&gt;1",設定!$D:$D,"男")</f>
        <v>0</v>
      </c>
      <c r="Q13" s="206"/>
      <c r="R13" s="206"/>
      <c r="S13" s="206"/>
      <c r="T13" s="206"/>
      <c r="U13" s="207"/>
      <c r="V13" s="171">
        <f>COUNTIFS(設定!$F:$F,"正社員７か月以上",設定!$I:$I,"&gt;1",設定!$D:$D,"女")+COUNTIFS(設定!$F:$F,"正社員７か月未満",設定!$I:$I,"&gt;1",設定!$D:$D,"女")</f>
        <v>0</v>
      </c>
      <c r="W13" s="172"/>
      <c r="X13" s="172"/>
      <c r="Y13" s="172"/>
      <c r="Z13" s="172"/>
      <c r="AA13" s="173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31"/>
      <c r="AQ13" s="31"/>
      <c r="AR13" s="31"/>
    </row>
    <row r="14" spans="1:44" ht="13.95" customHeight="1" x14ac:dyDescent="0.2">
      <c r="B14" s="256"/>
      <c r="C14" s="257"/>
      <c r="D14" s="194" t="s">
        <v>26</v>
      </c>
      <c r="E14" s="195"/>
      <c r="F14" s="195"/>
      <c r="G14" s="195"/>
      <c r="H14" s="195"/>
      <c r="I14" s="195"/>
      <c r="J14" s="195"/>
      <c r="K14" s="195"/>
      <c r="L14" s="195"/>
      <c r="M14" s="195"/>
      <c r="N14" s="195"/>
      <c r="O14" s="196"/>
      <c r="P14" s="205">
        <f>COUNTIFS(設定!$F:$F,"その他７か月以上",設定!$D:$D,"男")+COUNTIFS(設定!$F:$F,"その他７か月未満",設定!$D:$D,"男")</f>
        <v>0</v>
      </c>
      <c r="Q14" s="206"/>
      <c r="R14" s="206"/>
      <c r="S14" s="206"/>
      <c r="T14" s="206"/>
      <c r="U14" s="207"/>
      <c r="V14" s="171">
        <f>COUNTIFS(設定!$F:$F,"その他７か月以上",設定!$D:$D,"女")+COUNTIFS(設定!$F:$F,"その他７か月未満",設定!$D:$D,"女")</f>
        <v>0</v>
      </c>
      <c r="W14" s="172"/>
      <c r="X14" s="172"/>
      <c r="Y14" s="172"/>
      <c r="Z14" s="172"/>
      <c r="AA14" s="173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</row>
    <row r="15" spans="1:44" ht="13.95" customHeight="1" thickBot="1" x14ac:dyDescent="0.25">
      <c r="B15" s="256"/>
      <c r="C15" s="257"/>
      <c r="D15" s="36"/>
      <c r="E15" s="219" t="s">
        <v>23</v>
      </c>
      <c r="F15" s="220"/>
      <c r="G15" s="220"/>
      <c r="H15" s="220"/>
      <c r="I15" s="220"/>
      <c r="J15" s="220"/>
      <c r="K15" s="220"/>
      <c r="L15" s="220"/>
      <c r="M15" s="220"/>
      <c r="N15" s="220"/>
      <c r="O15" s="221"/>
      <c r="P15" s="216">
        <f>COUNTIFS(設定!$F:$F,"その他７か月以上",設定!$I:$I,"&gt;1",設定!$D:$D,"男")+COUNTIFS(設定!$F:$F,"その他７か月未満",設定!$I:$I,"&gt;1",設定!$D:$D,"男")</f>
        <v>0</v>
      </c>
      <c r="Q15" s="217"/>
      <c r="R15" s="217"/>
      <c r="S15" s="217"/>
      <c r="T15" s="217"/>
      <c r="U15" s="218"/>
      <c r="V15" s="233">
        <f>COUNTIFS(設定!$F:$F,"その他７か月以上",設定!$I:$I,"&gt;1",設定!$D:$D,"女")+COUNTIFS(設定!$F:$F,"その他７か月未満",設定!$I:$I,"&gt;1",設定!$D:$D,"女")</f>
        <v>0</v>
      </c>
      <c r="W15" s="217"/>
      <c r="X15" s="217"/>
      <c r="Y15" s="217"/>
      <c r="Z15" s="217"/>
      <c r="AA15" s="234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</row>
    <row r="16" spans="1:44" ht="13.95" customHeight="1" thickTop="1" x14ac:dyDescent="0.2">
      <c r="B16" s="256"/>
      <c r="C16" s="257"/>
      <c r="D16" s="237" t="s">
        <v>27</v>
      </c>
      <c r="E16" s="238"/>
      <c r="F16" s="238"/>
      <c r="G16" s="238"/>
      <c r="H16" s="238"/>
      <c r="I16" s="238"/>
      <c r="J16" s="238"/>
      <c r="K16" s="238"/>
      <c r="L16" s="238"/>
      <c r="M16" s="238"/>
      <c r="N16" s="238"/>
      <c r="O16" s="239"/>
      <c r="P16" s="211">
        <f>COUNTIFS(設定!$F:$F,"正社員７か月以上",設定!$D:$D,"男")+COUNTIFS(設定!$F:$F,"その他７か月以上",設定!$D:$D,"男")</f>
        <v>0</v>
      </c>
      <c r="Q16" s="209"/>
      <c r="R16" s="209"/>
      <c r="S16" s="209"/>
      <c r="T16" s="209"/>
      <c r="U16" s="212"/>
      <c r="V16" s="208">
        <f>COUNTIFS(設定!$F:$F,"正社員７か月以上",設定!$D:$D,"女")+COUNTIFS(設定!$F:$F,"その他７か月以上",設定!$D:$D,"女")</f>
        <v>0</v>
      </c>
      <c r="W16" s="209"/>
      <c r="X16" s="209"/>
      <c r="Y16" s="209"/>
      <c r="Z16" s="209"/>
      <c r="AA16" s="210"/>
      <c r="AB16" s="29"/>
      <c r="AC16" s="29"/>
      <c r="AD16" s="29"/>
      <c r="AE16" s="29"/>
      <c r="AF16" s="29"/>
      <c r="AG16" s="29"/>
      <c r="AH16" s="29"/>
      <c r="AI16" s="29"/>
    </row>
    <row r="17" spans="1:44" ht="13.2" customHeight="1" x14ac:dyDescent="0.2">
      <c r="B17" s="258"/>
      <c r="C17" s="259"/>
      <c r="D17" s="37"/>
      <c r="E17" s="179" t="s">
        <v>23</v>
      </c>
      <c r="F17" s="180"/>
      <c r="G17" s="180"/>
      <c r="H17" s="180"/>
      <c r="I17" s="180"/>
      <c r="J17" s="180"/>
      <c r="K17" s="180"/>
      <c r="L17" s="180"/>
      <c r="M17" s="180"/>
      <c r="N17" s="180"/>
      <c r="O17" s="181"/>
      <c r="P17" s="235">
        <f>COUNTIFS(設定!$F:$F,"正社員７か月以上",設定!$I:$I,"&gt;1",設定!$D:$D,"男")+COUNTIFS(設定!$F:$F,"その他７か月以上",設定!$I:$I,"&gt;1",設定!$D:$D,"男")</f>
        <v>0</v>
      </c>
      <c r="Q17" s="172"/>
      <c r="R17" s="172"/>
      <c r="S17" s="172"/>
      <c r="T17" s="172"/>
      <c r="U17" s="236"/>
      <c r="V17" s="171">
        <f>COUNTIFS(設定!$F:$F,"正社員７か月以上",設定!$I:$I,"&gt;1",設定!$D:$D,"女")+COUNTIFS(設定!$F:$F,"その他７か月以上",設定!$I:$I,"&gt;1",設定!$D:$D,"女")</f>
        <v>0</v>
      </c>
      <c r="W17" s="172"/>
      <c r="X17" s="172"/>
      <c r="Y17" s="172"/>
      <c r="Z17" s="172"/>
      <c r="AA17" s="173"/>
      <c r="AB17" s="29"/>
      <c r="AC17" s="29"/>
      <c r="AD17" s="29"/>
      <c r="AE17" s="29"/>
      <c r="AF17" s="29"/>
    </row>
    <row r="18" spans="1:44" ht="13.2" customHeight="1" x14ac:dyDescent="0.2">
      <c r="B18" s="247" t="s">
        <v>28</v>
      </c>
      <c r="C18" s="195"/>
      <c r="D18" s="195"/>
      <c r="E18" s="195"/>
      <c r="F18" s="195"/>
      <c r="G18" s="195"/>
      <c r="H18" s="195"/>
      <c r="I18" s="195"/>
      <c r="J18" s="195"/>
      <c r="K18" s="195"/>
      <c r="L18" s="195"/>
      <c r="M18" s="195"/>
      <c r="N18" s="195"/>
      <c r="O18" s="196"/>
      <c r="P18" s="174">
        <f>COUNTIFS(設定!$F:$F,"臨時雇用者",設定!$D:$D,"男")</f>
        <v>0</v>
      </c>
      <c r="Q18" s="169"/>
      <c r="R18" s="169"/>
      <c r="S18" s="169"/>
      <c r="T18" s="169"/>
      <c r="U18" s="175"/>
      <c r="V18" s="168">
        <f>COUNTIFS(設定!$F:$F,"臨時雇用者",設定!$D:$D,"女")</f>
        <v>0</v>
      </c>
      <c r="W18" s="169"/>
      <c r="X18" s="169"/>
      <c r="Y18" s="169"/>
      <c r="Z18" s="169"/>
      <c r="AA18" s="170"/>
      <c r="AP18" s="29"/>
      <c r="AQ18" s="29"/>
      <c r="AR18" s="29"/>
    </row>
    <row r="19" spans="1:44" ht="13.95" customHeight="1" thickBot="1" x14ac:dyDescent="0.25">
      <c r="B19" s="38"/>
      <c r="C19" s="248" t="s">
        <v>29</v>
      </c>
      <c r="D19" s="249"/>
      <c r="E19" s="249"/>
      <c r="F19" s="249"/>
      <c r="G19" s="249"/>
      <c r="H19" s="249"/>
      <c r="I19" s="249"/>
      <c r="J19" s="249"/>
      <c r="K19" s="249"/>
      <c r="L19" s="249"/>
      <c r="M19" s="249"/>
      <c r="N19" s="249"/>
      <c r="O19" s="250"/>
      <c r="P19" s="200">
        <f>COUNTIFS(設定!$F:$F,"臨時雇用者",設定!$I:$I,"&gt;1",設定!$D:$D,"男")</f>
        <v>0</v>
      </c>
      <c r="Q19" s="201"/>
      <c r="R19" s="201"/>
      <c r="S19" s="201"/>
      <c r="T19" s="201"/>
      <c r="U19" s="202"/>
      <c r="V19" s="203">
        <f>COUNTIFS(設定!$F:$F,"臨時雇用者",設定!$I:$I,"&gt;1",設定!$D:$D,"女")</f>
        <v>0</v>
      </c>
      <c r="W19" s="201"/>
      <c r="X19" s="201"/>
      <c r="Y19" s="201"/>
      <c r="Z19" s="201"/>
      <c r="AA19" s="204"/>
      <c r="AP19" s="29"/>
      <c r="AQ19" s="29"/>
      <c r="AR19" s="29"/>
    </row>
    <row r="20" spans="1:44" x14ac:dyDescent="0.2">
      <c r="B20" s="39"/>
      <c r="C20" s="40"/>
      <c r="D20" s="40"/>
      <c r="E20" s="40"/>
      <c r="F20" s="40"/>
      <c r="G20" s="40"/>
      <c r="H20" s="40"/>
      <c r="I20" s="40"/>
      <c r="J20" s="40"/>
      <c r="K20" s="40"/>
      <c r="L20" s="40"/>
      <c r="M20" s="40"/>
      <c r="N20" s="40"/>
      <c r="O20" s="40"/>
      <c r="P20" s="40"/>
      <c r="Q20" s="40"/>
      <c r="R20" s="40"/>
      <c r="S20" s="40"/>
      <c r="T20" s="40"/>
      <c r="U20" s="40"/>
      <c r="V20" s="40"/>
      <c r="W20" s="40"/>
      <c r="X20" s="40"/>
      <c r="Y20" s="40"/>
      <c r="Z20" s="40"/>
      <c r="AA20" s="40"/>
      <c r="AB20" s="40"/>
      <c r="AC20" s="40"/>
      <c r="AD20" s="40"/>
      <c r="AE20" s="40"/>
      <c r="AF20" s="40"/>
      <c r="AG20" s="40"/>
      <c r="AH20" s="40"/>
      <c r="AI20" s="40"/>
      <c r="AJ20" s="40"/>
      <c r="AK20" s="40"/>
      <c r="AL20" s="40"/>
      <c r="AM20" s="40"/>
      <c r="AN20" s="40"/>
      <c r="AO20" s="29"/>
      <c r="AP20" s="29"/>
      <c r="AQ20" s="29"/>
      <c r="AR20" s="29"/>
    </row>
    <row r="21" spans="1:44" x14ac:dyDescent="0.2">
      <c r="D21" s="41"/>
      <c r="E21" s="41"/>
      <c r="F21" s="41"/>
      <c r="G21" s="41"/>
      <c r="H21" s="41"/>
      <c r="I21" s="41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AP21" s="29"/>
      <c r="AQ21" s="29"/>
      <c r="AR21" s="29"/>
    </row>
    <row r="22" spans="1:44" ht="15" thickBot="1" x14ac:dyDescent="0.25">
      <c r="B22" s="43" t="s">
        <v>30</v>
      </c>
      <c r="AA22" s="33"/>
    </row>
    <row r="23" spans="1:44" ht="13.2" customHeight="1" x14ac:dyDescent="0.2">
      <c r="B23" s="187" t="s">
        <v>18</v>
      </c>
      <c r="C23" s="183"/>
      <c r="D23" s="183"/>
      <c r="E23" s="183"/>
      <c r="F23" s="183"/>
      <c r="G23" s="183"/>
      <c r="H23" s="183"/>
      <c r="I23" s="183"/>
      <c r="J23" s="183"/>
      <c r="K23" s="183"/>
      <c r="L23" s="183"/>
      <c r="M23" s="183"/>
      <c r="N23" s="183"/>
      <c r="O23" s="183"/>
      <c r="P23" s="182" t="s">
        <v>31</v>
      </c>
      <c r="Q23" s="183"/>
      <c r="R23" s="183"/>
      <c r="S23" s="183"/>
      <c r="T23" s="183"/>
      <c r="U23" s="183"/>
      <c r="V23" s="182" t="s">
        <v>32</v>
      </c>
      <c r="W23" s="183"/>
      <c r="X23" s="183"/>
      <c r="Y23" s="183"/>
      <c r="Z23" s="183"/>
      <c r="AA23" s="184"/>
    </row>
    <row r="24" spans="1:44" ht="13.8" thickBot="1" x14ac:dyDescent="0.25">
      <c r="B24" s="188"/>
      <c r="C24" s="189"/>
      <c r="D24" s="189"/>
      <c r="E24" s="189"/>
      <c r="F24" s="189"/>
      <c r="G24" s="189"/>
      <c r="H24" s="189"/>
      <c r="I24" s="189"/>
      <c r="J24" s="189"/>
      <c r="K24" s="189"/>
      <c r="L24" s="189"/>
      <c r="M24" s="189"/>
      <c r="N24" s="189"/>
      <c r="O24" s="189"/>
      <c r="P24" s="185"/>
      <c r="Q24" s="185"/>
      <c r="R24" s="185"/>
      <c r="S24" s="185"/>
      <c r="T24" s="185"/>
      <c r="U24" s="185"/>
      <c r="V24" s="185"/>
      <c r="W24" s="185"/>
      <c r="X24" s="185"/>
      <c r="Y24" s="185"/>
      <c r="Z24" s="185"/>
      <c r="AA24" s="186"/>
      <c r="AB24" s="29"/>
      <c r="AC24" s="29"/>
      <c r="AD24" s="29"/>
      <c r="AE24" s="29"/>
      <c r="AF24" s="29"/>
      <c r="AG24" s="29"/>
      <c r="AH24" s="29"/>
      <c r="AI24" s="29"/>
      <c r="AJ24" s="29"/>
      <c r="AK24" s="29"/>
    </row>
    <row r="25" spans="1:44" ht="13.95" customHeight="1" thickTop="1" x14ac:dyDescent="0.2">
      <c r="B25" s="190" t="s">
        <v>33</v>
      </c>
      <c r="C25" s="191"/>
      <c r="D25" s="194" t="s">
        <v>22</v>
      </c>
      <c r="E25" s="195"/>
      <c r="F25" s="195"/>
      <c r="G25" s="195"/>
      <c r="H25" s="195"/>
      <c r="I25" s="195"/>
      <c r="J25" s="195"/>
      <c r="K25" s="195"/>
      <c r="L25" s="195"/>
      <c r="M25" s="195"/>
      <c r="N25" s="195"/>
      <c r="O25" s="196"/>
      <c r="P25" s="176">
        <f>COUNTIFS(設定!$G:$G,"構成員",設定!$F:$F,"&lt;&gt;有給役員",設定!$D:$D,"男")</f>
        <v>0</v>
      </c>
      <c r="Q25" s="177"/>
      <c r="R25" s="177"/>
      <c r="S25" s="177"/>
      <c r="T25" s="177"/>
      <c r="U25" s="178"/>
      <c r="V25" s="245">
        <f>COUNTIFS(設定!$G:$G,"構成員",設定!$F:$F,"&lt;&gt;有給役員",設定!$D:$D,"女")</f>
        <v>0</v>
      </c>
      <c r="W25" s="177"/>
      <c r="X25" s="177"/>
      <c r="Y25" s="177"/>
      <c r="Z25" s="177"/>
      <c r="AA25" s="246"/>
      <c r="AB25" s="29"/>
      <c r="AC25" s="29"/>
      <c r="AD25" s="29"/>
      <c r="AE25" s="29"/>
      <c r="AF25" s="29"/>
      <c r="AG25" s="29"/>
      <c r="AH25" s="29"/>
      <c r="AI25" s="29"/>
      <c r="AJ25" s="29"/>
      <c r="AK25" s="29"/>
    </row>
    <row r="26" spans="1:44" ht="13.95" customHeight="1" thickBot="1" x14ac:dyDescent="0.25">
      <c r="B26" s="192"/>
      <c r="C26" s="193"/>
      <c r="D26" s="44"/>
      <c r="E26" s="197" t="s">
        <v>23</v>
      </c>
      <c r="F26" s="198"/>
      <c r="G26" s="198"/>
      <c r="H26" s="198"/>
      <c r="I26" s="198"/>
      <c r="J26" s="198"/>
      <c r="K26" s="198"/>
      <c r="L26" s="198"/>
      <c r="M26" s="198"/>
      <c r="N26" s="198"/>
      <c r="O26" s="199"/>
      <c r="P26" s="243">
        <f>COUNTIFS(設定!$G:$G,"構成員",設定!$F:$F,"&lt;&gt;有給役員",設定!$I:$I,"&gt;1",設定!$D:$D,"男")</f>
        <v>0</v>
      </c>
      <c r="Q26" s="241"/>
      <c r="R26" s="241"/>
      <c r="S26" s="241"/>
      <c r="T26" s="241"/>
      <c r="U26" s="244"/>
      <c r="V26" s="240">
        <f>COUNTIFS(設定!$G:$G,"構成員",設定!$F:$F,"&lt;&gt;有給役員",設定!$I:$I,"&gt;1",設定!$D:$D,"女")</f>
        <v>0</v>
      </c>
      <c r="W26" s="241"/>
      <c r="X26" s="241"/>
      <c r="Y26" s="241"/>
      <c r="Z26" s="241"/>
      <c r="AA26" s="242"/>
      <c r="AB26" s="29"/>
      <c r="AC26" s="29"/>
      <c r="AD26" s="29"/>
      <c r="AE26" s="29"/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</row>
    <row r="27" spans="1:44" x14ac:dyDescent="0.2">
      <c r="B27" s="45"/>
      <c r="C27" s="45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32"/>
      <c r="Q27" s="32"/>
      <c r="R27" s="32"/>
      <c r="S27" s="32"/>
      <c r="AB27" s="29"/>
      <c r="AC27" s="29"/>
      <c r="AD27" s="29"/>
      <c r="AE27" s="29"/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</row>
    <row r="28" spans="1:44" ht="15" thickBot="1" x14ac:dyDescent="0.25">
      <c r="B28" s="43" t="s">
        <v>34</v>
      </c>
      <c r="E28" s="41"/>
      <c r="F28" s="41"/>
      <c r="G28" s="41"/>
      <c r="H28" s="41"/>
      <c r="I28" s="41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AI28" s="33"/>
      <c r="AP28" s="29"/>
      <c r="AQ28" s="29"/>
      <c r="AR28" s="29"/>
    </row>
    <row r="29" spans="1:44" x14ac:dyDescent="0.2">
      <c r="B29" s="270" t="s">
        <v>35</v>
      </c>
      <c r="C29" s="271"/>
      <c r="D29" s="271"/>
      <c r="E29" s="271"/>
      <c r="F29" s="271"/>
      <c r="G29" s="271"/>
      <c r="H29" s="271"/>
      <c r="I29" s="271"/>
      <c r="J29" s="272"/>
      <c r="K29" s="276" t="s">
        <v>36</v>
      </c>
      <c r="L29" s="277"/>
      <c r="M29" s="277"/>
      <c r="N29" s="277"/>
      <c r="O29" s="277"/>
      <c r="P29" s="277"/>
      <c r="Q29" s="277"/>
      <c r="R29" s="277"/>
      <c r="S29" s="277"/>
      <c r="T29" s="277"/>
      <c r="U29" s="277"/>
      <c r="V29" s="277"/>
      <c r="W29" s="277"/>
      <c r="X29" s="277"/>
      <c r="Y29" s="278"/>
      <c r="AF29" s="29"/>
      <c r="AG29" s="29"/>
      <c r="AH29" s="56"/>
    </row>
    <row r="30" spans="1:44" ht="13.8" thickBot="1" x14ac:dyDescent="0.25">
      <c r="B30" s="273"/>
      <c r="C30" s="274"/>
      <c r="D30" s="274"/>
      <c r="E30" s="274"/>
      <c r="F30" s="274"/>
      <c r="G30" s="274"/>
      <c r="H30" s="274"/>
      <c r="I30" s="274"/>
      <c r="J30" s="275"/>
      <c r="K30" s="279" t="s">
        <v>37</v>
      </c>
      <c r="L30" s="280"/>
      <c r="M30" s="280"/>
      <c r="N30" s="280"/>
      <c r="O30" s="281"/>
      <c r="P30" s="282" t="s">
        <v>38</v>
      </c>
      <c r="Q30" s="283"/>
      <c r="R30" s="283"/>
      <c r="S30" s="283"/>
      <c r="T30" s="263"/>
      <c r="U30" s="284" t="s">
        <v>39</v>
      </c>
      <c r="V30" s="285"/>
      <c r="W30" s="285"/>
      <c r="X30" s="285"/>
      <c r="Y30" s="286"/>
      <c r="AF30" s="29"/>
      <c r="AG30" s="29"/>
      <c r="AH30" s="56"/>
    </row>
    <row r="31" spans="1:44" ht="13.95" customHeight="1" thickTop="1" x14ac:dyDescent="0.2">
      <c r="B31" s="260" t="s">
        <v>40</v>
      </c>
      <c r="C31" s="261"/>
      <c r="D31" s="179" t="s">
        <v>41</v>
      </c>
      <c r="E31" s="180"/>
      <c r="F31" s="180"/>
      <c r="G31" s="180"/>
      <c r="H31" s="180"/>
      <c r="I31" s="180"/>
      <c r="J31" s="180"/>
      <c r="K31" s="167">
        <f>COUNTIFS(設定!$F:$F,"&lt;&gt;臨時雇用者",設定!$D:$D,"男",設定!$E:$E,"&gt;=16",設定!$E:$E,"&lt;35",設定!$I:$I,"&gt;1",設定!$I:$I,"&lt;480")</f>
        <v>0</v>
      </c>
      <c r="L31" s="164"/>
      <c r="M31" s="164"/>
      <c r="N31" s="164"/>
      <c r="O31" s="166"/>
      <c r="P31" s="163">
        <f>COUNTIFS(設定!$F:$F,"&lt;&gt;臨時雇用者",設定!$D:$D,"男",設定!$E:$E,"&gt;=16",設定!$E:$E,"&lt;35",設定!$I:$I,"&gt;=480",設定!$I:$I,"&lt;1200")</f>
        <v>0</v>
      </c>
      <c r="Q31" s="164"/>
      <c r="R31" s="164"/>
      <c r="S31" s="164"/>
      <c r="T31" s="166"/>
      <c r="U31" s="163">
        <f>COUNTIFS(設定!$F:$F,"&lt;&gt;臨時雇用者",設定!$D:$D,"男",設定!$E:$E,"&gt;=16",設定!$E:$E,"&lt;35",設定!$I:$I,"&gt;=1200",設定!$I:$I,"&lt;999999")</f>
        <v>0</v>
      </c>
      <c r="V31" s="164"/>
      <c r="W31" s="164"/>
      <c r="X31" s="164"/>
      <c r="Y31" s="165"/>
      <c r="AF31" s="29"/>
      <c r="AG31" s="29"/>
      <c r="AH31" s="56"/>
    </row>
    <row r="32" spans="1:44" ht="13.95" customHeight="1" x14ac:dyDescent="0.2">
      <c r="A32" s="47"/>
      <c r="B32" s="262"/>
      <c r="C32" s="263"/>
      <c r="D32" s="266" t="s">
        <v>42</v>
      </c>
      <c r="E32" s="267"/>
      <c r="F32" s="267"/>
      <c r="G32" s="267"/>
      <c r="H32" s="267"/>
      <c r="I32" s="267"/>
      <c r="J32" s="267"/>
      <c r="K32" s="153">
        <f>COUNTIFS(設定!$F:$F,"&lt;&gt;臨時雇用者",設定!$D:$D,"男",設定!$E:$E,"&gt;=35",設定!$E:$E,"&lt;45",設定!$I:$I,"&gt;1",設定!$I:$I,"&lt;480")</f>
        <v>0</v>
      </c>
      <c r="L32" s="154"/>
      <c r="M32" s="154"/>
      <c r="N32" s="154"/>
      <c r="O32" s="155"/>
      <c r="P32" s="156">
        <f>COUNTIFS(設定!$F:$F,"&lt;&gt;臨時雇用者",設定!$D:$D,"男",設定!$E:$E,"&gt;=35",設定!$E:$E,"&lt;45",設定!$I:$I,"&gt;=480",設定!$I:$I,"&lt;1200")</f>
        <v>0</v>
      </c>
      <c r="Q32" s="154"/>
      <c r="R32" s="154"/>
      <c r="S32" s="154"/>
      <c r="T32" s="155"/>
      <c r="U32" s="156">
        <f>COUNTIFS(設定!$F:$F,"&lt;&gt;臨時雇用者",設定!$D:$D,"男",設定!$E:$E,"&gt;=35",設定!$E:$E,"&lt;45",設定!$I:$I,"&gt;=1200",設定!$I:$I,"&lt;999999")</f>
        <v>0</v>
      </c>
      <c r="V32" s="154"/>
      <c r="W32" s="154"/>
      <c r="X32" s="154"/>
      <c r="Y32" s="157"/>
      <c r="AH32" s="56"/>
    </row>
    <row r="33" spans="1:34" ht="13.95" customHeight="1" x14ac:dyDescent="0.2">
      <c r="A33" s="47"/>
      <c r="B33" s="262"/>
      <c r="C33" s="263"/>
      <c r="D33" s="268" t="s">
        <v>43</v>
      </c>
      <c r="E33" s="269"/>
      <c r="F33" s="269"/>
      <c r="G33" s="269"/>
      <c r="H33" s="269"/>
      <c r="I33" s="269"/>
      <c r="J33" s="269"/>
      <c r="K33" s="153">
        <f>COUNTIFS(設定!$F:$F,"&lt;&gt;臨時雇用者",設定!$D:$D,"男",設定!$E:$E,"&gt;=45",設定!$E:$E,"&lt;50",設定!$I:$I,"&gt;1",設定!$I:$I,"&lt;480")</f>
        <v>0</v>
      </c>
      <c r="L33" s="154"/>
      <c r="M33" s="154"/>
      <c r="N33" s="154"/>
      <c r="O33" s="155"/>
      <c r="P33" s="156">
        <f>COUNTIFS(設定!$F:$F,"&lt;&gt;臨時雇用者",設定!$D:$D,"男",設定!$E:$E,"&gt;=45",設定!$E:$E,"&lt;50",設定!$I:$I,"&gt;=480",設定!$I:$I,"&lt;1200")</f>
        <v>0</v>
      </c>
      <c r="Q33" s="154"/>
      <c r="R33" s="154"/>
      <c r="S33" s="154"/>
      <c r="T33" s="155"/>
      <c r="U33" s="156">
        <f>COUNTIFS(設定!$F:$F,"&lt;&gt;臨時雇用者",設定!$D:$D,"男",設定!$E:$E,"&gt;=45",設定!$E:$E,"&lt;50",設定!$I:$I,"&gt;=1200",設定!$I:$I,"&lt;999999")</f>
        <v>0</v>
      </c>
      <c r="V33" s="154"/>
      <c r="W33" s="154"/>
      <c r="X33" s="154"/>
      <c r="Y33" s="157"/>
      <c r="AH33" s="56"/>
    </row>
    <row r="34" spans="1:34" ht="15" customHeight="1" x14ac:dyDescent="0.2">
      <c r="A34" s="47"/>
      <c r="B34" s="262"/>
      <c r="C34" s="263"/>
      <c r="D34" s="266" t="s">
        <v>44</v>
      </c>
      <c r="E34" s="267"/>
      <c r="F34" s="267"/>
      <c r="G34" s="267"/>
      <c r="H34" s="267"/>
      <c r="I34" s="267"/>
      <c r="J34" s="267"/>
      <c r="K34" s="153">
        <f>COUNTIFS(設定!$F:$F,"&lt;&gt;臨時雇用者",設定!$D:$D,"男",設定!$E:$E,"&gt;=50",設定!$E:$E,"&lt;60",設定!$I:$I,"&gt;1",設定!$I:$I,"&lt;480")</f>
        <v>0</v>
      </c>
      <c r="L34" s="154"/>
      <c r="M34" s="154"/>
      <c r="N34" s="154"/>
      <c r="O34" s="155"/>
      <c r="P34" s="156">
        <f>COUNTIFS(設定!$F:$F,"&lt;&gt;臨時雇用者",設定!$D:$D,"男",設定!$E:$E,"&gt;=50",設定!$E:$E,"&lt;60",設定!$I:$I,"&gt;=480",設定!$I:$I,"&lt;1200")</f>
        <v>0</v>
      </c>
      <c r="Q34" s="154"/>
      <c r="R34" s="154"/>
      <c r="S34" s="154"/>
      <c r="T34" s="155"/>
      <c r="U34" s="156">
        <f>COUNTIFS(設定!$F:$F,"&lt;&gt;臨時雇用者",設定!$D:$D,"男",設定!$E:$E,"&gt;=50",設定!$E:$E,"&lt;60",設定!$I:$I,"&gt;=1200",設定!$I:$I,"&lt;999999")</f>
        <v>0</v>
      </c>
      <c r="V34" s="154"/>
      <c r="W34" s="154"/>
      <c r="X34" s="154"/>
      <c r="Y34" s="157"/>
      <c r="AF34" s="29"/>
      <c r="AG34" s="29"/>
      <c r="AH34" s="56"/>
    </row>
    <row r="35" spans="1:34" ht="13.2" customHeight="1" x14ac:dyDescent="0.2">
      <c r="B35" s="262"/>
      <c r="C35" s="263"/>
      <c r="D35" s="268" t="s">
        <v>45</v>
      </c>
      <c r="E35" s="269"/>
      <c r="F35" s="269"/>
      <c r="G35" s="269"/>
      <c r="H35" s="269"/>
      <c r="I35" s="269"/>
      <c r="J35" s="269"/>
      <c r="K35" s="153">
        <f>COUNTIFS(設定!$F:$F,"&lt;&gt;臨時雇用者",設定!$D:$D,"男",設定!$E:$E,"&gt;=60",設定!$E:$E,"&lt;65",設定!$I:$I,"&gt;1",設定!$I:$I,"&lt;480")</f>
        <v>0</v>
      </c>
      <c r="L35" s="154"/>
      <c r="M35" s="154"/>
      <c r="N35" s="154"/>
      <c r="O35" s="155"/>
      <c r="P35" s="156">
        <f>COUNTIFS(設定!$F:$F,"&lt;&gt;臨時雇用者",設定!$D:$D,"男",設定!$E:$E,"&gt;=60",設定!$E:$E,"&lt;65",設定!$I:$I,"&gt;=480",設定!$I:$I,"&lt;1200")</f>
        <v>0</v>
      </c>
      <c r="Q35" s="154"/>
      <c r="R35" s="154"/>
      <c r="S35" s="154"/>
      <c r="T35" s="155"/>
      <c r="U35" s="156">
        <f>COUNTIFS(設定!$F:$F,"&lt;&gt;臨時雇用者",設定!$D:$D,"男",設定!$E:$E,"&gt;=60",設定!$E:$E,"&lt;65",設定!$I:$I,"&gt;=1200",設定!$I:$I,"&lt;999999")</f>
        <v>0</v>
      </c>
      <c r="V35" s="154"/>
      <c r="W35" s="154"/>
      <c r="X35" s="154"/>
      <c r="Y35" s="157"/>
      <c r="AF35" s="29"/>
      <c r="AG35" s="29"/>
      <c r="AH35" s="56"/>
    </row>
    <row r="36" spans="1:34" ht="13.2" customHeight="1" x14ac:dyDescent="0.2">
      <c r="B36" s="262"/>
      <c r="C36" s="263"/>
      <c r="D36" s="268" t="s">
        <v>46</v>
      </c>
      <c r="E36" s="269"/>
      <c r="F36" s="269"/>
      <c r="G36" s="269"/>
      <c r="H36" s="269"/>
      <c r="I36" s="269"/>
      <c r="J36" s="269"/>
      <c r="K36" s="153">
        <f>COUNTIFS(設定!$F:$F,"&lt;&gt;臨時雇用者",設定!$D:$D,"男",設定!$E:$E,"&gt;=65",設定!$E:$E,"&lt;70",設定!$I:$I,"&gt;1",設定!$I:$I,"&lt;480")</f>
        <v>0</v>
      </c>
      <c r="L36" s="154"/>
      <c r="M36" s="154"/>
      <c r="N36" s="154"/>
      <c r="O36" s="155"/>
      <c r="P36" s="156">
        <f>COUNTIFS(設定!$F:$F,"&lt;&gt;臨時雇用者",設定!$D:$D,"男",設定!$E:$E,"&gt;=65",設定!$E:$E,"&lt;70",設定!$I:$I,"&gt;=480",設定!$I:$I,"&lt;1200")</f>
        <v>0</v>
      </c>
      <c r="Q36" s="154"/>
      <c r="R36" s="154"/>
      <c r="S36" s="154"/>
      <c r="T36" s="155"/>
      <c r="U36" s="156">
        <f>COUNTIFS(設定!$F:$F,"&lt;&gt;臨時雇用者",設定!$D:$D,"男",設定!$E:$E,"&gt;=65",設定!$E:$E,"&lt;70",設定!$I:$I,"&gt;=1200",設定!$I:$I,"&lt;999999")</f>
        <v>0</v>
      </c>
      <c r="V36" s="154"/>
      <c r="W36" s="154"/>
      <c r="X36" s="154"/>
      <c r="Y36" s="157"/>
    </row>
    <row r="37" spans="1:34" ht="13.95" customHeight="1" x14ac:dyDescent="0.2">
      <c r="B37" s="273"/>
      <c r="C37" s="275"/>
      <c r="D37" s="268" t="s">
        <v>47</v>
      </c>
      <c r="E37" s="269"/>
      <c r="F37" s="269"/>
      <c r="G37" s="269"/>
      <c r="H37" s="269"/>
      <c r="I37" s="269"/>
      <c r="J37" s="269"/>
      <c r="K37" s="153">
        <f>COUNTIFS(設定!$F:$F,"&lt;&gt;臨時雇用者",設定!$D:$D,"男",設定!$E:$E,"&gt;=70",設定!$E:$E,"&lt;999",設定!$I:$I,"&gt;1",設定!$I:$I,"&lt;480")</f>
        <v>0</v>
      </c>
      <c r="L37" s="154"/>
      <c r="M37" s="154"/>
      <c r="N37" s="154"/>
      <c r="O37" s="155"/>
      <c r="P37" s="156">
        <f>COUNTIFS(設定!$F:$F,"&lt;&gt;臨時雇用者",設定!$D:$D,"男",設定!$E:$E,"&gt;=70",設定!$E:$E,"&lt;999",設定!$I:$I,"&gt;=480",設定!$I:$I,"&lt;1200")</f>
        <v>0</v>
      </c>
      <c r="Q37" s="154"/>
      <c r="R37" s="154"/>
      <c r="S37" s="154"/>
      <c r="T37" s="155"/>
      <c r="U37" s="156">
        <f>COUNTIFS(設定!$F:$F,"&lt;&gt;臨時雇用者",設定!$D:$D,"男",設定!$E:$E,"&gt;=70",設定!$E:$E,"&lt;999",設定!$I:$I,"&gt;=1200",設定!$I:$I,"&lt;999999")</f>
        <v>0</v>
      </c>
      <c r="V37" s="154"/>
      <c r="W37" s="154"/>
      <c r="X37" s="154"/>
      <c r="Y37" s="157"/>
      <c r="AF37" s="31"/>
      <c r="AG37" s="31"/>
    </row>
    <row r="38" spans="1:34" ht="13.95" customHeight="1" x14ac:dyDescent="0.2">
      <c r="B38" s="260" t="s">
        <v>48</v>
      </c>
      <c r="C38" s="261"/>
      <c r="D38" s="179" t="s">
        <v>41</v>
      </c>
      <c r="E38" s="180"/>
      <c r="F38" s="180"/>
      <c r="G38" s="180"/>
      <c r="H38" s="180"/>
      <c r="I38" s="180"/>
      <c r="J38" s="180"/>
      <c r="K38" s="153">
        <f>COUNTIFS(設定!$F:$F,"&lt;&gt;臨時雇用者",設定!$D:$D,"女",設定!$E:$E,"&gt;=16",設定!$E:$E,"&lt;35",設定!$I:$I,"&gt;1",設定!$I:$I,"&lt;480")</f>
        <v>0</v>
      </c>
      <c r="L38" s="154"/>
      <c r="M38" s="154"/>
      <c r="N38" s="154"/>
      <c r="O38" s="155"/>
      <c r="P38" s="156">
        <f>COUNTIFS(設定!$F:$F,"&lt;&gt;臨時雇用者",設定!$D:$D,"女",設定!$E:$E,"&gt;=16",設定!$E:$E,"&lt;35",設定!$I:$I,"&gt;=480",設定!$I:$I,"&lt;1200")</f>
        <v>0</v>
      </c>
      <c r="Q38" s="154"/>
      <c r="R38" s="154"/>
      <c r="S38" s="154"/>
      <c r="T38" s="155"/>
      <c r="U38" s="156">
        <f>COUNTIFS(設定!$F:$F,"&lt;&gt;臨時雇用者",設定!$D:$D,"女",設定!$E:$E,"&gt;=16",設定!$E:$E,"&lt;35",設定!$I:$I,"&gt;=1200",設定!$I:$I,"&lt;999999")</f>
        <v>0</v>
      </c>
      <c r="V38" s="154"/>
      <c r="W38" s="154"/>
      <c r="X38" s="154"/>
      <c r="Y38" s="157"/>
    </row>
    <row r="39" spans="1:34" ht="13.2" customHeight="1" x14ac:dyDescent="0.2">
      <c r="B39" s="262"/>
      <c r="C39" s="263"/>
      <c r="D39" s="266" t="s">
        <v>8</v>
      </c>
      <c r="E39" s="267"/>
      <c r="F39" s="267"/>
      <c r="G39" s="267"/>
      <c r="H39" s="267"/>
      <c r="I39" s="267"/>
      <c r="J39" s="267"/>
      <c r="K39" s="153">
        <f>COUNTIFS(設定!$F:$F,"&lt;&gt;臨時雇用者",設定!$D:$D,"女",設定!$E:$E,"&gt;=35",設定!$E:$E,"&lt;45",設定!$I:$I,"&gt;1",設定!$I:$I,"&lt;480")</f>
        <v>0</v>
      </c>
      <c r="L39" s="154"/>
      <c r="M39" s="154"/>
      <c r="N39" s="154"/>
      <c r="O39" s="155"/>
      <c r="P39" s="156">
        <f>COUNTIFS(設定!$F:$F,"&lt;&gt;臨時雇用者",設定!$D:$D,"女",設定!$E:$E,"&gt;=35",設定!$E:$E,"&lt;45",設定!$I:$I,"&gt;=480",設定!$I:$I,"&lt;1200")</f>
        <v>0</v>
      </c>
      <c r="Q39" s="154"/>
      <c r="R39" s="154"/>
      <c r="S39" s="154"/>
      <c r="T39" s="155"/>
      <c r="U39" s="156">
        <f>COUNTIFS(設定!$F:$F,"&lt;&gt;臨時雇用者",設定!$D:$D,"女",設定!$E:$E,"&gt;=35",設定!$E:$E,"&lt;45",設定!$I:$I,"&gt;=1200",設定!$I:$I,"&lt;999999")</f>
        <v>0</v>
      </c>
      <c r="V39" s="154"/>
      <c r="W39" s="154"/>
      <c r="X39" s="154"/>
      <c r="Y39" s="157"/>
    </row>
    <row r="40" spans="1:34" ht="13.2" customHeight="1" x14ac:dyDescent="0.2">
      <c r="B40" s="262"/>
      <c r="C40" s="263"/>
      <c r="D40" s="268" t="s">
        <v>9</v>
      </c>
      <c r="E40" s="269"/>
      <c r="F40" s="269"/>
      <c r="G40" s="269"/>
      <c r="H40" s="269"/>
      <c r="I40" s="269"/>
      <c r="J40" s="269"/>
      <c r="K40" s="153">
        <f>COUNTIFS(設定!$F:$F,"&lt;&gt;臨時雇用者",設定!$D:$D,"女",設定!$E:$E,"&gt;=45",設定!$E:$E,"&lt;50",設定!$I:$I,"&gt;1",設定!$I:$I,"&lt;480")</f>
        <v>0</v>
      </c>
      <c r="L40" s="154"/>
      <c r="M40" s="154"/>
      <c r="N40" s="154"/>
      <c r="O40" s="155"/>
      <c r="P40" s="156">
        <f>COUNTIFS(設定!$F:$F,"&lt;&gt;臨時雇用者",設定!$D:$D,"女",設定!$E:$E,"&gt;=45",設定!$E:$E,"&lt;50",設定!$I:$I,"&gt;=480",設定!$I:$I,"&lt;1200")</f>
        <v>0</v>
      </c>
      <c r="Q40" s="154"/>
      <c r="R40" s="154"/>
      <c r="S40" s="154"/>
      <c r="T40" s="155"/>
      <c r="U40" s="156">
        <f>COUNTIFS(設定!$F:$F,"&lt;&gt;臨時雇用者",設定!$D:$D,"女",設定!$E:$E,"&gt;=45",設定!$E:$E,"&lt;50",設定!$I:$I,"&gt;=1200",設定!$I:$I,"&lt;999999")</f>
        <v>0</v>
      </c>
      <c r="V40" s="154"/>
      <c r="W40" s="154"/>
      <c r="X40" s="154"/>
      <c r="Y40" s="157"/>
    </row>
    <row r="41" spans="1:34" ht="13.2" customHeight="1" x14ac:dyDescent="0.2">
      <c r="B41" s="262"/>
      <c r="C41" s="263"/>
      <c r="D41" s="266" t="s">
        <v>10</v>
      </c>
      <c r="E41" s="267"/>
      <c r="F41" s="267"/>
      <c r="G41" s="267"/>
      <c r="H41" s="267"/>
      <c r="I41" s="267"/>
      <c r="J41" s="267"/>
      <c r="K41" s="153">
        <f>COUNTIFS(設定!$F:$F,"&lt;&gt;臨時雇用者",設定!$D:$D,"女",設定!$E:$E,"&gt;=50",設定!$E:$E,"&lt;60",設定!$I:$I,"&gt;1",設定!$I:$I,"&lt;480")</f>
        <v>0</v>
      </c>
      <c r="L41" s="154"/>
      <c r="M41" s="154"/>
      <c r="N41" s="154"/>
      <c r="O41" s="155"/>
      <c r="P41" s="156">
        <f>COUNTIFS(設定!$F:$F,"&lt;&gt;臨時雇用者",設定!$D:$D,"女",設定!$E:$E,"&gt;=50",設定!$E:$E,"&lt;60",設定!$I:$I,"&gt;=480",設定!$I:$I,"&lt;1200")</f>
        <v>0</v>
      </c>
      <c r="Q41" s="154"/>
      <c r="R41" s="154"/>
      <c r="S41" s="154"/>
      <c r="T41" s="155"/>
      <c r="U41" s="156">
        <f>COUNTIFS(設定!$F:$F,"&lt;&gt;臨時雇用者",設定!$D:$D,"女",設定!$E:$E,"&gt;=50",設定!$E:$E,"&lt;60",設定!$I:$I,"&gt;=1200",設定!$I:$I,"&lt;999999")</f>
        <v>0</v>
      </c>
      <c r="V41" s="154"/>
      <c r="W41" s="154"/>
      <c r="X41" s="154"/>
      <c r="Y41" s="157"/>
    </row>
    <row r="42" spans="1:34" ht="13.2" customHeight="1" x14ac:dyDescent="0.2">
      <c r="B42" s="262"/>
      <c r="C42" s="263"/>
      <c r="D42" s="268" t="s">
        <v>11</v>
      </c>
      <c r="E42" s="269"/>
      <c r="F42" s="269"/>
      <c r="G42" s="269"/>
      <c r="H42" s="269"/>
      <c r="I42" s="269"/>
      <c r="J42" s="269"/>
      <c r="K42" s="153">
        <f>COUNTIFS(設定!$F:$F,"&lt;&gt;臨時雇用者",設定!$D:$D,"女",設定!$E:$E,"&gt;=60",設定!$E:$E,"&lt;65",設定!$I:$I,"&gt;1",設定!$I:$I,"&lt;480")</f>
        <v>0</v>
      </c>
      <c r="L42" s="154"/>
      <c r="M42" s="154"/>
      <c r="N42" s="154"/>
      <c r="O42" s="155"/>
      <c r="P42" s="156">
        <f>COUNTIFS(設定!$F:$F,"&lt;&gt;臨時雇用者",設定!$D:$D,"女",設定!$E:$E,"&gt;=60",設定!$E:$E,"&lt;65",設定!$I:$I,"&gt;=480",設定!$I:$I,"&lt;1200")</f>
        <v>0</v>
      </c>
      <c r="Q42" s="154"/>
      <c r="R42" s="154"/>
      <c r="S42" s="154"/>
      <c r="T42" s="155"/>
      <c r="U42" s="156">
        <f>COUNTIFS(設定!$F:$F,"&lt;&gt;臨時雇用者",設定!$D:$D,"女",設定!$E:$E,"&gt;=60",設定!$E:$E,"&lt;65",設定!$I:$I,"&gt;=1200",設定!$I:$I,"&lt;999999")</f>
        <v>0</v>
      </c>
      <c r="V42" s="154"/>
      <c r="W42" s="154"/>
      <c r="X42" s="154"/>
      <c r="Y42" s="157"/>
    </row>
    <row r="43" spans="1:34" ht="13.2" customHeight="1" x14ac:dyDescent="0.2">
      <c r="B43" s="262"/>
      <c r="C43" s="263"/>
      <c r="D43" s="268" t="s">
        <v>12</v>
      </c>
      <c r="E43" s="269"/>
      <c r="F43" s="269"/>
      <c r="G43" s="269"/>
      <c r="H43" s="269"/>
      <c r="I43" s="269"/>
      <c r="J43" s="269"/>
      <c r="K43" s="153">
        <f>COUNTIFS(設定!$F:$F,"&lt;&gt;臨時雇用者",設定!$D:$D,"女",設定!$E:$E,"&gt;=65",設定!$E:$E,"&lt;70",設定!$I:$I,"&gt;1",設定!$I:$I,"&lt;480")</f>
        <v>0</v>
      </c>
      <c r="L43" s="154"/>
      <c r="M43" s="154"/>
      <c r="N43" s="154"/>
      <c r="O43" s="155"/>
      <c r="P43" s="156">
        <f>COUNTIFS(設定!$F:$F,"&lt;&gt;臨時雇用者",設定!$D:$D,"女",設定!$E:$E,"&gt;=65",設定!$E:$E,"&lt;70",設定!$I:$I,"&gt;=480",設定!$I:$I,"&lt;1200")</f>
        <v>0</v>
      </c>
      <c r="Q43" s="154"/>
      <c r="R43" s="154"/>
      <c r="S43" s="154"/>
      <c r="T43" s="155"/>
      <c r="U43" s="156">
        <f>COUNTIFS(設定!$F:$F,"&lt;&gt;臨時雇用者",設定!$D:$D,"女",設定!$E:$E,"&gt;=65",設定!$E:$E,"&lt;70",設定!$I:$I,"&gt;=1200",設定!$I:$I,"&lt;999999")</f>
        <v>0</v>
      </c>
      <c r="V43" s="154"/>
      <c r="W43" s="154"/>
      <c r="X43" s="154"/>
      <c r="Y43" s="157"/>
    </row>
    <row r="44" spans="1:34" ht="13.95" customHeight="1" thickBot="1" x14ac:dyDescent="0.25">
      <c r="B44" s="264"/>
      <c r="C44" s="265"/>
      <c r="D44" s="197" t="s">
        <v>47</v>
      </c>
      <c r="E44" s="198"/>
      <c r="F44" s="198"/>
      <c r="G44" s="198"/>
      <c r="H44" s="198"/>
      <c r="I44" s="198"/>
      <c r="J44" s="198"/>
      <c r="K44" s="162">
        <f>COUNTIFS(設定!$F:$F,"&lt;&gt;臨時雇用者",設定!$D:$D,"女",設定!$E:$E,"&gt;=70",設定!$E:$E,"&lt;999",設定!$I:$I,"&gt;1",設定!$I:$I,"&lt;480")</f>
        <v>0</v>
      </c>
      <c r="L44" s="159"/>
      <c r="M44" s="159"/>
      <c r="N44" s="159"/>
      <c r="O44" s="161"/>
      <c r="P44" s="158">
        <f>COUNTIFS(設定!$F:$F,"&lt;&gt;臨時雇用者",設定!$D:$D,"女",設定!$E:$E,"&gt;=70",設定!$E:$E,"&lt;999",設定!$I:$I,"&gt;=480",設定!$I:$I,"&lt;1200")</f>
        <v>0</v>
      </c>
      <c r="Q44" s="159"/>
      <c r="R44" s="159"/>
      <c r="S44" s="159"/>
      <c r="T44" s="161"/>
      <c r="U44" s="158">
        <f>COUNTIFS(設定!$F:$F,"&lt;&gt;臨時雇用者",設定!$D:$D,"女",設定!$E:$E,"&gt;=70",設定!$E:$E,"&lt;999",設定!$I:$I,"&gt;=1200",設定!$I:$I,"&lt;999999")</f>
        <v>0</v>
      </c>
      <c r="V44" s="159"/>
      <c r="W44" s="159"/>
      <c r="X44" s="159"/>
      <c r="Y44" s="160"/>
    </row>
  </sheetData>
  <mergeCells count="108">
    <mergeCell ref="B38:C44"/>
    <mergeCell ref="D38:J38"/>
    <mergeCell ref="D39:J39"/>
    <mergeCell ref="D40:J40"/>
    <mergeCell ref="D41:J41"/>
    <mergeCell ref="D42:J42"/>
    <mergeCell ref="D43:J43"/>
    <mergeCell ref="B29:J30"/>
    <mergeCell ref="K29:Y29"/>
    <mergeCell ref="K30:O30"/>
    <mergeCell ref="P30:T30"/>
    <mergeCell ref="U30:Y30"/>
    <mergeCell ref="B31:C37"/>
    <mergeCell ref="D31:J31"/>
    <mergeCell ref="D32:J32"/>
    <mergeCell ref="D33:J33"/>
    <mergeCell ref="D34:J34"/>
    <mergeCell ref="D44:J44"/>
    <mergeCell ref="D35:J35"/>
    <mergeCell ref="D36:J36"/>
    <mergeCell ref="D37:J37"/>
    <mergeCell ref="K35:O35"/>
    <mergeCell ref="P35:T35"/>
    <mergeCell ref="U35:Y35"/>
    <mergeCell ref="B8:O9"/>
    <mergeCell ref="P8:U9"/>
    <mergeCell ref="V8:AA9"/>
    <mergeCell ref="B10:C11"/>
    <mergeCell ref="V15:AA15"/>
    <mergeCell ref="P17:U17"/>
    <mergeCell ref="P23:U24"/>
    <mergeCell ref="D16:O16"/>
    <mergeCell ref="V26:AA26"/>
    <mergeCell ref="P26:U26"/>
    <mergeCell ref="V25:AA25"/>
    <mergeCell ref="B18:O18"/>
    <mergeCell ref="C19:O19"/>
    <mergeCell ref="V11:AA11"/>
    <mergeCell ref="V10:AA10"/>
    <mergeCell ref="P11:U11"/>
    <mergeCell ref="P10:U10"/>
    <mergeCell ref="P12:U12"/>
    <mergeCell ref="V12:AA12"/>
    <mergeCell ref="D12:O12"/>
    <mergeCell ref="E13:O13"/>
    <mergeCell ref="B12:C17"/>
    <mergeCell ref="P13:U13"/>
    <mergeCell ref="V13:AA13"/>
    <mergeCell ref="P14:U14"/>
    <mergeCell ref="V14:AA14"/>
    <mergeCell ref="V16:AA16"/>
    <mergeCell ref="P16:U16"/>
    <mergeCell ref="D10:O10"/>
    <mergeCell ref="E11:O11"/>
    <mergeCell ref="P15:U15"/>
    <mergeCell ref="D14:O14"/>
    <mergeCell ref="E15:O15"/>
    <mergeCell ref="K36:O36"/>
    <mergeCell ref="P36:T36"/>
    <mergeCell ref="U36:Y36"/>
    <mergeCell ref="K33:O33"/>
    <mergeCell ref="P33:T33"/>
    <mergeCell ref="U33:Y33"/>
    <mergeCell ref="K34:O34"/>
    <mergeCell ref="P34:T34"/>
    <mergeCell ref="U34:Y34"/>
    <mergeCell ref="U32:Y32"/>
    <mergeCell ref="P32:T32"/>
    <mergeCell ref="K32:O32"/>
    <mergeCell ref="U31:Y31"/>
    <mergeCell ref="P31:T31"/>
    <mergeCell ref="K31:O31"/>
    <mergeCell ref="V18:AA18"/>
    <mergeCell ref="V17:AA17"/>
    <mergeCell ref="P18:U18"/>
    <mergeCell ref="P25:U25"/>
    <mergeCell ref="E17:O17"/>
    <mergeCell ref="V23:AA24"/>
    <mergeCell ref="B23:O24"/>
    <mergeCell ref="B25:C26"/>
    <mergeCell ref="D25:O25"/>
    <mergeCell ref="E26:O26"/>
    <mergeCell ref="P19:U19"/>
    <mergeCell ref="V19:AA19"/>
    <mergeCell ref="K39:O39"/>
    <mergeCell ref="P39:T39"/>
    <mergeCell ref="U39:Y39"/>
    <mergeCell ref="K40:O40"/>
    <mergeCell ref="P40:T40"/>
    <mergeCell ref="U40:Y40"/>
    <mergeCell ref="K37:O37"/>
    <mergeCell ref="P37:T37"/>
    <mergeCell ref="U37:Y37"/>
    <mergeCell ref="K38:O38"/>
    <mergeCell ref="P38:T38"/>
    <mergeCell ref="U38:Y38"/>
    <mergeCell ref="K43:O43"/>
    <mergeCell ref="P43:T43"/>
    <mergeCell ref="U43:Y43"/>
    <mergeCell ref="U44:Y44"/>
    <mergeCell ref="P44:T44"/>
    <mergeCell ref="K44:O44"/>
    <mergeCell ref="K41:O41"/>
    <mergeCell ref="P41:T41"/>
    <mergeCell ref="U41:Y41"/>
    <mergeCell ref="K42:O42"/>
    <mergeCell ref="P42:T42"/>
    <mergeCell ref="U42:Y42"/>
  </mergeCells>
  <phoneticPr fontId="2"/>
  <pageMargins left="0.19685039370078741" right="0.19685039370078741" top="0.31496062992125984" bottom="0.19685039370078741" header="0" footer="0.27559055118110237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3AFD4-F259-4B99-AC9A-A917807682C9}">
  <dimension ref="A1:AQ51"/>
  <sheetViews>
    <sheetView showGridLines="0" view="pageBreakPreview" zoomScaleNormal="100" zoomScaleSheetLayoutView="100" workbookViewId="0"/>
  </sheetViews>
  <sheetFormatPr defaultColWidth="2.109375" defaultRowHeight="13.2" x14ac:dyDescent="0.2"/>
  <cols>
    <col min="1" max="43" width="2.109375" style="28"/>
  </cols>
  <sheetData>
    <row r="1" spans="1:43" ht="16.2" customHeight="1" x14ac:dyDescent="0.2">
      <c r="A1" s="43"/>
      <c r="B1" s="107"/>
      <c r="C1" s="107"/>
      <c r="D1" s="107"/>
      <c r="E1" s="107"/>
      <c r="F1" s="107"/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7"/>
      <c r="T1" s="107"/>
      <c r="U1" s="107"/>
      <c r="V1" s="107"/>
      <c r="W1" s="107"/>
      <c r="X1" s="107"/>
      <c r="Y1" s="107"/>
      <c r="Z1" s="107"/>
      <c r="AA1" s="107"/>
      <c r="AB1" s="107"/>
      <c r="AC1" s="107"/>
      <c r="AD1" s="107"/>
      <c r="AE1" s="107"/>
      <c r="AF1" s="107"/>
      <c r="AG1" s="107"/>
      <c r="AH1" s="107"/>
      <c r="AI1" s="107"/>
      <c r="AJ1" s="107"/>
      <c r="AK1" s="107"/>
      <c r="AL1" s="107"/>
      <c r="AM1" s="107"/>
      <c r="AN1" s="107"/>
      <c r="AO1" s="107"/>
      <c r="AP1" s="107"/>
      <c r="AQ1" s="107"/>
    </row>
    <row r="2" spans="1:43" x14ac:dyDescent="0.2">
      <c r="A2" s="107"/>
      <c r="B2" s="107"/>
      <c r="C2" s="109"/>
      <c r="D2" s="109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  <c r="Q2" s="107"/>
      <c r="R2" s="107"/>
      <c r="S2" s="107"/>
      <c r="T2" s="107"/>
      <c r="U2" s="107"/>
      <c r="V2" s="107"/>
      <c r="W2" s="107"/>
      <c r="X2" s="107"/>
      <c r="Y2" s="107"/>
      <c r="Z2" s="107"/>
      <c r="AA2" s="107"/>
      <c r="AB2" s="107"/>
      <c r="AC2" s="107"/>
      <c r="AD2" s="107"/>
      <c r="AE2" s="107"/>
      <c r="AF2" s="107"/>
      <c r="AG2" s="108"/>
      <c r="AH2" s="107"/>
      <c r="AI2" s="107"/>
      <c r="AJ2" s="107"/>
      <c r="AK2" s="107"/>
      <c r="AL2" s="107"/>
      <c r="AM2" s="107"/>
      <c r="AN2" s="107"/>
      <c r="AO2" s="107"/>
      <c r="AP2" s="107"/>
      <c r="AQ2" s="107"/>
    </row>
    <row r="3" spans="1:43" x14ac:dyDescent="0.2">
      <c r="A3" s="107"/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</row>
    <row r="4" spans="1:43" ht="14.4" x14ac:dyDescent="0.2">
      <c r="A4" s="114" t="s">
        <v>49</v>
      </c>
      <c r="B4" s="107"/>
      <c r="C4" s="107"/>
      <c r="D4" s="107"/>
      <c r="E4" s="107"/>
      <c r="F4" s="107"/>
      <c r="G4" s="110"/>
      <c r="H4" s="110"/>
      <c r="I4" s="110"/>
      <c r="J4" s="110"/>
      <c r="K4" s="110"/>
      <c r="L4" s="110"/>
      <c r="M4" s="110"/>
      <c r="N4" s="110"/>
      <c r="O4" s="110"/>
      <c r="P4" s="110"/>
      <c r="Q4" s="110"/>
      <c r="R4" s="110"/>
      <c r="S4" s="110"/>
      <c r="T4" s="110"/>
      <c r="U4" s="110"/>
      <c r="V4" s="110"/>
      <c r="W4" s="110"/>
      <c r="X4" s="110"/>
      <c r="Y4" s="110"/>
      <c r="Z4" s="110"/>
      <c r="AA4" s="110"/>
      <c r="AB4" s="110"/>
      <c r="AC4" s="110"/>
      <c r="AD4" s="110"/>
      <c r="AE4" s="110"/>
      <c r="AF4" s="110"/>
      <c r="AG4" s="110"/>
      <c r="AH4" s="110"/>
      <c r="AI4" s="110"/>
      <c r="AJ4" s="110"/>
      <c r="AK4" s="110"/>
      <c r="AL4" s="110"/>
      <c r="AM4" s="110"/>
      <c r="AN4" s="110"/>
      <c r="AO4" s="110"/>
      <c r="AP4" s="110"/>
      <c r="AQ4" s="110"/>
    </row>
    <row r="5" spans="1:43" ht="13.5" customHeight="1" x14ac:dyDescent="0.2">
      <c r="A5" s="110"/>
      <c r="B5" s="116" t="s">
        <v>50</v>
      </c>
      <c r="C5" s="115"/>
      <c r="D5" s="115"/>
      <c r="E5" s="115"/>
      <c r="F5" s="115"/>
      <c r="G5" s="115"/>
      <c r="H5" s="115"/>
      <c r="I5" s="115"/>
      <c r="J5" s="115"/>
      <c r="K5" s="115"/>
      <c r="L5" s="115"/>
      <c r="M5" s="115"/>
      <c r="N5" s="115"/>
      <c r="O5" s="115"/>
      <c r="P5" s="115"/>
      <c r="Q5" s="115"/>
      <c r="R5" s="115"/>
      <c r="S5" s="115"/>
      <c r="T5" s="115"/>
      <c r="U5" s="115"/>
      <c r="V5" s="115"/>
      <c r="W5" s="115"/>
      <c r="X5" s="115"/>
      <c r="Y5" s="115"/>
      <c r="Z5" s="115"/>
      <c r="AA5" s="115"/>
      <c r="AB5" s="115"/>
      <c r="AC5" s="115"/>
      <c r="AD5" s="115"/>
      <c r="AE5" s="115"/>
      <c r="AF5" s="115"/>
      <c r="AG5" s="115"/>
      <c r="AH5" s="115"/>
      <c r="AI5" s="115"/>
      <c r="AJ5" s="115"/>
      <c r="AK5" s="115"/>
      <c r="AL5" s="115"/>
      <c r="AM5" s="115"/>
      <c r="AN5" s="115"/>
      <c r="AO5" s="115"/>
      <c r="AP5" s="115"/>
      <c r="AQ5" s="115"/>
    </row>
    <row r="6" spans="1:43" x14ac:dyDescent="0.2">
      <c r="A6" s="110"/>
      <c r="B6" s="115"/>
      <c r="C6" s="115"/>
      <c r="D6" s="115"/>
      <c r="E6" s="115"/>
      <c r="F6" s="115"/>
      <c r="G6" s="115"/>
      <c r="H6" s="115"/>
      <c r="I6" s="115"/>
      <c r="J6" s="115"/>
      <c r="K6" s="115"/>
      <c r="L6" s="115"/>
      <c r="M6" s="115"/>
      <c r="N6" s="115"/>
      <c r="O6" s="115"/>
      <c r="P6" s="115"/>
      <c r="Q6" s="115"/>
      <c r="R6" s="115"/>
      <c r="S6" s="115"/>
      <c r="T6" s="115"/>
      <c r="U6" s="115"/>
      <c r="V6" s="115"/>
      <c r="W6" s="115"/>
      <c r="X6" s="115"/>
      <c r="Y6" s="115"/>
      <c r="Z6" s="115"/>
      <c r="AA6" s="115"/>
      <c r="AB6" s="115"/>
      <c r="AC6" s="115"/>
      <c r="AD6" s="115"/>
      <c r="AE6" s="115"/>
      <c r="AF6" s="115"/>
      <c r="AG6" s="115"/>
      <c r="AH6" s="115"/>
      <c r="AI6" s="115"/>
      <c r="AJ6" s="115"/>
      <c r="AK6" s="115"/>
      <c r="AL6" s="115"/>
      <c r="AM6" s="115"/>
      <c r="AN6" s="115"/>
      <c r="AO6" s="115"/>
      <c r="AP6" s="115"/>
      <c r="AQ6" s="115"/>
    </row>
    <row r="7" spans="1:43" x14ac:dyDescent="0.2">
      <c r="A7" s="110"/>
      <c r="B7" s="115"/>
      <c r="C7" s="115"/>
      <c r="D7" s="115"/>
      <c r="E7" s="115"/>
      <c r="F7" s="115"/>
      <c r="G7" s="115"/>
      <c r="H7" s="115"/>
      <c r="I7" s="115"/>
      <c r="J7" s="115"/>
      <c r="K7" s="115"/>
      <c r="L7" s="115"/>
      <c r="M7" s="115"/>
      <c r="N7" s="115"/>
      <c r="O7" s="115"/>
      <c r="P7" s="115"/>
      <c r="Q7" s="115"/>
      <c r="R7" s="115"/>
      <c r="S7" s="115"/>
      <c r="T7" s="115"/>
      <c r="U7" s="115"/>
      <c r="V7" s="115"/>
      <c r="W7" s="115"/>
      <c r="X7" s="115"/>
      <c r="Y7" s="115"/>
      <c r="Z7" s="115"/>
      <c r="AA7" s="115"/>
      <c r="AB7" s="115"/>
      <c r="AC7" s="115"/>
      <c r="AD7" s="115"/>
      <c r="AE7" s="115"/>
      <c r="AF7" s="115"/>
      <c r="AG7" s="115"/>
      <c r="AH7" s="115"/>
      <c r="AI7" s="115"/>
      <c r="AJ7" s="115"/>
      <c r="AK7" s="115"/>
      <c r="AL7" s="115"/>
      <c r="AM7" s="115"/>
      <c r="AN7" s="115"/>
      <c r="AO7" s="115"/>
      <c r="AP7" s="115"/>
      <c r="AQ7" s="115"/>
    </row>
    <row r="8" spans="1:43" ht="13.2" customHeight="1" x14ac:dyDescent="0.2">
      <c r="A8" s="110"/>
      <c r="B8" s="115"/>
      <c r="C8" s="115"/>
      <c r="D8" s="115"/>
      <c r="E8" s="115"/>
      <c r="F8" s="115"/>
      <c r="G8" s="115"/>
      <c r="H8" s="115"/>
      <c r="I8" s="115"/>
      <c r="J8" s="115"/>
      <c r="K8" s="115"/>
      <c r="L8" s="115"/>
      <c r="M8" s="115"/>
      <c r="N8" s="115"/>
      <c r="O8" s="115"/>
      <c r="P8" s="115"/>
      <c r="Q8" s="115"/>
      <c r="R8" s="115"/>
      <c r="S8" s="115"/>
      <c r="T8" s="115"/>
      <c r="U8" s="115"/>
      <c r="V8" s="115"/>
      <c r="W8" s="115"/>
      <c r="X8" s="115"/>
      <c r="Y8" s="115"/>
      <c r="Z8" s="115"/>
      <c r="AA8" s="115"/>
      <c r="AB8" s="115"/>
      <c r="AC8" s="115"/>
      <c r="AD8" s="115"/>
      <c r="AE8" s="115"/>
      <c r="AF8" s="115"/>
      <c r="AG8" s="115"/>
      <c r="AH8" s="115"/>
      <c r="AI8" s="115"/>
      <c r="AJ8" s="115"/>
      <c r="AK8" s="115"/>
      <c r="AL8" s="115"/>
      <c r="AM8" s="115"/>
      <c r="AN8" s="115"/>
      <c r="AO8" s="115"/>
      <c r="AP8" s="115"/>
      <c r="AQ8" s="115"/>
    </row>
    <row r="9" spans="1:43" ht="15" thickBot="1" x14ac:dyDescent="0.25">
      <c r="B9" s="30" t="s">
        <v>51</v>
      </c>
      <c r="AQ9" s="33"/>
    </row>
    <row r="10" spans="1:43" ht="13.95" customHeight="1" x14ac:dyDescent="0.2">
      <c r="B10" s="270" t="s">
        <v>18</v>
      </c>
      <c r="C10" s="271"/>
      <c r="D10" s="271"/>
      <c r="E10" s="271"/>
      <c r="F10" s="271"/>
      <c r="G10" s="271"/>
      <c r="H10" s="271"/>
      <c r="I10" s="271"/>
      <c r="J10" s="271"/>
      <c r="K10" s="271"/>
      <c r="L10" s="271"/>
      <c r="M10" s="272"/>
      <c r="N10" s="299" t="s">
        <v>65</v>
      </c>
      <c r="O10" s="322"/>
      <c r="P10" s="322"/>
      <c r="Q10" s="322"/>
      <c r="R10" s="322"/>
      <c r="S10" s="48"/>
      <c r="T10" s="48"/>
      <c r="U10" s="48"/>
      <c r="V10" s="48"/>
      <c r="W10" s="48"/>
      <c r="X10" s="48"/>
      <c r="Y10" s="48"/>
      <c r="Z10" s="48"/>
      <c r="AA10" s="48"/>
      <c r="AB10" s="48"/>
      <c r="AC10" s="48"/>
      <c r="AD10" s="48"/>
      <c r="AE10" s="48"/>
      <c r="AF10" s="48"/>
      <c r="AG10" s="48"/>
      <c r="AH10" s="48"/>
      <c r="AI10" s="48"/>
      <c r="AJ10" s="48"/>
      <c r="AK10" s="48"/>
      <c r="AL10" s="48"/>
      <c r="AM10" s="48"/>
      <c r="AN10" s="48"/>
      <c r="AO10" s="48"/>
      <c r="AP10" s="48"/>
      <c r="AQ10" s="49"/>
    </row>
    <row r="11" spans="1:43" ht="13.2" customHeight="1" x14ac:dyDescent="0.2">
      <c r="B11" s="262"/>
      <c r="C11" s="283"/>
      <c r="D11" s="283"/>
      <c r="E11" s="283"/>
      <c r="F11" s="283"/>
      <c r="G11" s="283"/>
      <c r="H11" s="283"/>
      <c r="I11" s="283"/>
      <c r="J11" s="283"/>
      <c r="K11" s="283"/>
      <c r="L11" s="283"/>
      <c r="M11" s="263"/>
      <c r="N11" s="323"/>
      <c r="O11" s="324"/>
      <c r="P11" s="324"/>
      <c r="Q11" s="324"/>
      <c r="R11" s="324"/>
      <c r="S11" s="325" t="s">
        <v>52</v>
      </c>
      <c r="T11" s="326"/>
      <c r="U11" s="326"/>
      <c r="V11" s="326"/>
      <c r="W11" s="326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1"/>
      <c r="AM11" s="327" t="s">
        <v>53</v>
      </c>
      <c r="AN11" s="308"/>
      <c r="AO11" s="308"/>
      <c r="AP11" s="308"/>
      <c r="AQ11" s="328"/>
    </row>
    <row r="12" spans="1:43" ht="13.2" customHeight="1" x14ac:dyDescent="0.2">
      <c r="B12" s="262"/>
      <c r="C12" s="283"/>
      <c r="D12" s="283"/>
      <c r="E12" s="283"/>
      <c r="F12" s="283"/>
      <c r="G12" s="283"/>
      <c r="H12" s="283"/>
      <c r="I12" s="283"/>
      <c r="J12" s="283"/>
      <c r="K12" s="283"/>
      <c r="L12" s="283"/>
      <c r="M12" s="263"/>
      <c r="N12" s="323"/>
      <c r="O12" s="324"/>
      <c r="P12" s="324"/>
      <c r="Q12" s="324"/>
      <c r="R12" s="324"/>
      <c r="S12" s="282"/>
      <c r="T12" s="283"/>
      <c r="U12" s="283"/>
      <c r="V12" s="283"/>
      <c r="W12" s="283"/>
      <c r="X12" s="327" t="s">
        <v>54</v>
      </c>
      <c r="Y12" s="326"/>
      <c r="Z12" s="326"/>
      <c r="AA12" s="326"/>
      <c r="AB12" s="261"/>
      <c r="AC12" s="327" t="s">
        <v>55</v>
      </c>
      <c r="AD12" s="308"/>
      <c r="AE12" s="308"/>
      <c r="AF12" s="308"/>
      <c r="AG12" s="309"/>
      <c r="AH12" s="325" t="s">
        <v>56</v>
      </c>
      <c r="AI12" s="326"/>
      <c r="AJ12" s="326"/>
      <c r="AK12" s="326"/>
      <c r="AL12" s="261"/>
      <c r="AM12" s="329"/>
      <c r="AN12" s="330"/>
      <c r="AO12" s="330"/>
      <c r="AP12" s="330"/>
      <c r="AQ12" s="331"/>
    </row>
    <row r="13" spans="1:43" ht="13.2" customHeight="1" thickBot="1" x14ac:dyDescent="0.25">
      <c r="B13" s="273"/>
      <c r="C13" s="274"/>
      <c r="D13" s="274"/>
      <c r="E13" s="274"/>
      <c r="F13" s="274"/>
      <c r="G13" s="274"/>
      <c r="H13" s="274"/>
      <c r="I13" s="274"/>
      <c r="J13" s="274"/>
      <c r="K13" s="274"/>
      <c r="L13" s="274"/>
      <c r="M13" s="275"/>
      <c r="N13" s="323"/>
      <c r="O13" s="324"/>
      <c r="P13" s="324"/>
      <c r="Q13" s="324"/>
      <c r="R13" s="324"/>
      <c r="S13" s="282"/>
      <c r="T13" s="283"/>
      <c r="U13" s="283"/>
      <c r="V13" s="283"/>
      <c r="W13" s="283"/>
      <c r="X13" s="282"/>
      <c r="Y13" s="283"/>
      <c r="Z13" s="283"/>
      <c r="AA13" s="283"/>
      <c r="AB13" s="263"/>
      <c r="AC13" s="329"/>
      <c r="AD13" s="330"/>
      <c r="AE13" s="330"/>
      <c r="AF13" s="330"/>
      <c r="AG13" s="332"/>
      <c r="AH13" s="282"/>
      <c r="AI13" s="283"/>
      <c r="AJ13" s="283"/>
      <c r="AK13" s="283"/>
      <c r="AL13" s="263"/>
      <c r="AM13" s="329"/>
      <c r="AN13" s="330"/>
      <c r="AO13" s="330"/>
      <c r="AP13" s="330"/>
      <c r="AQ13" s="331"/>
    </row>
    <row r="14" spans="1:43" ht="13.95" customHeight="1" thickTop="1" x14ac:dyDescent="0.2">
      <c r="B14" s="345" t="s">
        <v>57</v>
      </c>
      <c r="C14" s="295"/>
      <c r="D14" s="295"/>
      <c r="E14" s="296"/>
      <c r="F14" s="341" t="s">
        <v>40</v>
      </c>
      <c r="G14" s="274"/>
      <c r="H14" s="274"/>
      <c r="I14" s="274"/>
      <c r="J14" s="274"/>
      <c r="K14" s="274"/>
      <c r="L14" s="274"/>
      <c r="M14" s="349"/>
      <c r="N14" s="251">
        <f>SUMIFS(設定!H:H,設定!$F:$F,"有給役員",設定!$D:$D,"男")</f>
        <v>0</v>
      </c>
      <c r="O14" s="252"/>
      <c r="P14" s="252"/>
      <c r="Q14" s="252"/>
      <c r="R14" s="253"/>
      <c r="S14" s="245">
        <f>SUMIFS(設定!I:I,設定!$F:$F,"有給役員",設定!$D:$D,"男")</f>
        <v>0</v>
      </c>
      <c r="T14" s="177"/>
      <c r="U14" s="177"/>
      <c r="V14" s="177"/>
      <c r="W14" s="178"/>
      <c r="X14" s="245">
        <f>SUMIFS(設定!J:J,設定!$F:$F,"有給役員",設定!$D:$D,"男")</f>
        <v>0</v>
      </c>
      <c r="Y14" s="177"/>
      <c r="Z14" s="177"/>
      <c r="AA14" s="177"/>
      <c r="AB14" s="178"/>
      <c r="AC14" s="245">
        <f>SUMIFS(設定!K:K,設定!$F:$F,"有給役員",設定!$D:$D,"男")</f>
        <v>0</v>
      </c>
      <c r="AD14" s="177"/>
      <c r="AE14" s="177"/>
      <c r="AF14" s="177"/>
      <c r="AG14" s="178"/>
      <c r="AH14" s="245">
        <f>SUMIFS(設定!L:L,設定!$F:$F,"有給役員",設定!$D:$D,"男")</f>
        <v>0</v>
      </c>
      <c r="AI14" s="177"/>
      <c r="AJ14" s="177"/>
      <c r="AK14" s="177"/>
      <c r="AL14" s="178"/>
      <c r="AM14" s="245">
        <f>SUMIFS(設定!M:M,設定!$F:$F,"有給役員",設定!$D:$D,"男")</f>
        <v>0</v>
      </c>
      <c r="AN14" s="177"/>
      <c r="AO14" s="177"/>
      <c r="AP14" s="177"/>
      <c r="AQ14" s="246"/>
    </row>
    <row r="15" spans="1:43" ht="13.95" customHeight="1" x14ac:dyDescent="0.2">
      <c r="B15" s="346"/>
      <c r="C15" s="347"/>
      <c r="D15" s="347"/>
      <c r="E15" s="348"/>
      <c r="F15" s="316" t="s">
        <v>48</v>
      </c>
      <c r="G15" s="317"/>
      <c r="H15" s="317"/>
      <c r="I15" s="317"/>
      <c r="J15" s="317"/>
      <c r="K15" s="317"/>
      <c r="L15" s="317"/>
      <c r="M15" s="318"/>
      <c r="N15" s="235">
        <f>SUMIFS(設定!H:H,設定!$F:$F,"有給役員",設定!$D:$D,"女")</f>
        <v>0</v>
      </c>
      <c r="O15" s="172"/>
      <c r="P15" s="172"/>
      <c r="Q15" s="172"/>
      <c r="R15" s="236"/>
      <c r="S15" s="171">
        <f>SUMIFS(設定!I:I,設定!$F:$F,"有給役員",設定!$D:$D,"女")</f>
        <v>0</v>
      </c>
      <c r="T15" s="172"/>
      <c r="U15" s="172"/>
      <c r="V15" s="172"/>
      <c r="W15" s="236"/>
      <c r="X15" s="171">
        <f>SUMIFS(設定!J:J,設定!$F:$F,"有給役員",設定!$D:$D,"女")</f>
        <v>0</v>
      </c>
      <c r="Y15" s="172"/>
      <c r="Z15" s="172"/>
      <c r="AA15" s="172"/>
      <c r="AB15" s="236"/>
      <c r="AC15" s="171">
        <f>SUMIFS(設定!K:K,設定!$F:$F,"有給役員",設定!$D:$D,"女")</f>
        <v>0</v>
      </c>
      <c r="AD15" s="172"/>
      <c r="AE15" s="172"/>
      <c r="AF15" s="172"/>
      <c r="AG15" s="236"/>
      <c r="AH15" s="171">
        <f>SUMIFS(設定!L:L,設定!$F:$F,"有給役員",設定!$D:$D,"女")</f>
        <v>0</v>
      </c>
      <c r="AI15" s="172"/>
      <c r="AJ15" s="172"/>
      <c r="AK15" s="172"/>
      <c r="AL15" s="236"/>
      <c r="AM15" s="171">
        <f>SUMIFS(設定!M:M,設定!$F:$F,"有給役員",設定!$D:$D,"女")</f>
        <v>0</v>
      </c>
      <c r="AN15" s="172"/>
      <c r="AO15" s="172"/>
      <c r="AP15" s="172"/>
      <c r="AQ15" s="173"/>
    </row>
    <row r="16" spans="1:43" ht="13.95" customHeight="1" x14ac:dyDescent="0.2">
      <c r="B16" s="335" t="s">
        <v>24</v>
      </c>
      <c r="C16" s="336"/>
      <c r="D16" s="325" t="s">
        <v>40</v>
      </c>
      <c r="E16" s="261"/>
      <c r="F16" s="268" t="s">
        <v>25</v>
      </c>
      <c r="G16" s="269"/>
      <c r="H16" s="269"/>
      <c r="I16" s="269"/>
      <c r="J16" s="269"/>
      <c r="K16" s="269"/>
      <c r="L16" s="269"/>
      <c r="M16" s="269"/>
      <c r="N16" s="235">
        <f>SUMIFS(設定!H:H,設定!$F:$F,"正社員７か月以上",設定!$D:$D,"男")+SUMIFS(設定!H:H,設定!$F:$F,"正社員７か月未満",設定!$D:$D,"男")</f>
        <v>0</v>
      </c>
      <c r="O16" s="172"/>
      <c r="P16" s="172"/>
      <c r="Q16" s="172"/>
      <c r="R16" s="236"/>
      <c r="S16" s="171">
        <f>SUMIFS(設定!I:I,設定!$F:$F,"正社員７か月以上",設定!$D:$D,"男")+SUMIFS(設定!I:I,設定!$F:$F,"正社員７か月未満",設定!$D:$D,"男")</f>
        <v>0</v>
      </c>
      <c r="T16" s="172"/>
      <c r="U16" s="172"/>
      <c r="V16" s="172"/>
      <c r="W16" s="236"/>
      <c r="X16" s="171">
        <f>SUMIFS(設定!J:J,設定!$F:$F,"正社員７か月以上",設定!$D:$D,"男")+SUMIFS(設定!J:J,設定!$F:$F,"正社員７か月未満",設定!$D:$D,"男")</f>
        <v>0</v>
      </c>
      <c r="Y16" s="172"/>
      <c r="Z16" s="172"/>
      <c r="AA16" s="172"/>
      <c r="AB16" s="236"/>
      <c r="AC16" s="171">
        <f>SUMIFS(設定!K:K,設定!$F:$F,"正社員７か月以上",設定!$D:$D,"男")+SUMIFS(設定!K:K,設定!$F:$F,"正社員７か月未満",設定!$D:$D,"男")</f>
        <v>0</v>
      </c>
      <c r="AD16" s="172"/>
      <c r="AE16" s="172"/>
      <c r="AF16" s="172"/>
      <c r="AG16" s="236"/>
      <c r="AH16" s="171">
        <f>SUMIFS(設定!L:L,設定!$F:$F,"正社員７か月以上",設定!$D:$D,"男")+SUMIFS(設定!L:L,設定!$F:$F,"正社員７か月未満",設定!$D:$D,"男")</f>
        <v>0</v>
      </c>
      <c r="AI16" s="172"/>
      <c r="AJ16" s="172"/>
      <c r="AK16" s="172"/>
      <c r="AL16" s="236"/>
      <c r="AM16" s="171">
        <f>SUMIFS(設定!M:M,設定!$F:$F,"正社員７か月以上",設定!$D:$D,"男")+SUMIFS(設定!M:M,設定!$F:$F,"正社員７か月未満",設定!$D:$D,"男")</f>
        <v>0</v>
      </c>
      <c r="AN16" s="172"/>
      <c r="AO16" s="172"/>
      <c r="AP16" s="172"/>
      <c r="AQ16" s="173"/>
    </row>
    <row r="17" spans="1:43" ht="13.2" customHeight="1" thickBot="1" x14ac:dyDescent="0.25">
      <c r="B17" s="337"/>
      <c r="C17" s="338"/>
      <c r="D17" s="282"/>
      <c r="E17" s="263"/>
      <c r="F17" s="194" t="s">
        <v>26</v>
      </c>
      <c r="G17" s="195"/>
      <c r="H17" s="195"/>
      <c r="I17" s="195"/>
      <c r="J17" s="195"/>
      <c r="K17" s="195"/>
      <c r="L17" s="195"/>
      <c r="M17" s="195"/>
      <c r="N17" s="216">
        <f>SUMIFS(設定!H:H,設定!$F:$F,"その他７か月以上",設定!$D:$D,"男")+SUMIFS(設定!H:H,設定!$F:$F,"その他７か月未満",設定!$D:$D,"男")</f>
        <v>0</v>
      </c>
      <c r="O17" s="217"/>
      <c r="P17" s="217"/>
      <c r="Q17" s="217"/>
      <c r="R17" s="218"/>
      <c r="S17" s="342">
        <f>SUMIFS(設定!I:I,設定!$F:$F,"その他７か月以上",設定!$D:$D,"男")+SUMIFS(設定!I:I,設定!$F:$F,"その他７か月未満",設定!$D:$D,"男")</f>
        <v>0</v>
      </c>
      <c r="T17" s="343"/>
      <c r="U17" s="343"/>
      <c r="V17" s="343"/>
      <c r="W17" s="344"/>
      <c r="X17" s="342">
        <f>SUMIFS(設定!J:J,設定!$F:$F,"その他７か月以上",設定!$D:$D,"男")+SUMIFS(設定!J:J,設定!$F:$F,"その他７か月未満",設定!$D:$D,"男")</f>
        <v>0</v>
      </c>
      <c r="Y17" s="343"/>
      <c r="Z17" s="343"/>
      <c r="AA17" s="343"/>
      <c r="AB17" s="344"/>
      <c r="AC17" s="342">
        <f>SUMIFS(設定!K:K,設定!$F:$F,"その他７か月以上",設定!$D:$D,"男")+SUMIFS(設定!K:K,設定!$F:$F,"その他７か月未満",設定!$D:$D,"男")</f>
        <v>0</v>
      </c>
      <c r="AD17" s="343"/>
      <c r="AE17" s="343"/>
      <c r="AF17" s="343"/>
      <c r="AG17" s="344"/>
      <c r="AH17" s="342">
        <f>SUMIFS(設定!L:L,設定!$F:$F,"その他７か月以上",設定!$D:$D,"男")+SUMIFS(設定!L:L,設定!$F:$F,"その他７か月未満",設定!$D:$D,"男")</f>
        <v>0</v>
      </c>
      <c r="AI17" s="343"/>
      <c r="AJ17" s="343"/>
      <c r="AK17" s="343"/>
      <c r="AL17" s="344"/>
      <c r="AM17" s="233">
        <f>SUMIFS(設定!M:M,設定!$F:$F,"その他７か月以上",設定!$D:$D,"男")+SUMIFS(設定!M:M,設定!$F:$F,"その他７か月未満",設定!$D:$D,"男")</f>
        <v>0</v>
      </c>
      <c r="AN17" s="217"/>
      <c r="AO17" s="217"/>
      <c r="AP17" s="217"/>
      <c r="AQ17" s="234"/>
    </row>
    <row r="18" spans="1:43" ht="13.2" customHeight="1" thickTop="1" x14ac:dyDescent="0.2">
      <c r="B18" s="337"/>
      <c r="C18" s="338"/>
      <c r="D18" s="341"/>
      <c r="E18" s="275"/>
      <c r="F18" s="333" t="s">
        <v>27</v>
      </c>
      <c r="G18" s="334"/>
      <c r="H18" s="334"/>
      <c r="I18" s="334"/>
      <c r="J18" s="334"/>
      <c r="K18" s="334"/>
      <c r="L18" s="334"/>
      <c r="M18" s="334"/>
      <c r="N18" s="211">
        <f>SUMIFS(設定!H:H,設定!$F:$F,"正社員７か月以上",設定!$D:$D,"男")+SUMIFS(設定!H:H,設定!$F:$F,"その他７か月以上",設定!$D:$D,"男")</f>
        <v>0</v>
      </c>
      <c r="O18" s="209"/>
      <c r="P18" s="209"/>
      <c r="Q18" s="209"/>
      <c r="R18" s="212"/>
      <c r="S18" s="208">
        <f>SUMIFS(設定!I:I,設定!$F:$F,"正社員７か月以上",設定!$D:$D,"男")+SUMIFS(設定!I:I,設定!$F:$F,"その他７か月以上",設定!$D:$D,"男")</f>
        <v>0</v>
      </c>
      <c r="T18" s="209"/>
      <c r="U18" s="209"/>
      <c r="V18" s="209"/>
      <c r="W18" s="212"/>
      <c r="X18" s="208">
        <f>SUMIFS(設定!J:J,設定!$F:$F,"正社員７か月以上",設定!$D:$D,"男")+SUMIFS(設定!J:J,設定!$F:$F,"その他７か月以上",設定!$D:$D,"男")</f>
        <v>0</v>
      </c>
      <c r="Y18" s="209"/>
      <c r="Z18" s="209"/>
      <c r="AA18" s="209"/>
      <c r="AB18" s="212"/>
      <c r="AC18" s="208">
        <f>SUMIFS(設定!K:K,設定!$F:$F,"正社員７か月以上",設定!$D:$D,"男")+SUMIFS(設定!K:K,設定!$F:$F,"その他７か月以上",設定!$D:$D,"男")</f>
        <v>0</v>
      </c>
      <c r="AD18" s="209"/>
      <c r="AE18" s="209"/>
      <c r="AF18" s="209"/>
      <c r="AG18" s="212"/>
      <c r="AH18" s="208">
        <f>SUMIFS(設定!L:L,設定!$F:$F,"正社員７か月以上",設定!$D:$D,"男")+SUMIFS(設定!L:L,設定!$F:$F,"その他７か月以上",設定!$D:$D,"男")</f>
        <v>0</v>
      </c>
      <c r="AI18" s="209"/>
      <c r="AJ18" s="209"/>
      <c r="AK18" s="209"/>
      <c r="AL18" s="212"/>
      <c r="AM18" s="208">
        <f>SUMIFS(設定!M:M,設定!$F:$F,"正社員７か月以上",設定!$D:$D,"男")+SUMIFS(設定!M:M,設定!$F:$F,"その他７か月以上",設定!$D:$D,"男")</f>
        <v>0</v>
      </c>
      <c r="AN18" s="209"/>
      <c r="AO18" s="209"/>
      <c r="AP18" s="209"/>
      <c r="AQ18" s="210"/>
    </row>
    <row r="19" spans="1:43" ht="13.95" customHeight="1" x14ac:dyDescent="0.2">
      <c r="B19" s="337"/>
      <c r="C19" s="338"/>
      <c r="D19" s="325" t="s">
        <v>48</v>
      </c>
      <c r="E19" s="261"/>
      <c r="F19" s="268" t="s">
        <v>25</v>
      </c>
      <c r="G19" s="269"/>
      <c r="H19" s="269"/>
      <c r="I19" s="269"/>
      <c r="J19" s="269"/>
      <c r="K19" s="269"/>
      <c r="L19" s="269"/>
      <c r="M19" s="269"/>
      <c r="N19" s="235">
        <f>SUMIFS(設定!H:H,設定!$F:$F,"正社員７か月以上",設定!$D:$D,"女")+SUMIFS(設定!H:H,設定!$F:$F,"正社員７か月未満",設定!$D:$D,"女")</f>
        <v>0</v>
      </c>
      <c r="O19" s="172"/>
      <c r="P19" s="172"/>
      <c r="Q19" s="172"/>
      <c r="R19" s="236"/>
      <c r="S19" s="171">
        <f>SUMIFS(設定!I:I,設定!$F:$F,"正社員７か月以上",設定!$D:$D,"女")+SUMIFS(設定!I:I,設定!$F:$F,"正社員７か月未満",設定!$D:$D,"女")</f>
        <v>0</v>
      </c>
      <c r="T19" s="172"/>
      <c r="U19" s="172"/>
      <c r="V19" s="172"/>
      <c r="W19" s="236"/>
      <c r="X19" s="171">
        <f>SUMIFS(設定!J:J,設定!$F:$F,"正社員７か月以上",設定!$D:$D,"女")+SUMIFS(設定!J:J,設定!$F:$F,"正社員７か月未満",設定!$D:$D,"女")</f>
        <v>0</v>
      </c>
      <c r="Y19" s="172"/>
      <c r="Z19" s="172"/>
      <c r="AA19" s="172"/>
      <c r="AB19" s="236"/>
      <c r="AC19" s="171">
        <f>SUMIFS(設定!K:K,設定!$F:$F,"正社員７か月以上",設定!$D:$D,"女")+SUMIFS(設定!K:K,設定!$F:$F,"正社員７か月未満",設定!$D:$D,"女")</f>
        <v>0</v>
      </c>
      <c r="AD19" s="172"/>
      <c r="AE19" s="172"/>
      <c r="AF19" s="172"/>
      <c r="AG19" s="236"/>
      <c r="AH19" s="171">
        <f>SUMIFS(設定!L:L,設定!$F:$F,"正社員７か月以上",設定!$D:$D,"女")+SUMIFS(設定!L:L,設定!$F:$F,"正社員７か月未満",設定!$D:$D,"女")</f>
        <v>0</v>
      </c>
      <c r="AI19" s="172"/>
      <c r="AJ19" s="172"/>
      <c r="AK19" s="172"/>
      <c r="AL19" s="236"/>
      <c r="AM19" s="171">
        <f>SUMIFS(設定!M:M,設定!$F:$F,"正社員７か月以上",設定!$D:$D,"女")+SUMIFS(設定!M:M,設定!$F:$F,"正社員７か月未満",設定!$D:$D,"女")</f>
        <v>0</v>
      </c>
      <c r="AN19" s="172"/>
      <c r="AO19" s="172"/>
      <c r="AP19" s="172"/>
      <c r="AQ19" s="173"/>
    </row>
    <row r="20" spans="1:43" ht="13.8" thickBot="1" x14ac:dyDescent="0.25">
      <c r="A20" s="29"/>
      <c r="B20" s="337"/>
      <c r="C20" s="338"/>
      <c r="D20" s="282"/>
      <c r="E20" s="263"/>
      <c r="F20" s="194" t="s">
        <v>26</v>
      </c>
      <c r="G20" s="195"/>
      <c r="H20" s="195"/>
      <c r="I20" s="195"/>
      <c r="J20" s="195"/>
      <c r="K20" s="195"/>
      <c r="L20" s="195"/>
      <c r="M20" s="195"/>
      <c r="N20" s="216">
        <f>SUMIFS(設定!H:H,設定!$F:$F,"その他７か月以上",設定!$D:$D,"女")+SUMIFS(設定!H:H,設定!$F:$F,"その他７か月未満",設定!$D:$D,"女")</f>
        <v>0</v>
      </c>
      <c r="O20" s="217"/>
      <c r="P20" s="217"/>
      <c r="Q20" s="217"/>
      <c r="R20" s="218"/>
      <c r="S20" s="342">
        <f>SUMIFS(設定!I:I,設定!$F:$F,"その他７か月以上",設定!$D:$D,"女")+SUMIFS(設定!I:I,設定!$F:$F,"その他７か月未満",設定!$D:$D,"女")</f>
        <v>0</v>
      </c>
      <c r="T20" s="343"/>
      <c r="U20" s="343"/>
      <c r="V20" s="343"/>
      <c r="W20" s="344"/>
      <c r="X20" s="342">
        <f>SUMIFS(設定!J:J,設定!$F:$F,"その他７か月以上",設定!$D:$D,"女")+SUMIFS(設定!J:J,設定!$F:$F,"その他７か月未満",設定!$D:$D,"女")</f>
        <v>0</v>
      </c>
      <c r="Y20" s="343"/>
      <c r="Z20" s="343"/>
      <c r="AA20" s="343"/>
      <c r="AB20" s="344"/>
      <c r="AC20" s="342">
        <f>SUMIFS(設定!K:K,設定!$F:$F,"その他７か月以上",設定!$D:$D,"女")+SUMIFS(設定!K:K,設定!$F:$F,"その他７か月未満",設定!$D:$D,"女")</f>
        <v>0</v>
      </c>
      <c r="AD20" s="343"/>
      <c r="AE20" s="343"/>
      <c r="AF20" s="343"/>
      <c r="AG20" s="344"/>
      <c r="AH20" s="342">
        <f>SUMIFS(設定!L:L,設定!$F:$F,"その他７か月以上",設定!$D:$D,"女")+SUMIFS(設定!L:L,設定!$F:$F,"その他７か月未満",設定!$D:$D,"女")</f>
        <v>0</v>
      </c>
      <c r="AI20" s="343"/>
      <c r="AJ20" s="343"/>
      <c r="AK20" s="343"/>
      <c r="AL20" s="344"/>
      <c r="AM20" s="233">
        <f>SUMIFS(設定!M:M,設定!$F:$F,"その他７か月以上",設定!$D:$D,"女")+SUMIFS(設定!M:M,設定!$F:$F,"その他７か月未満",設定!$D:$D,"女")</f>
        <v>0</v>
      </c>
      <c r="AN20" s="217"/>
      <c r="AO20" s="217"/>
      <c r="AP20" s="217"/>
      <c r="AQ20" s="234"/>
    </row>
    <row r="21" spans="1:43" ht="13.8" thickTop="1" x14ac:dyDescent="0.2">
      <c r="A21" s="29"/>
      <c r="B21" s="339"/>
      <c r="C21" s="340"/>
      <c r="D21" s="282"/>
      <c r="E21" s="263"/>
      <c r="F21" s="333" t="s">
        <v>27</v>
      </c>
      <c r="G21" s="334"/>
      <c r="H21" s="334"/>
      <c r="I21" s="334"/>
      <c r="J21" s="334"/>
      <c r="K21" s="334"/>
      <c r="L21" s="334"/>
      <c r="M21" s="334"/>
      <c r="N21" s="211">
        <f>SUMIFS(設定!H:H,設定!$F:$F,"正社員７か月以上",設定!$D:$D,"女")+SUMIFS(設定!H:H,設定!$F:$F,"その他７か月以上",設定!$D:$D,"女")</f>
        <v>0</v>
      </c>
      <c r="O21" s="209"/>
      <c r="P21" s="209"/>
      <c r="Q21" s="209"/>
      <c r="R21" s="212"/>
      <c r="S21" s="208">
        <f>SUMIFS(設定!I:I,設定!$F:$F,"正社員７か月以上",設定!$D:$D,"女")+SUMIFS(設定!I:I,設定!$F:$F,"その他７か月以上",設定!$D:$D,"女")</f>
        <v>0</v>
      </c>
      <c r="T21" s="209"/>
      <c r="U21" s="209"/>
      <c r="V21" s="209"/>
      <c r="W21" s="212"/>
      <c r="X21" s="208">
        <f>SUMIFS(設定!J:J,設定!$F:$F,"正社員７か月以上",設定!$D:$D,"女")+SUMIFS(設定!J:J,設定!$F:$F,"その他７か月以上",設定!$D:$D,"女")</f>
        <v>0</v>
      </c>
      <c r="Y21" s="209"/>
      <c r="Z21" s="209"/>
      <c r="AA21" s="209"/>
      <c r="AB21" s="212"/>
      <c r="AC21" s="208">
        <f>SUMIFS(設定!K:K,設定!$F:$F,"正社員７か月以上",設定!$D:$D,"女")+SUMIFS(設定!K:K,設定!$F:$F,"その他７か月以上",設定!$D:$D,"女")</f>
        <v>0</v>
      </c>
      <c r="AD21" s="209"/>
      <c r="AE21" s="209"/>
      <c r="AF21" s="209"/>
      <c r="AG21" s="212"/>
      <c r="AH21" s="208">
        <f>SUMIFS(設定!L:L,設定!$F:$F,"正社員７か月以上",設定!$D:$D,"女")+SUMIFS(設定!L:L,設定!$F:$F,"その他７か月以上",設定!$D:$D,"女")</f>
        <v>0</v>
      </c>
      <c r="AI21" s="209"/>
      <c r="AJ21" s="209"/>
      <c r="AK21" s="209"/>
      <c r="AL21" s="212"/>
      <c r="AM21" s="208">
        <f>SUMIFS(設定!M:M,設定!$F:$F,"正社員７か月以上",設定!$D:$D,"女")+SUMIFS(設定!M:M,設定!$F:$F,"その他７か月以上",設定!$D:$D,"女")</f>
        <v>0</v>
      </c>
      <c r="AN21" s="209"/>
      <c r="AO21" s="209"/>
      <c r="AP21" s="209"/>
      <c r="AQ21" s="210"/>
    </row>
    <row r="22" spans="1:43" x14ac:dyDescent="0.2">
      <c r="A22" s="29"/>
      <c r="B22" s="307" t="s">
        <v>58</v>
      </c>
      <c r="C22" s="308"/>
      <c r="D22" s="308"/>
      <c r="E22" s="309"/>
      <c r="F22" s="316" t="s">
        <v>40</v>
      </c>
      <c r="G22" s="317"/>
      <c r="H22" s="317"/>
      <c r="I22" s="317"/>
      <c r="J22" s="317"/>
      <c r="K22" s="317"/>
      <c r="L22" s="317"/>
      <c r="M22" s="318"/>
      <c r="N22" s="235">
        <f>SUMIFS(設定!H:H,設定!$F:$F,"臨時雇用者",設定!$D:$D,"男")</f>
        <v>0</v>
      </c>
      <c r="O22" s="172"/>
      <c r="P22" s="172"/>
      <c r="Q22" s="172"/>
      <c r="R22" s="236"/>
      <c r="S22" s="171">
        <f>SUMIFS(設定!I:I,設定!$F:$F,"臨時雇用者",設定!$D:$D,"男")</f>
        <v>0</v>
      </c>
      <c r="T22" s="172"/>
      <c r="U22" s="172"/>
      <c r="V22" s="172"/>
      <c r="W22" s="236"/>
      <c r="X22" s="171">
        <f>SUMIFS(設定!J:J,設定!$F:$F,"臨時雇用者",設定!$D:$D,"男")</f>
        <v>0</v>
      </c>
      <c r="Y22" s="172"/>
      <c r="Z22" s="172"/>
      <c r="AA22" s="172"/>
      <c r="AB22" s="236"/>
      <c r="AC22" s="171">
        <f>SUMIFS(設定!K:K,設定!$F:$F,"臨時雇用者",設定!$D:$D,"男")</f>
        <v>0</v>
      </c>
      <c r="AD22" s="172"/>
      <c r="AE22" s="172"/>
      <c r="AF22" s="172"/>
      <c r="AG22" s="236"/>
      <c r="AH22" s="171">
        <f>SUMIFS(設定!L:L,設定!$F:$F,"臨時雇用者",設定!$D:$D,"男")</f>
        <v>0</v>
      </c>
      <c r="AI22" s="172"/>
      <c r="AJ22" s="172"/>
      <c r="AK22" s="172"/>
      <c r="AL22" s="236"/>
      <c r="AM22" s="171">
        <f>SUMIFS(設定!M:M,設定!$F:$F,"臨時雇用者",設定!$D:$D,"男")</f>
        <v>0</v>
      </c>
      <c r="AN22" s="172"/>
      <c r="AO22" s="172"/>
      <c r="AP22" s="172"/>
      <c r="AQ22" s="173"/>
    </row>
    <row r="23" spans="1:43" ht="13.2" customHeight="1" thickBot="1" x14ac:dyDescent="0.25">
      <c r="A23" s="29"/>
      <c r="B23" s="310"/>
      <c r="C23" s="311"/>
      <c r="D23" s="311"/>
      <c r="E23" s="312"/>
      <c r="F23" s="313" t="s">
        <v>48</v>
      </c>
      <c r="G23" s="314"/>
      <c r="H23" s="314"/>
      <c r="I23" s="314"/>
      <c r="J23" s="314"/>
      <c r="K23" s="314"/>
      <c r="L23" s="314"/>
      <c r="M23" s="315"/>
      <c r="N23" s="243">
        <f>SUMIFS(設定!H:H,設定!$F:$F,"臨時雇用者",設定!$D:$D,"女")</f>
        <v>0</v>
      </c>
      <c r="O23" s="241"/>
      <c r="P23" s="241"/>
      <c r="Q23" s="241"/>
      <c r="R23" s="244"/>
      <c r="S23" s="240">
        <f>SUMIFS(設定!I:I,設定!$F:$F,"臨時雇用者",設定!$D:$D,"女")</f>
        <v>0</v>
      </c>
      <c r="T23" s="241"/>
      <c r="U23" s="241"/>
      <c r="V23" s="241"/>
      <c r="W23" s="244"/>
      <c r="X23" s="240">
        <f>SUMIFS(設定!J:J,設定!$F:$F,"臨時雇用者",設定!$D:$D,"女")</f>
        <v>0</v>
      </c>
      <c r="Y23" s="241"/>
      <c r="Z23" s="241"/>
      <c r="AA23" s="241"/>
      <c r="AB23" s="244"/>
      <c r="AC23" s="240">
        <f>SUMIFS(設定!K:K,設定!$F:$F,"臨時雇用者",設定!$D:$D,"女")</f>
        <v>0</v>
      </c>
      <c r="AD23" s="241"/>
      <c r="AE23" s="241"/>
      <c r="AF23" s="241"/>
      <c r="AG23" s="244"/>
      <c r="AH23" s="240">
        <f>SUMIFS(設定!L:L,設定!$F:$F,"臨時雇用者",設定!$D:$D,"女")</f>
        <v>0</v>
      </c>
      <c r="AI23" s="241"/>
      <c r="AJ23" s="241"/>
      <c r="AK23" s="241"/>
      <c r="AL23" s="244"/>
      <c r="AM23" s="240">
        <f>SUMIFS(設定!M:M,設定!$F:$F,"臨時雇用者",設定!$D:$D,"女")</f>
        <v>0</v>
      </c>
      <c r="AN23" s="241"/>
      <c r="AO23" s="241"/>
      <c r="AP23" s="241"/>
      <c r="AQ23" s="242"/>
    </row>
    <row r="24" spans="1:43" x14ac:dyDescent="0.2">
      <c r="A24" s="29"/>
    </row>
    <row r="25" spans="1:43" ht="13.95" customHeight="1" thickBot="1" x14ac:dyDescent="0.25">
      <c r="B25" s="43" t="s">
        <v>59</v>
      </c>
      <c r="AQ25" s="33"/>
    </row>
    <row r="26" spans="1:43" ht="13.95" customHeight="1" x14ac:dyDescent="0.2">
      <c r="B26" s="270" t="s">
        <v>18</v>
      </c>
      <c r="C26" s="271"/>
      <c r="D26" s="271"/>
      <c r="E26" s="271"/>
      <c r="F26" s="271"/>
      <c r="G26" s="271"/>
      <c r="H26" s="271"/>
      <c r="I26" s="271"/>
      <c r="J26" s="271"/>
      <c r="K26" s="271"/>
      <c r="L26" s="271"/>
      <c r="M26" s="272"/>
      <c r="N26" s="299" t="s">
        <v>65</v>
      </c>
      <c r="O26" s="322"/>
      <c r="P26" s="322"/>
      <c r="Q26" s="322"/>
      <c r="R26" s="322"/>
      <c r="S26" s="48"/>
      <c r="T26" s="48"/>
      <c r="U26" s="48"/>
      <c r="V26" s="48"/>
      <c r="W26" s="48"/>
      <c r="X26" s="48"/>
      <c r="Y26" s="48"/>
      <c r="Z26" s="48"/>
      <c r="AA26" s="48"/>
      <c r="AB26" s="48"/>
      <c r="AC26" s="48"/>
      <c r="AD26" s="48"/>
      <c r="AE26" s="48"/>
      <c r="AF26" s="48"/>
      <c r="AG26" s="48"/>
      <c r="AH26" s="48"/>
      <c r="AI26" s="48"/>
      <c r="AJ26" s="48"/>
      <c r="AK26" s="48"/>
      <c r="AL26" s="48"/>
      <c r="AM26" s="48"/>
      <c r="AN26" s="48"/>
      <c r="AO26" s="48"/>
      <c r="AP26" s="48"/>
      <c r="AQ26" s="49"/>
    </row>
    <row r="27" spans="1:43" x14ac:dyDescent="0.2">
      <c r="B27" s="262"/>
      <c r="C27" s="283"/>
      <c r="D27" s="283"/>
      <c r="E27" s="283"/>
      <c r="F27" s="283"/>
      <c r="G27" s="283"/>
      <c r="H27" s="283"/>
      <c r="I27" s="283"/>
      <c r="J27" s="283"/>
      <c r="K27" s="283"/>
      <c r="L27" s="283"/>
      <c r="M27" s="263"/>
      <c r="N27" s="323"/>
      <c r="O27" s="324"/>
      <c r="P27" s="324"/>
      <c r="Q27" s="324"/>
      <c r="R27" s="324"/>
      <c r="S27" s="325" t="s">
        <v>52</v>
      </c>
      <c r="T27" s="326"/>
      <c r="U27" s="326"/>
      <c r="V27" s="326"/>
      <c r="W27" s="326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1"/>
      <c r="AM27" s="327" t="s">
        <v>53</v>
      </c>
      <c r="AN27" s="308"/>
      <c r="AO27" s="308"/>
      <c r="AP27" s="308"/>
      <c r="AQ27" s="328"/>
    </row>
    <row r="28" spans="1:43" x14ac:dyDescent="0.2">
      <c r="B28" s="262"/>
      <c r="C28" s="283"/>
      <c r="D28" s="283"/>
      <c r="E28" s="283"/>
      <c r="F28" s="283"/>
      <c r="G28" s="283"/>
      <c r="H28" s="283"/>
      <c r="I28" s="283"/>
      <c r="J28" s="283"/>
      <c r="K28" s="283"/>
      <c r="L28" s="283"/>
      <c r="M28" s="263"/>
      <c r="N28" s="323"/>
      <c r="O28" s="324"/>
      <c r="P28" s="324"/>
      <c r="Q28" s="324"/>
      <c r="R28" s="324"/>
      <c r="S28" s="282"/>
      <c r="T28" s="283"/>
      <c r="U28" s="283"/>
      <c r="V28" s="283"/>
      <c r="W28" s="283"/>
      <c r="X28" s="327" t="s">
        <v>54</v>
      </c>
      <c r="Y28" s="326"/>
      <c r="Z28" s="326"/>
      <c r="AA28" s="326"/>
      <c r="AB28" s="261"/>
      <c r="AC28" s="327" t="s">
        <v>55</v>
      </c>
      <c r="AD28" s="308"/>
      <c r="AE28" s="308"/>
      <c r="AF28" s="308"/>
      <c r="AG28" s="309"/>
      <c r="AH28" s="325" t="s">
        <v>56</v>
      </c>
      <c r="AI28" s="326"/>
      <c r="AJ28" s="326"/>
      <c r="AK28" s="326"/>
      <c r="AL28" s="261"/>
      <c r="AM28" s="329"/>
      <c r="AN28" s="330"/>
      <c r="AO28" s="330"/>
      <c r="AP28" s="330"/>
      <c r="AQ28" s="331"/>
    </row>
    <row r="29" spans="1:43" ht="13.8" thickBot="1" x14ac:dyDescent="0.25">
      <c r="B29" s="273"/>
      <c r="C29" s="274"/>
      <c r="D29" s="274"/>
      <c r="E29" s="274"/>
      <c r="F29" s="274"/>
      <c r="G29" s="274"/>
      <c r="H29" s="274"/>
      <c r="I29" s="274"/>
      <c r="J29" s="274"/>
      <c r="K29" s="274"/>
      <c r="L29" s="274"/>
      <c r="M29" s="275"/>
      <c r="N29" s="323"/>
      <c r="O29" s="324"/>
      <c r="P29" s="324"/>
      <c r="Q29" s="324"/>
      <c r="R29" s="324"/>
      <c r="S29" s="282"/>
      <c r="T29" s="283"/>
      <c r="U29" s="283"/>
      <c r="V29" s="283"/>
      <c r="W29" s="283"/>
      <c r="X29" s="282"/>
      <c r="Y29" s="283"/>
      <c r="Z29" s="283"/>
      <c r="AA29" s="283"/>
      <c r="AB29" s="263"/>
      <c r="AC29" s="329"/>
      <c r="AD29" s="330"/>
      <c r="AE29" s="330"/>
      <c r="AF29" s="330"/>
      <c r="AG29" s="332"/>
      <c r="AH29" s="282"/>
      <c r="AI29" s="283"/>
      <c r="AJ29" s="283"/>
      <c r="AK29" s="283"/>
      <c r="AL29" s="263"/>
      <c r="AM29" s="329"/>
      <c r="AN29" s="330"/>
      <c r="AO29" s="330"/>
      <c r="AP29" s="330"/>
      <c r="AQ29" s="331"/>
    </row>
    <row r="30" spans="1:43" ht="13.8" thickTop="1" x14ac:dyDescent="0.2">
      <c r="B30" s="319" t="s">
        <v>60</v>
      </c>
      <c r="C30" s="320"/>
      <c r="D30" s="320"/>
      <c r="E30" s="320"/>
      <c r="F30" s="320"/>
      <c r="G30" s="320"/>
      <c r="H30" s="320"/>
      <c r="I30" s="320"/>
      <c r="J30" s="320"/>
      <c r="K30" s="320"/>
      <c r="L30" s="320"/>
      <c r="M30" s="321"/>
      <c r="N30" s="251">
        <f>SUMIFS(設定!H:H,設定!$G:$G,"経営主")</f>
        <v>0</v>
      </c>
      <c r="O30" s="252"/>
      <c r="P30" s="252"/>
      <c r="Q30" s="252"/>
      <c r="R30" s="253"/>
      <c r="S30" s="245">
        <f>SUMIFS(設定!I:I,設定!$G:$G,"経営主")</f>
        <v>0</v>
      </c>
      <c r="T30" s="177"/>
      <c r="U30" s="177"/>
      <c r="V30" s="177"/>
      <c r="W30" s="178"/>
      <c r="X30" s="245">
        <f>SUMIFS(設定!J:J,設定!$G:$G,"経営主")</f>
        <v>0</v>
      </c>
      <c r="Y30" s="177"/>
      <c r="Z30" s="177"/>
      <c r="AA30" s="177"/>
      <c r="AB30" s="178"/>
      <c r="AC30" s="245">
        <f>SUMIFS(設定!K:K,設定!$G:$G,"経営主")</f>
        <v>0</v>
      </c>
      <c r="AD30" s="177"/>
      <c r="AE30" s="177"/>
      <c r="AF30" s="177"/>
      <c r="AG30" s="178"/>
      <c r="AH30" s="245">
        <f>SUMIFS(設定!L:L,設定!$G:$G,"経営主")</f>
        <v>0</v>
      </c>
      <c r="AI30" s="177"/>
      <c r="AJ30" s="177"/>
      <c r="AK30" s="177"/>
      <c r="AL30" s="178"/>
      <c r="AM30" s="245">
        <f>SUMIFS(設定!M:M,設定!$G:$G,"経営主")</f>
        <v>0</v>
      </c>
      <c r="AN30" s="177"/>
      <c r="AO30" s="177"/>
      <c r="AP30" s="177"/>
      <c r="AQ30" s="246"/>
    </row>
    <row r="31" spans="1:43" ht="13.95" customHeight="1" x14ac:dyDescent="0.2">
      <c r="B31" s="307" t="s">
        <v>33</v>
      </c>
      <c r="C31" s="308"/>
      <c r="D31" s="308"/>
      <c r="E31" s="309"/>
      <c r="F31" s="316" t="s">
        <v>40</v>
      </c>
      <c r="G31" s="317"/>
      <c r="H31" s="317"/>
      <c r="I31" s="317"/>
      <c r="J31" s="317"/>
      <c r="K31" s="317"/>
      <c r="L31" s="317"/>
      <c r="M31" s="318"/>
      <c r="N31" s="235">
        <f>SUMIFS(設定!H:H,設定!$G:$G,"構成員",設定!$F:$F,"&lt;&gt;有給役員",設定!$D:$D,"男")</f>
        <v>0</v>
      </c>
      <c r="O31" s="172"/>
      <c r="P31" s="172"/>
      <c r="Q31" s="172"/>
      <c r="R31" s="236"/>
      <c r="S31" s="171">
        <f>SUMIFS(設定!I:I,設定!$G:$G,"構成員",設定!$F:$F,"&lt;&gt;有給役員",設定!$D:$D,"男")</f>
        <v>0</v>
      </c>
      <c r="T31" s="172"/>
      <c r="U31" s="172"/>
      <c r="V31" s="172"/>
      <c r="W31" s="236"/>
      <c r="X31" s="171">
        <f>SUMIFS(設定!J:J,設定!$G:$G,"構成員",設定!$F:$F,"&lt;&gt;有給役員",設定!$D:$D,"男")</f>
        <v>0</v>
      </c>
      <c r="Y31" s="172"/>
      <c r="Z31" s="172"/>
      <c r="AA31" s="172"/>
      <c r="AB31" s="236"/>
      <c r="AC31" s="171">
        <f>SUMIFS(設定!K:K,設定!$G:$G,"構成員",設定!$F:$F,"&lt;&gt;有給役員",設定!$D:$D,"男")</f>
        <v>0</v>
      </c>
      <c r="AD31" s="172"/>
      <c r="AE31" s="172"/>
      <c r="AF31" s="172"/>
      <c r="AG31" s="236"/>
      <c r="AH31" s="171">
        <f>SUMIFS(設定!L:L,設定!$G:$G,"構成員",設定!$F:$F,"&lt;&gt;有給役員",設定!$D:$D,"男")</f>
        <v>0</v>
      </c>
      <c r="AI31" s="172"/>
      <c r="AJ31" s="172"/>
      <c r="AK31" s="172"/>
      <c r="AL31" s="236"/>
      <c r="AM31" s="171">
        <f>SUMIFS(設定!M:M,設定!$G:$G,"構成員",設定!$F:$F,"&lt;&gt;有給役員",設定!$D:$D,"男")</f>
        <v>0</v>
      </c>
      <c r="AN31" s="172"/>
      <c r="AO31" s="172"/>
      <c r="AP31" s="172"/>
      <c r="AQ31" s="173"/>
    </row>
    <row r="32" spans="1:43" ht="13.95" customHeight="1" thickBot="1" x14ac:dyDescent="0.25">
      <c r="B32" s="310"/>
      <c r="C32" s="311"/>
      <c r="D32" s="311"/>
      <c r="E32" s="312"/>
      <c r="F32" s="313" t="s">
        <v>48</v>
      </c>
      <c r="G32" s="314"/>
      <c r="H32" s="314"/>
      <c r="I32" s="314"/>
      <c r="J32" s="314"/>
      <c r="K32" s="314"/>
      <c r="L32" s="314"/>
      <c r="M32" s="315"/>
      <c r="N32" s="243">
        <f>SUMIFS(設定!H:H,設定!$G:$G,"構成員",設定!$F:$F,"&lt;&gt;有給役員",設定!$D:$D,"女")</f>
        <v>0</v>
      </c>
      <c r="O32" s="241"/>
      <c r="P32" s="241"/>
      <c r="Q32" s="241"/>
      <c r="R32" s="244"/>
      <c r="S32" s="240">
        <f>SUMIFS(設定!I:I,設定!$G:$G,"構成員",設定!$F:$F,"&lt;&gt;有給役員",設定!$D:$D,"女")</f>
        <v>0</v>
      </c>
      <c r="T32" s="241"/>
      <c r="U32" s="241"/>
      <c r="V32" s="241"/>
      <c r="W32" s="244"/>
      <c r="X32" s="240">
        <f>SUMIFS(設定!J:J,設定!$G:$G,"構成員",設定!$F:$F,"&lt;&gt;有給役員",設定!$D:$D,"女")</f>
        <v>0</v>
      </c>
      <c r="Y32" s="241"/>
      <c r="Z32" s="241"/>
      <c r="AA32" s="241"/>
      <c r="AB32" s="244"/>
      <c r="AC32" s="240">
        <f>SUMIFS(設定!K:K,設定!$G:$G,"構成員",設定!$F:$F,"&lt;&gt;有給役員",設定!$D:$D,"女")</f>
        <v>0</v>
      </c>
      <c r="AD32" s="241"/>
      <c r="AE32" s="241"/>
      <c r="AF32" s="241"/>
      <c r="AG32" s="244"/>
      <c r="AH32" s="240">
        <f>SUMIFS(設定!L:L,設定!$G:$G,"構成員",設定!$F:$F,"&lt;&gt;有給役員",設定!$D:$D,"女")</f>
        <v>0</v>
      </c>
      <c r="AI32" s="241"/>
      <c r="AJ32" s="241"/>
      <c r="AK32" s="241"/>
      <c r="AL32" s="244"/>
      <c r="AM32" s="240">
        <f>SUMIFS(設定!M:M,設定!$G:$G,"構成員",設定!$F:$F,"&lt;&gt;有給役員",設定!$D:$D,"女")</f>
        <v>0</v>
      </c>
      <c r="AN32" s="241"/>
      <c r="AO32" s="241"/>
      <c r="AP32" s="241"/>
      <c r="AQ32" s="242"/>
    </row>
    <row r="33" spans="1:43" ht="13.95" customHeight="1" thickTop="1" x14ac:dyDescent="0.2">
      <c r="A33" s="29"/>
      <c r="B33" s="52"/>
      <c r="AD33" s="33"/>
      <c r="AF33" s="305"/>
      <c r="AG33" s="305"/>
      <c r="AH33" s="305"/>
      <c r="AI33" s="305"/>
      <c r="AJ33" s="305"/>
      <c r="AK33" s="305"/>
      <c r="AL33" s="305"/>
      <c r="AM33" s="305"/>
      <c r="AN33" s="305"/>
      <c r="AO33" s="305"/>
      <c r="AP33" s="305"/>
      <c r="AQ33" s="305"/>
    </row>
    <row r="34" spans="1:43" ht="15" customHeight="1" thickBot="1" x14ac:dyDescent="0.25">
      <c r="A34" s="29"/>
      <c r="B34" s="53" t="s">
        <v>61</v>
      </c>
      <c r="AD34" s="33"/>
      <c r="AF34" s="306"/>
      <c r="AG34" s="306"/>
      <c r="AH34" s="306"/>
      <c r="AI34" s="306"/>
      <c r="AJ34" s="306"/>
      <c r="AK34" s="306"/>
      <c r="AL34" s="306"/>
      <c r="AM34" s="306"/>
      <c r="AN34" s="306"/>
      <c r="AO34" s="306"/>
      <c r="AP34" s="306"/>
      <c r="AQ34" s="306"/>
    </row>
    <row r="35" spans="1:43" ht="13.2" customHeight="1" x14ac:dyDescent="0.2">
      <c r="B35" s="270" t="s">
        <v>18</v>
      </c>
      <c r="C35" s="271"/>
      <c r="D35" s="271"/>
      <c r="E35" s="271"/>
      <c r="F35" s="271"/>
      <c r="G35" s="271"/>
      <c r="H35" s="271"/>
      <c r="I35" s="271"/>
      <c r="J35" s="272"/>
      <c r="K35" s="293" t="s">
        <v>62</v>
      </c>
      <c r="L35" s="293"/>
      <c r="M35" s="293"/>
      <c r="N35" s="293"/>
      <c r="O35" s="294"/>
      <c r="P35" s="299" t="s">
        <v>66</v>
      </c>
      <c r="Q35" s="300"/>
      <c r="R35" s="300"/>
      <c r="S35" s="300"/>
      <c r="T35" s="300"/>
      <c r="U35" s="54"/>
      <c r="V35" s="54"/>
      <c r="W35" s="54"/>
      <c r="X35" s="54"/>
      <c r="Y35" s="55"/>
      <c r="AC35" s="56"/>
      <c r="AG35"/>
      <c r="AH35"/>
      <c r="AI35"/>
      <c r="AJ35"/>
      <c r="AK35"/>
      <c r="AL35"/>
      <c r="AM35"/>
      <c r="AN35"/>
      <c r="AO35"/>
      <c r="AP35"/>
      <c r="AQ35"/>
    </row>
    <row r="36" spans="1:43" ht="13.2" customHeight="1" x14ac:dyDescent="0.2">
      <c r="B36" s="262"/>
      <c r="C36" s="283"/>
      <c r="D36" s="283"/>
      <c r="E36" s="283"/>
      <c r="F36" s="283"/>
      <c r="G36" s="283"/>
      <c r="H36" s="283"/>
      <c r="I36" s="283"/>
      <c r="J36" s="263"/>
      <c r="K36" s="295"/>
      <c r="L36" s="295"/>
      <c r="M36" s="295"/>
      <c r="N36" s="295"/>
      <c r="O36" s="296"/>
      <c r="P36" s="301"/>
      <c r="Q36" s="302"/>
      <c r="R36" s="302"/>
      <c r="S36" s="302"/>
      <c r="T36" s="302"/>
      <c r="U36" s="287" t="s">
        <v>63</v>
      </c>
      <c r="V36" s="288"/>
      <c r="W36" s="288"/>
      <c r="X36" s="288"/>
      <c r="Y36" s="289"/>
      <c r="AC36" s="56"/>
      <c r="AG36"/>
      <c r="AH36"/>
      <c r="AI36"/>
      <c r="AJ36"/>
      <c r="AK36"/>
      <c r="AL36"/>
      <c r="AM36"/>
      <c r="AN36"/>
      <c r="AO36"/>
      <c r="AP36"/>
      <c r="AQ36"/>
    </row>
    <row r="37" spans="1:43" ht="13.95" customHeight="1" thickBot="1" x14ac:dyDescent="0.25">
      <c r="A37" s="29"/>
      <c r="B37" s="273"/>
      <c r="C37" s="274"/>
      <c r="D37" s="274"/>
      <c r="E37" s="274"/>
      <c r="F37" s="274"/>
      <c r="G37" s="274"/>
      <c r="H37" s="274"/>
      <c r="I37" s="274"/>
      <c r="J37" s="275"/>
      <c r="K37" s="297"/>
      <c r="L37" s="297"/>
      <c r="M37" s="297"/>
      <c r="N37" s="297"/>
      <c r="O37" s="298"/>
      <c r="P37" s="290"/>
      <c r="Q37" s="291"/>
      <c r="R37" s="291"/>
      <c r="S37" s="291"/>
      <c r="T37" s="291"/>
      <c r="U37" s="290"/>
      <c r="V37" s="291"/>
      <c r="W37" s="291"/>
      <c r="X37" s="291"/>
      <c r="Y37" s="292"/>
      <c r="AC37" s="56"/>
      <c r="AG37"/>
      <c r="AH37"/>
      <c r="AI37"/>
      <c r="AJ37"/>
      <c r="AK37"/>
      <c r="AL37"/>
      <c r="AM37"/>
      <c r="AN37"/>
      <c r="AO37"/>
      <c r="AP37"/>
      <c r="AQ37"/>
    </row>
    <row r="38" spans="1:43" ht="13.95" customHeight="1" thickTop="1" x14ac:dyDescent="0.2">
      <c r="A38" s="29"/>
      <c r="B38" s="262" t="s">
        <v>40</v>
      </c>
      <c r="C38" s="263"/>
      <c r="D38" s="303" t="s">
        <v>41</v>
      </c>
      <c r="E38" s="304"/>
      <c r="F38" s="304"/>
      <c r="G38" s="304"/>
      <c r="H38" s="304"/>
      <c r="I38" s="304"/>
      <c r="J38" s="304"/>
      <c r="K38" s="176">
        <f>SUMIFS(設定!$I:$I,設定!$D:$D,"男",設定!$E:$E,"&gt;=16",設定!$E:$E,"&lt;35",設定!$F:$F,"有給役員")</f>
        <v>0</v>
      </c>
      <c r="L38" s="177"/>
      <c r="M38" s="177"/>
      <c r="N38" s="177"/>
      <c r="O38" s="178"/>
      <c r="P38" s="245">
        <f>SUMIFS(設定!$I:$I,設定!$D:$D,"男",設定!$E:$E,"&gt;=16",設定!$E:$E,"&lt;35",設定!$F:$F,"正社員７か月以上")+SUMIFS(設定!$I:$I,設定!$D:$D,"男",設定!$E:$E,"&gt;=16",設定!$E:$E,"&lt;35",設定!$F:$F,"正社員７か月未満")+SUMIFS(設定!$I:$I,設定!$D:$D,"男",設定!$E:$E,"&gt;=16",設定!$E:$E,"&lt;35",設定!$F:$F,"その他７か月以上")+SUMIFS(設定!$I:$I,設定!$D:$D,"男",設定!$E:$E,"&gt;=16",設定!$E:$E,"&lt;35",設定!$F:$F,"その他７か月未満")</f>
        <v>0</v>
      </c>
      <c r="Q38" s="177"/>
      <c r="R38" s="177"/>
      <c r="S38" s="177"/>
      <c r="T38" s="178"/>
      <c r="U38" s="245">
        <f>SUMIFS(設定!$I:$I,設定!$D:$D,"男",設定!$E:$E,"&gt;=16",設定!$E:$E,"&lt;35",設定!$F:$F,"正社員７か月以上")+SUMIFS(設定!$I:$I,設定!$D:$D,"男",設定!$E:$E,"&gt;=16",設定!$E:$E,"&lt;35",設定!$F:$F,"その他７か月以上")</f>
        <v>0</v>
      </c>
      <c r="V38" s="177"/>
      <c r="W38" s="177"/>
      <c r="X38" s="177"/>
      <c r="Y38" s="246"/>
      <c r="AC38" s="56"/>
      <c r="AG38"/>
      <c r="AH38"/>
      <c r="AI38"/>
      <c r="AJ38"/>
      <c r="AK38"/>
      <c r="AL38"/>
      <c r="AM38"/>
      <c r="AN38"/>
      <c r="AO38"/>
      <c r="AP38"/>
      <c r="AQ38"/>
    </row>
    <row r="39" spans="1:43" ht="13.2" customHeight="1" x14ac:dyDescent="0.2">
      <c r="A39" s="31"/>
      <c r="B39" s="262"/>
      <c r="C39" s="263"/>
      <c r="D39" s="266" t="s">
        <v>42</v>
      </c>
      <c r="E39" s="267"/>
      <c r="F39" s="267"/>
      <c r="G39" s="267"/>
      <c r="H39" s="267"/>
      <c r="I39" s="267"/>
      <c r="J39" s="267"/>
      <c r="K39" s="235">
        <f>SUMIFS(設定!$I:$I,設定!$D:$D,"男",設定!$E:$E,"&gt;=35",設定!$E:$E,"&lt;45",設定!$F:$F,"有給役員")</f>
        <v>0</v>
      </c>
      <c r="L39" s="172"/>
      <c r="M39" s="172"/>
      <c r="N39" s="172"/>
      <c r="O39" s="236"/>
      <c r="P39" s="171">
        <f>SUMIFS(設定!$I:$I,設定!$D:$D,"男",設定!$E:$E,"&gt;=35",設定!$E:$E,"&lt;45",設定!$F:$F,"正社員７か月以上")+SUMIFS(設定!$I:$I,設定!$D:$D,"男",設定!$E:$E,"&gt;=35",設定!$E:$E,"&lt;45",設定!$F:$F,"正社員７か月未満")+SUMIFS(設定!$I:$I,設定!$D:$D,"男",設定!$E:$E,"&gt;=35",設定!$E:$E,"&lt;45",設定!$F:$F,"その他７か月以上")+SUMIFS(設定!$I:$I,設定!$D:$D,"男",設定!$E:$E,"&gt;=35",設定!$E:$E,"&lt;45",設定!$F:$F,"その他７か月未満")</f>
        <v>0</v>
      </c>
      <c r="Q39" s="172"/>
      <c r="R39" s="172"/>
      <c r="S39" s="172"/>
      <c r="T39" s="236"/>
      <c r="U39" s="171">
        <f>SUMIFS(設定!$I:$I,設定!$D:$D,"男",設定!$E:$E,"&gt;=35",設定!$E:$E,"&lt;45",設定!$F:$F,"正社員７か月以上")+SUMIFS(設定!$I:$I,設定!$D:$D,"男",設定!$E:$E,"&gt;=35",設定!$E:$E,"&lt;45",設定!$F:$F,"その他７か月以上")</f>
        <v>0</v>
      </c>
      <c r="V39" s="172"/>
      <c r="W39" s="172"/>
      <c r="X39" s="172"/>
      <c r="Y39" s="173"/>
      <c r="AG39"/>
      <c r="AH39"/>
      <c r="AI39"/>
      <c r="AJ39"/>
      <c r="AK39"/>
      <c r="AL39"/>
      <c r="AM39"/>
      <c r="AN39"/>
      <c r="AO39"/>
      <c r="AP39"/>
      <c r="AQ39"/>
    </row>
    <row r="40" spans="1:43" ht="13.2" customHeight="1" x14ac:dyDescent="0.2">
      <c r="A40" s="31"/>
      <c r="B40" s="262"/>
      <c r="C40" s="263"/>
      <c r="D40" s="268" t="s">
        <v>43</v>
      </c>
      <c r="E40" s="269"/>
      <c r="F40" s="269"/>
      <c r="G40" s="269"/>
      <c r="H40" s="269"/>
      <c r="I40" s="269"/>
      <c r="J40" s="269"/>
      <c r="K40" s="235">
        <f>SUMIFS(設定!$I:$I,設定!$D:$D,"男",設定!$E:$E,"&gt;=45",設定!$E:$E,"&lt;50",設定!$F:$F,"有給役員")</f>
        <v>0</v>
      </c>
      <c r="L40" s="172"/>
      <c r="M40" s="172"/>
      <c r="N40" s="172"/>
      <c r="O40" s="236"/>
      <c r="P40" s="171">
        <f>SUMIFS(設定!$I:$I,設定!$D:$D,"男",設定!$E:$E,"&gt;=45",設定!$E:$E,"&lt;50",設定!$F:$F,"正社員７か月以上")+SUMIFS(設定!$I:$I,設定!$D:$D,"男",設定!$E:$E,"&gt;=45",設定!$E:$E,"&lt;50",設定!$F:$F,"正社員７か月未満")+SUMIFS(設定!$I:$I,設定!$D:$D,"男",設定!$E:$E,"&gt;=45",設定!$E:$E,"&lt;50",設定!$F:$F,"その他７か月以上")+SUMIFS(設定!$I:$I,設定!$D:$D,"男",設定!$E:$E,"&gt;=45",設定!$E:$E,"&lt;50",設定!$F:$F,"その他７か月未満")</f>
        <v>0</v>
      </c>
      <c r="Q40" s="172"/>
      <c r="R40" s="172"/>
      <c r="S40" s="172"/>
      <c r="T40" s="236"/>
      <c r="U40" s="171">
        <f>SUMIFS(設定!$I:$I,設定!$D:$D,"男",設定!$E:$E,"&gt;=45",設定!$E:$E,"&lt;50",設定!$F:$F,"正社員７か月以上")+SUMIFS(設定!$I:$I,設定!$D:$D,"男",設定!$E:$E,"&gt;=45",設定!$E:$E,"&lt;50",設定!$F:$F,"その他７か月以上")</f>
        <v>0</v>
      </c>
      <c r="V40" s="172"/>
      <c r="W40" s="172"/>
      <c r="X40" s="172"/>
      <c r="Y40" s="173"/>
      <c r="AG40"/>
      <c r="AH40"/>
      <c r="AI40"/>
      <c r="AJ40"/>
      <c r="AK40"/>
      <c r="AL40"/>
      <c r="AM40"/>
      <c r="AN40"/>
      <c r="AO40"/>
      <c r="AP40"/>
      <c r="AQ40"/>
    </row>
    <row r="41" spans="1:43" ht="13.2" customHeight="1" x14ac:dyDescent="0.2">
      <c r="B41" s="262"/>
      <c r="C41" s="263"/>
      <c r="D41" s="266" t="s">
        <v>44</v>
      </c>
      <c r="E41" s="267"/>
      <c r="F41" s="267"/>
      <c r="G41" s="267"/>
      <c r="H41" s="267"/>
      <c r="I41" s="267"/>
      <c r="J41" s="267"/>
      <c r="K41" s="235">
        <f>SUMIFS(設定!$I:$I,設定!$D:$D,"男",設定!$E:$E,"&gt;=50",設定!$E:$E,"&lt;60",設定!$F:$F,"有給役員")</f>
        <v>0</v>
      </c>
      <c r="L41" s="172"/>
      <c r="M41" s="172"/>
      <c r="N41" s="172"/>
      <c r="O41" s="236"/>
      <c r="P41" s="171">
        <f>SUMIFS(設定!$I:$I,設定!$D:$D,"男",設定!$E:$E,"&gt;=50",設定!$E:$E,"&lt;60",設定!$F:$F,"正社員７か月以上")+SUMIFS(設定!$I:$I,設定!$D:$D,"男",設定!$E:$E,"&gt;=50",設定!$E:$E,"&lt;60",設定!$F:$F,"正社員７か月未満")+SUMIFS(設定!$I:$I,設定!$D:$D,"男",設定!$E:$E,"&gt;=50",設定!$E:$E,"&lt;60",設定!$F:$F,"その他７か月以上")+SUMIFS(設定!$I:$I,設定!$D:$D,"男",設定!$E:$E,"&gt;=50",設定!$E:$E,"&lt;60",設定!$F:$F,"その他７か月未満")</f>
        <v>0</v>
      </c>
      <c r="Q41" s="172"/>
      <c r="R41" s="172"/>
      <c r="S41" s="172"/>
      <c r="T41" s="236"/>
      <c r="U41" s="171">
        <f>SUMIFS(設定!$I:$I,設定!$D:$D,"男",設定!$E:$E,"&gt;=50",設定!$E:$E,"&lt;60",設定!$F:$F,"正社員７か月以上")+SUMIFS(設定!$I:$I,設定!$D:$D,"男",設定!$E:$E,"&gt;=50",設定!$E:$E,"&lt;60",設定!$F:$F,"その他７か月以上")</f>
        <v>0</v>
      </c>
      <c r="V41" s="172"/>
      <c r="W41" s="172"/>
      <c r="X41" s="172"/>
      <c r="Y41" s="173"/>
      <c r="AG41"/>
      <c r="AH41"/>
      <c r="AI41"/>
      <c r="AJ41"/>
      <c r="AK41"/>
      <c r="AL41"/>
      <c r="AM41"/>
      <c r="AN41"/>
      <c r="AO41"/>
      <c r="AP41"/>
      <c r="AQ41"/>
    </row>
    <row r="42" spans="1:43" ht="13.2" customHeight="1" x14ac:dyDescent="0.2">
      <c r="B42" s="262"/>
      <c r="C42" s="263"/>
      <c r="D42" s="268" t="s">
        <v>45</v>
      </c>
      <c r="E42" s="269"/>
      <c r="F42" s="269"/>
      <c r="G42" s="269"/>
      <c r="H42" s="269"/>
      <c r="I42" s="269"/>
      <c r="J42" s="269"/>
      <c r="K42" s="235">
        <f>SUMIFS(設定!$I:$I,設定!$D:$D,"男",設定!$E:$E,"&gt;=60",設定!$E:$E,"&lt;65",設定!$F:$F,"有給役員")</f>
        <v>0</v>
      </c>
      <c r="L42" s="172"/>
      <c r="M42" s="172"/>
      <c r="N42" s="172"/>
      <c r="O42" s="236"/>
      <c r="P42" s="171">
        <f>SUMIFS(設定!$I:$I,設定!$D:$D,"男",設定!$E:$E,"&gt;=60",設定!$E:$E,"&lt;65",設定!$F:$F,"正社員７か月以上")+SUMIFS(設定!$I:$I,設定!$D:$D,"男",設定!$E:$E,"&gt;=60",設定!$E:$E,"&lt;65",設定!$F:$F,"正社員７か月未満")+SUMIFS(設定!$I:$I,設定!$D:$D,"男",設定!$E:$E,"&gt;=60",設定!$E:$E,"&lt;65",設定!$F:$F,"その他７か月以上")+SUMIFS(設定!$I:$I,設定!$D:$D,"男",設定!$E:$E,"&gt;=60",設定!$E:$E,"&lt;65",設定!$F:$F,"その他７か月未満")</f>
        <v>0</v>
      </c>
      <c r="Q42" s="172"/>
      <c r="R42" s="172"/>
      <c r="S42" s="172"/>
      <c r="T42" s="236"/>
      <c r="U42" s="171">
        <f>SUMIFS(設定!$I:$I,設定!$D:$D,"男",設定!$E:$E,"&gt;=60",設定!$E:$E,"&lt;65",設定!$F:$F,"正社員７か月以上")+SUMIFS(設定!$I:$I,設定!$D:$D,"男",設定!$E:$E,"&gt;=60",設定!$E:$E,"&lt;65",設定!$F:$F,"その他７か月以上")</f>
        <v>0</v>
      </c>
      <c r="V42" s="172"/>
      <c r="W42" s="172"/>
      <c r="X42" s="172"/>
      <c r="Y42" s="173"/>
      <c r="AG42"/>
      <c r="AH42"/>
      <c r="AI42"/>
      <c r="AJ42"/>
      <c r="AK42"/>
      <c r="AL42"/>
      <c r="AM42"/>
      <c r="AN42"/>
      <c r="AO42"/>
      <c r="AP42"/>
      <c r="AQ42"/>
    </row>
    <row r="43" spans="1:43" ht="13.2" customHeight="1" x14ac:dyDescent="0.2">
      <c r="B43" s="262"/>
      <c r="C43" s="263"/>
      <c r="D43" s="268" t="s">
        <v>46</v>
      </c>
      <c r="E43" s="269"/>
      <c r="F43" s="269"/>
      <c r="G43" s="269"/>
      <c r="H43" s="269"/>
      <c r="I43" s="269"/>
      <c r="J43" s="269"/>
      <c r="K43" s="235">
        <f>SUMIFS(設定!$I:$I,設定!$D:$D,"男",設定!$E:$E,"&gt;=65",設定!$E:$E,"&lt;70",設定!$F:$F,"有給役員")</f>
        <v>0</v>
      </c>
      <c r="L43" s="172"/>
      <c r="M43" s="172"/>
      <c r="N43" s="172"/>
      <c r="O43" s="236"/>
      <c r="P43" s="171">
        <f>SUMIFS(設定!$I:$I,設定!$D:$D,"男",設定!$E:$E,"&gt;=65",設定!$E:$E,"&lt;70",設定!$F:$F,"正社員７か月以上")+SUMIFS(設定!$I:$I,設定!$D:$D,"男",設定!$E:$E,"&gt;=65",設定!$E:$E,"&lt;70",設定!$F:$F,"正社員７か月未満")+SUMIFS(設定!$I:$I,設定!$D:$D,"男",設定!$E:$E,"&gt;=65",設定!$E:$E,"&lt;70",設定!$F:$F,"その他７か月以上")+SUMIFS(設定!$I:$I,設定!$D:$D,"男",設定!$E:$E,"&gt;=65",設定!$E:$E,"&lt;70",設定!$F:$F,"その他７か月未満")</f>
        <v>0</v>
      </c>
      <c r="Q43" s="172"/>
      <c r="R43" s="172"/>
      <c r="S43" s="172"/>
      <c r="T43" s="236"/>
      <c r="U43" s="171">
        <f>SUMIFS(設定!$I:$I,設定!$D:$D,"男",設定!$E:$E,"&gt;=65",設定!$E:$E,"&lt;70",設定!$F:$F,"正社員７か月以上")+SUMIFS(設定!$I:$I,設定!$D:$D,"男",設定!$E:$E,"&gt;=65",設定!$E:$E,"&lt;70",設定!$F:$F,"その他７か月以上")</f>
        <v>0</v>
      </c>
      <c r="V43" s="172"/>
      <c r="W43" s="172"/>
      <c r="X43" s="172"/>
      <c r="Y43" s="173"/>
      <c r="AG43"/>
      <c r="AH43"/>
      <c r="AI43"/>
      <c r="AJ43"/>
      <c r="AK43"/>
      <c r="AL43"/>
      <c r="AM43"/>
      <c r="AN43"/>
      <c r="AO43"/>
      <c r="AP43"/>
      <c r="AQ43"/>
    </row>
    <row r="44" spans="1:43" ht="13.95" customHeight="1" x14ac:dyDescent="0.2">
      <c r="B44" s="273"/>
      <c r="C44" s="275"/>
      <c r="D44" s="268" t="s">
        <v>47</v>
      </c>
      <c r="E44" s="269"/>
      <c r="F44" s="269"/>
      <c r="G44" s="269"/>
      <c r="H44" s="269"/>
      <c r="I44" s="269"/>
      <c r="J44" s="269"/>
      <c r="K44" s="235">
        <f>SUMIFS(設定!$I:$I,設定!$D:$D,"男",設定!$E:$E,"&gt;=70",設定!$E:$E,"&lt;999",設定!$F:$F,"有給役員")</f>
        <v>0</v>
      </c>
      <c r="L44" s="172"/>
      <c r="M44" s="172"/>
      <c r="N44" s="172"/>
      <c r="O44" s="236"/>
      <c r="P44" s="171">
        <f>SUMIFS(設定!$I:$I,設定!$D:$D,"男",設定!$E:$E,"&gt;=70",設定!$E:$E,"&lt;999",設定!$F:$F,"正社員７か月以上")+SUMIFS(設定!$I:$I,設定!$D:$D,"男",設定!$E:$E,"&gt;=70",設定!$E:$E,"&lt;999",設定!$F:$F,"正社員７か月未満")+SUMIFS(設定!$I:$I,設定!$D:$D,"男",設定!$E:$E,"&gt;=70",設定!$E:$E,"&lt;999",設定!$F:$F,"その他７か月以上")+SUMIFS(設定!$I:$I,設定!$D:$D,"男",設定!$E:$E,"&gt;=70",設定!$E:$E,"&lt;999",設定!$F:$F,"その他７か月未満")</f>
        <v>0</v>
      </c>
      <c r="Q44" s="172"/>
      <c r="R44" s="172"/>
      <c r="S44" s="172"/>
      <c r="T44" s="236"/>
      <c r="U44" s="171">
        <f>SUMIFS(設定!$I:$I,設定!$D:$D,"男",設定!$E:$E,"&gt;=70",設定!$E:$E,"&lt;999",設定!$F:$F,"正社員７か月以上")+SUMIFS(設定!$I:$I,設定!$D:$D,"男",設定!$E:$E,"&gt;=70",設定!$E:$E,"&lt;999",設定!$F:$F,"その他７か月以上")</f>
        <v>0</v>
      </c>
      <c r="V44" s="172"/>
      <c r="W44" s="172"/>
      <c r="X44" s="172"/>
      <c r="Y44" s="173"/>
      <c r="AG44"/>
      <c r="AH44"/>
      <c r="AI44"/>
      <c r="AJ44"/>
      <c r="AK44"/>
      <c r="AL44"/>
      <c r="AM44"/>
      <c r="AN44"/>
      <c r="AO44"/>
      <c r="AP44"/>
      <c r="AQ44"/>
    </row>
    <row r="45" spans="1:43" x14ac:dyDescent="0.2">
      <c r="B45" s="260" t="s">
        <v>48</v>
      </c>
      <c r="C45" s="261"/>
      <c r="D45" s="179" t="s">
        <v>41</v>
      </c>
      <c r="E45" s="180"/>
      <c r="F45" s="180"/>
      <c r="G45" s="180"/>
      <c r="H45" s="180"/>
      <c r="I45" s="180"/>
      <c r="J45" s="180"/>
      <c r="K45" s="235">
        <f>SUMIFS(設定!$I:$I,設定!$D:$D,"女",設定!$E:$E,"&gt;=16",設定!$E:$E,"&lt;35",設定!$F:$F,"有給役員")</f>
        <v>0</v>
      </c>
      <c r="L45" s="172"/>
      <c r="M45" s="172"/>
      <c r="N45" s="172"/>
      <c r="O45" s="236"/>
      <c r="P45" s="171">
        <f>SUMIFS(設定!$I:$I,設定!$D:$D,"女",設定!$E:$E,"&gt;=16",設定!$E:$E,"&lt;35",設定!$F:$F,"正社員７か月以上")+SUMIFS(設定!$I:$I,設定!$D:$D,"女",設定!$E:$E,"&gt;=16",設定!$E:$E,"&lt;35",設定!$F:$F,"正社員７か月未満")+SUMIFS(設定!$I:$I,設定!$D:$D,"女",設定!$E:$E,"&gt;=16",設定!$E:$E,"&lt;35",設定!$F:$F,"その他７か月以上")+SUMIFS(設定!$I:$I,設定!$D:$D,"女",設定!$E:$E,"&gt;=16",設定!$E:$E,"&lt;35",設定!$F:$F,"その他７か月未満")</f>
        <v>0</v>
      </c>
      <c r="Q45" s="172"/>
      <c r="R45" s="172"/>
      <c r="S45" s="172"/>
      <c r="T45" s="236"/>
      <c r="U45" s="171">
        <f>SUMIFS(設定!$I:$I,設定!$D:$D,"女",設定!$E:$E,"&gt;=16",設定!$E:$E,"&lt;35",設定!$F:$F,"正社員７か月以上")+SUMIFS(設定!$I:$I,設定!$D:$D,"女",設定!$E:$E,"&gt;=16",設定!$E:$E,"&lt;35",設定!$F:$F,"その他７か月以上")</f>
        <v>0</v>
      </c>
      <c r="V45" s="172"/>
      <c r="W45" s="172"/>
      <c r="X45" s="172"/>
      <c r="Y45" s="173"/>
      <c r="AG45"/>
      <c r="AH45"/>
      <c r="AI45"/>
      <c r="AJ45"/>
      <c r="AK45"/>
      <c r="AL45"/>
      <c r="AM45"/>
      <c r="AN45"/>
      <c r="AO45"/>
      <c r="AP45"/>
      <c r="AQ45"/>
    </row>
    <row r="46" spans="1:43" x14ac:dyDescent="0.2">
      <c r="B46" s="262"/>
      <c r="C46" s="263"/>
      <c r="D46" s="266" t="s">
        <v>8</v>
      </c>
      <c r="E46" s="267"/>
      <c r="F46" s="267"/>
      <c r="G46" s="267"/>
      <c r="H46" s="267"/>
      <c r="I46" s="267"/>
      <c r="J46" s="267"/>
      <c r="K46" s="235">
        <f>SUMIFS(設定!$I:$I,設定!$D:$D,"女",設定!$E:$E,"&gt;=35",設定!$E:$E,"&lt;45",設定!$F:$F,"有給役員")</f>
        <v>0</v>
      </c>
      <c r="L46" s="172"/>
      <c r="M46" s="172"/>
      <c r="N46" s="172"/>
      <c r="O46" s="236"/>
      <c r="P46" s="171">
        <f>SUMIFS(設定!$I:$I,設定!$D:$D,"女",設定!$E:$E,"&gt;=35",設定!$E:$E,"&lt;45",設定!$F:$F,"正社員７か月以上")+SUMIFS(設定!$I:$I,設定!$D:$D,"女",設定!$E:$E,"&gt;=35",設定!$E:$E,"&lt;45",設定!$F:$F,"正社員７か月未満")+SUMIFS(設定!$I:$I,設定!$D:$D,"女",設定!$E:$E,"&gt;=35",設定!$E:$E,"&lt;45",設定!$F:$F,"その他７か月以上")+SUMIFS(設定!$I:$I,設定!$D:$D,"女",設定!$E:$E,"&gt;=35",設定!$E:$E,"&lt;45",設定!$F:$F,"その他７か月未満")</f>
        <v>0</v>
      </c>
      <c r="Q46" s="172"/>
      <c r="R46" s="172"/>
      <c r="S46" s="172"/>
      <c r="T46" s="236"/>
      <c r="U46" s="171">
        <f>SUMIFS(設定!$I:$I,設定!$D:$D,"女",設定!$E:$E,"&gt;=35",設定!$E:$E,"&lt;45",設定!$F:$F,"正社員７か月以上")+SUMIFS(設定!$I:$I,設定!$D:$D,"女",設定!$E:$E,"&gt;=35",設定!$E:$E,"&lt;45",設定!$F:$F,"その他７か月以上")</f>
        <v>0</v>
      </c>
      <c r="V46" s="172"/>
      <c r="W46" s="172"/>
      <c r="X46" s="172"/>
      <c r="Y46" s="173"/>
      <c r="AG46"/>
      <c r="AH46"/>
      <c r="AI46"/>
      <c r="AJ46"/>
      <c r="AK46"/>
      <c r="AL46"/>
      <c r="AM46"/>
      <c r="AN46"/>
      <c r="AO46"/>
      <c r="AP46"/>
      <c r="AQ46"/>
    </row>
    <row r="47" spans="1:43" x14ac:dyDescent="0.2">
      <c r="B47" s="262"/>
      <c r="C47" s="263"/>
      <c r="D47" s="268" t="s">
        <v>9</v>
      </c>
      <c r="E47" s="269"/>
      <c r="F47" s="269"/>
      <c r="G47" s="269"/>
      <c r="H47" s="269"/>
      <c r="I47" s="269"/>
      <c r="J47" s="269"/>
      <c r="K47" s="235">
        <f>SUMIFS(設定!$I:$I,設定!$D:$D,"女",設定!$E:$E,"&gt;=45",設定!$E:$E,"&lt;50",設定!$F:$F,"有給役員")</f>
        <v>0</v>
      </c>
      <c r="L47" s="172"/>
      <c r="M47" s="172"/>
      <c r="N47" s="172"/>
      <c r="O47" s="236"/>
      <c r="P47" s="171">
        <f>SUMIFS(設定!$I:$I,設定!$D:$D,"女",設定!$E:$E,"&gt;=45",設定!$E:$E,"&lt;50",設定!$F:$F,"正社員７か月以上")+SUMIFS(設定!$I:$I,設定!$D:$D,"女",設定!$E:$E,"&gt;=45",設定!$E:$E,"&lt;50",設定!$F:$F,"正社員７か月未満")+SUMIFS(設定!$I:$I,設定!$D:$D,"女",設定!$E:$E,"&gt;=45",設定!$E:$E,"&lt;50",設定!$F:$F,"その他７か月以上")+SUMIFS(設定!$I:$I,設定!$D:$D,"女",設定!$E:$E,"&gt;=45",設定!$E:$E,"&lt;50",設定!$F:$F,"その他７か月未満")</f>
        <v>0</v>
      </c>
      <c r="Q47" s="172"/>
      <c r="R47" s="172"/>
      <c r="S47" s="172"/>
      <c r="T47" s="236"/>
      <c r="U47" s="171">
        <f>SUMIFS(設定!$I:$I,設定!$D:$D,"女",設定!$E:$E,"&gt;=45",設定!$E:$E,"&lt;50",設定!$F:$F,"正社員７か月以上")+SUMIFS(設定!$I:$I,設定!$D:$D,"女",設定!$E:$E,"&gt;=45",設定!$E:$E,"&lt;50",設定!$F:$F,"その他７か月以上")</f>
        <v>0</v>
      </c>
      <c r="V47" s="172"/>
      <c r="W47" s="172"/>
      <c r="X47" s="172"/>
      <c r="Y47" s="173"/>
      <c r="AG47"/>
      <c r="AH47"/>
      <c r="AI47"/>
      <c r="AJ47"/>
      <c r="AK47"/>
      <c r="AL47"/>
      <c r="AM47"/>
      <c r="AN47"/>
      <c r="AO47"/>
      <c r="AP47"/>
      <c r="AQ47"/>
    </row>
    <row r="48" spans="1:43" x14ac:dyDescent="0.2">
      <c r="B48" s="262"/>
      <c r="C48" s="263"/>
      <c r="D48" s="266" t="s">
        <v>10</v>
      </c>
      <c r="E48" s="267"/>
      <c r="F48" s="267"/>
      <c r="G48" s="267"/>
      <c r="H48" s="267"/>
      <c r="I48" s="267"/>
      <c r="J48" s="267"/>
      <c r="K48" s="235">
        <f>SUMIFS(設定!$I:$I,設定!$D:$D,"女",設定!$E:$E,"&gt;=50",設定!$E:$E,"&lt;60",設定!$F:$F,"有給役員")</f>
        <v>0</v>
      </c>
      <c r="L48" s="172"/>
      <c r="M48" s="172"/>
      <c r="N48" s="172"/>
      <c r="O48" s="236"/>
      <c r="P48" s="171">
        <f>SUMIFS(設定!$I:$I,設定!$D:$D,"女",設定!$E:$E,"&gt;=50",設定!$E:$E,"&lt;60",設定!$F:$F,"正社員７か月以上")+SUMIFS(設定!$I:$I,設定!$D:$D,"女",設定!$E:$E,"&gt;=50",設定!$E:$E,"&lt;60",設定!$F:$F,"正社員７か月未満")+SUMIFS(設定!$I:$I,設定!$D:$D,"女",設定!$E:$E,"&gt;=50",設定!$E:$E,"&lt;60",設定!$F:$F,"その他７か月以上")+SUMIFS(設定!$I:$I,設定!$D:$D,"女",設定!$E:$E,"&gt;=50",設定!$E:$E,"&lt;60",設定!$F:$F,"その他７か月未満")</f>
        <v>0</v>
      </c>
      <c r="Q48" s="172"/>
      <c r="R48" s="172"/>
      <c r="S48" s="172"/>
      <c r="T48" s="236"/>
      <c r="U48" s="171">
        <f>SUMIFS(設定!$I:$I,設定!$D:$D,"女",設定!$E:$E,"&gt;=50",設定!$E:$E,"&lt;60",設定!$F:$F,"正社員７か月以上")+SUMIFS(設定!$I:$I,設定!$D:$D,"女",設定!$E:$E,"&gt;=50",設定!$E:$E,"&lt;60",設定!$F:$F,"その他７か月以上")</f>
        <v>0</v>
      </c>
      <c r="V48" s="172"/>
      <c r="W48" s="172"/>
      <c r="X48" s="172"/>
      <c r="Y48" s="173"/>
      <c r="AG48"/>
      <c r="AH48"/>
      <c r="AI48"/>
      <c r="AJ48"/>
      <c r="AK48"/>
      <c r="AL48"/>
      <c r="AM48"/>
      <c r="AN48"/>
      <c r="AO48"/>
      <c r="AP48"/>
      <c r="AQ48"/>
    </row>
    <row r="49" spans="2:43" x14ac:dyDescent="0.2">
      <c r="B49" s="262"/>
      <c r="C49" s="263"/>
      <c r="D49" s="268" t="s">
        <v>11</v>
      </c>
      <c r="E49" s="269"/>
      <c r="F49" s="269"/>
      <c r="G49" s="269"/>
      <c r="H49" s="269"/>
      <c r="I49" s="269"/>
      <c r="J49" s="269"/>
      <c r="K49" s="235">
        <f>SUMIFS(設定!$I:$I,設定!$D:$D,"女",設定!$E:$E,"&gt;=60",設定!$E:$E,"&lt;65",設定!$F:$F,"有給役員")</f>
        <v>0</v>
      </c>
      <c r="L49" s="172"/>
      <c r="M49" s="172"/>
      <c r="N49" s="172"/>
      <c r="O49" s="236"/>
      <c r="P49" s="171">
        <f>SUMIFS(設定!$I:$I,設定!$D:$D,"女",設定!$E:$E,"&gt;=60",設定!$E:$E,"&lt;65",設定!$F:$F,"正社員７か月以上")+SUMIFS(設定!$I:$I,設定!$D:$D,"女",設定!$E:$E,"&gt;=60",設定!$E:$E,"&lt;65",設定!$F:$F,"正社員７か月未満")+SUMIFS(設定!$I:$I,設定!$D:$D,"女",設定!$E:$E,"&gt;=60",設定!$E:$E,"&lt;65",設定!$F:$F,"その他７か月以上")+SUMIFS(設定!$I:$I,設定!$D:$D,"女",設定!$E:$E,"&gt;=60",設定!$E:$E,"&lt;65",設定!$F:$F,"その他７か月未満")</f>
        <v>0</v>
      </c>
      <c r="Q49" s="172"/>
      <c r="R49" s="172"/>
      <c r="S49" s="172"/>
      <c r="T49" s="236"/>
      <c r="U49" s="171">
        <f>SUMIFS(設定!$I:$I,設定!$D:$D,"女",設定!$E:$E,"&gt;=60",設定!$E:$E,"&lt;65",設定!$F:$F,"正社員７か月以上")+SUMIFS(設定!$I:$I,設定!$D:$D,"女",設定!$E:$E,"&gt;=60",設定!$E:$E,"&lt;65",設定!$F:$F,"その他７か月以上")</f>
        <v>0</v>
      </c>
      <c r="V49" s="172"/>
      <c r="W49" s="172"/>
      <c r="X49" s="172"/>
      <c r="Y49" s="173"/>
      <c r="AG49"/>
      <c r="AH49"/>
      <c r="AI49"/>
      <c r="AJ49"/>
      <c r="AK49"/>
      <c r="AL49"/>
      <c r="AM49"/>
      <c r="AN49"/>
      <c r="AO49"/>
      <c r="AP49"/>
      <c r="AQ49"/>
    </row>
    <row r="50" spans="2:43" x14ac:dyDescent="0.2">
      <c r="B50" s="262"/>
      <c r="C50" s="263"/>
      <c r="D50" s="268" t="s">
        <v>12</v>
      </c>
      <c r="E50" s="269"/>
      <c r="F50" s="269"/>
      <c r="G50" s="269"/>
      <c r="H50" s="269"/>
      <c r="I50" s="269"/>
      <c r="J50" s="269"/>
      <c r="K50" s="235">
        <f>SUMIFS(設定!$I:$I,設定!$D:$D,"女",設定!$E:$E,"&gt;=65",設定!$E:$E,"&lt;70",設定!$F:$F,"有給役員")</f>
        <v>0</v>
      </c>
      <c r="L50" s="172"/>
      <c r="M50" s="172"/>
      <c r="N50" s="172"/>
      <c r="O50" s="236"/>
      <c r="P50" s="171">
        <f>SUMIFS(設定!$I:$I,設定!$D:$D,"女",設定!$E:$E,"&gt;=65",設定!$E:$E,"&lt;70",設定!$F:$F,"正社員７か月以上")+SUMIFS(設定!$I:$I,設定!$D:$D,"女",設定!$E:$E,"&gt;=65",設定!$E:$E,"&lt;70",設定!$F:$F,"正社員７か月未満")+SUMIFS(設定!$I:$I,設定!$D:$D,"女",設定!$E:$E,"&gt;=65",設定!$E:$E,"&lt;70",設定!$F:$F,"その他７か月以上")+SUMIFS(設定!$I:$I,設定!$D:$D,"女",設定!$E:$E,"&gt;=65",設定!$E:$E,"&lt;70",設定!$F:$F,"その他７か月未満")</f>
        <v>0</v>
      </c>
      <c r="Q50" s="172"/>
      <c r="R50" s="172"/>
      <c r="S50" s="172"/>
      <c r="T50" s="236"/>
      <c r="U50" s="171">
        <f>SUMIFS(設定!$I:$I,設定!$D:$D,"女",設定!$E:$E,"&gt;=65",設定!$E:$E,"&lt;70",設定!$F:$F,"正社員７か月以上")+SUMIFS(設定!$I:$I,設定!$D:$D,"女",設定!$E:$E,"&gt;=65",設定!$E:$E,"&lt;70",設定!$F:$F,"その他７か月以上")</f>
        <v>0</v>
      </c>
      <c r="V50" s="172"/>
      <c r="W50" s="172"/>
      <c r="X50" s="172"/>
      <c r="Y50" s="173"/>
      <c r="AG50"/>
      <c r="AH50"/>
      <c r="AI50"/>
      <c r="AJ50"/>
      <c r="AK50"/>
      <c r="AL50"/>
      <c r="AM50"/>
      <c r="AN50"/>
      <c r="AO50"/>
      <c r="AP50"/>
      <c r="AQ50"/>
    </row>
    <row r="51" spans="2:43" ht="13.8" thickBot="1" x14ac:dyDescent="0.25">
      <c r="B51" s="264"/>
      <c r="C51" s="265"/>
      <c r="D51" s="197" t="s">
        <v>47</v>
      </c>
      <c r="E51" s="198"/>
      <c r="F51" s="198"/>
      <c r="G51" s="198"/>
      <c r="H51" s="198"/>
      <c r="I51" s="198"/>
      <c r="J51" s="198"/>
      <c r="K51" s="243">
        <f>SUMIFS(設定!$I:$I,設定!$D:$D,"女",設定!$E:$E,"&gt;=70",設定!$E:$E,"&lt;999",設定!$F:$F,"有給役員")</f>
        <v>0</v>
      </c>
      <c r="L51" s="241"/>
      <c r="M51" s="241"/>
      <c r="N51" s="241"/>
      <c r="O51" s="244"/>
      <c r="P51" s="240">
        <f>SUMIFS(設定!$I:$I,設定!$D:$D,"女",設定!$E:$E,"&gt;=70",設定!$E:$E,"&lt;999",設定!$F:$F,"正社員７か月以上")+SUMIFS(設定!$I:$I,設定!$D:$D,"女",設定!$E:$E,"&gt;=70",設定!$E:$E,"&lt;999",設定!$F:$F,"正社員７か月未満")+SUMIFS(設定!$I:$I,設定!$D:$D,"女",設定!$E:$E,"&gt;=70",設定!$E:$E,"&lt;999",設定!$F:$F,"その他７か月以上")+SUMIFS(設定!$I:$I,設定!$D:$D,"女",設定!$E:$E,"&gt;=70",設定!$E:$E,"&lt;999",設定!$F:$F,"その他７か月未満")</f>
        <v>0</v>
      </c>
      <c r="Q51" s="241"/>
      <c r="R51" s="241"/>
      <c r="S51" s="241"/>
      <c r="T51" s="244"/>
      <c r="U51" s="240">
        <f>SUMIFS(設定!$I:$I,設定!$D:$D,"女",設定!$E:$E,"&gt;=70",設定!$E:$E,"&lt;999",設定!$F:$F,"正社員７か月以上")+SUMIFS(設定!$I:$I,設定!$D:$D,"女",設定!$E:$E,"&gt;=70",設定!$E:$E,"&lt;999",設定!$F:$F,"その他７か月以上")</f>
        <v>0</v>
      </c>
      <c r="V51" s="241"/>
      <c r="W51" s="241"/>
      <c r="X51" s="241"/>
      <c r="Y51" s="242"/>
      <c r="AG51"/>
      <c r="AH51"/>
      <c r="AI51"/>
      <c r="AJ51"/>
      <c r="AK51"/>
      <c r="AL51"/>
      <c r="AM51"/>
      <c r="AN51"/>
      <c r="AO51"/>
      <c r="AP51"/>
      <c r="AQ51"/>
    </row>
  </sheetData>
  <mergeCells count="174">
    <mergeCell ref="AM11:AQ13"/>
    <mergeCell ref="X12:AB13"/>
    <mergeCell ref="AC12:AG13"/>
    <mergeCell ref="AH12:AL13"/>
    <mergeCell ref="B10:M13"/>
    <mergeCell ref="N10:R13"/>
    <mergeCell ref="S11:W13"/>
    <mergeCell ref="S15:W15"/>
    <mergeCell ref="X15:AB15"/>
    <mergeCell ref="AC15:AG15"/>
    <mergeCell ref="AH15:AL15"/>
    <mergeCell ref="AM15:AQ15"/>
    <mergeCell ref="S14:W14"/>
    <mergeCell ref="X14:AB14"/>
    <mergeCell ref="AC14:AG14"/>
    <mergeCell ref="AH14:AL14"/>
    <mergeCell ref="AM14:AQ14"/>
    <mergeCell ref="F15:M15"/>
    <mergeCell ref="N15:R15"/>
    <mergeCell ref="B14:E15"/>
    <mergeCell ref="F14:M14"/>
    <mergeCell ref="N14:R14"/>
    <mergeCell ref="AM16:AQ16"/>
    <mergeCell ref="F17:M17"/>
    <mergeCell ref="N17:R17"/>
    <mergeCell ref="S17:W17"/>
    <mergeCell ref="X17:AB17"/>
    <mergeCell ref="AC17:AG17"/>
    <mergeCell ref="AH17:AL17"/>
    <mergeCell ref="F16:M16"/>
    <mergeCell ref="N16:R16"/>
    <mergeCell ref="S16:W16"/>
    <mergeCell ref="X16:AB16"/>
    <mergeCell ref="AC16:AG16"/>
    <mergeCell ref="AH16:AL16"/>
    <mergeCell ref="AM18:AQ18"/>
    <mergeCell ref="D19:E21"/>
    <mergeCell ref="F19:M19"/>
    <mergeCell ref="N19:R19"/>
    <mergeCell ref="S19:W19"/>
    <mergeCell ref="X19:AB19"/>
    <mergeCell ref="AC19:AG19"/>
    <mergeCell ref="AM17:AQ17"/>
    <mergeCell ref="F18:M18"/>
    <mergeCell ref="N18:R18"/>
    <mergeCell ref="S18:W18"/>
    <mergeCell ref="X18:AB18"/>
    <mergeCell ref="AC18:AG18"/>
    <mergeCell ref="AH18:AL18"/>
    <mergeCell ref="AH19:AL19"/>
    <mergeCell ref="AM19:AQ19"/>
    <mergeCell ref="F20:M20"/>
    <mergeCell ref="N20:R20"/>
    <mergeCell ref="S20:W20"/>
    <mergeCell ref="X20:AB20"/>
    <mergeCell ref="AC20:AG20"/>
    <mergeCell ref="AH20:AL20"/>
    <mergeCell ref="AM20:AQ20"/>
    <mergeCell ref="AC23:AG23"/>
    <mergeCell ref="AH23:AL23"/>
    <mergeCell ref="AM23:AQ23"/>
    <mergeCell ref="F23:M23"/>
    <mergeCell ref="N23:R23"/>
    <mergeCell ref="S23:W23"/>
    <mergeCell ref="AM21:AQ21"/>
    <mergeCell ref="B22:E23"/>
    <mergeCell ref="F22:M22"/>
    <mergeCell ref="N22:R22"/>
    <mergeCell ref="S22:W22"/>
    <mergeCell ref="X22:AB22"/>
    <mergeCell ref="AC22:AG22"/>
    <mergeCell ref="AH22:AL22"/>
    <mergeCell ref="AM22:AQ22"/>
    <mergeCell ref="X23:AB23"/>
    <mergeCell ref="F21:M21"/>
    <mergeCell ref="N21:R21"/>
    <mergeCell ref="S21:W21"/>
    <mergeCell ref="X21:AB21"/>
    <mergeCell ref="AC21:AG21"/>
    <mergeCell ref="AH21:AL21"/>
    <mergeCell ref="B16:C21"/>
    <mergeCell ref="D16:E18"/>
    <mergeCell ref="N30:R30"/>
    <mergeCell ref="S30:W30"/>
    <mergeCell ref="X30:AB30"/>
    <mergeCell ref="AC30:AG30"/>
    <mergeCell ref="AH30:AL30"/>
    <mergeCell ref="AM30:AQ30"/>
    <mergeCell ref="B30:M30"/>
    <mergeCell ref="B26:M29"/>
    <mergeCell ref="N26:R29"/>
    <mergeCell ref="S27:W29"/>
    <mergeCell ref="AM27:AQ29"/>
    <mergeCell ref="X28:AB29"/>
    <mergeCell ref="AC28:AG29"/>
    <mergeCell ref="AH28:AL29"/>
    <mergeCell ref="AH32:AL32"/>
    <mergeCell ref="AM32:AQ32"/>
    <mergeCell ref="AF33:AQ34"/>
    <mergeCell ref="B31:E32"/>
    <mergeCell ref="AM31:AQ31"/>
    <mergeCell ref="F32:M32"/>
    <mergeCell ref="N32:R32"/>
    <mergeCell ref="S32:W32"/>
    <mergeCell ref="X32:AB32"/>
    <mergeCell ref="AC32:AG32"/>
    <mergeCell ref="F31:M31"/>
    <mergeCell ref="N31:R31"/>
    <mergeCell ref="S31:W31"/>
    <mergeCell ref="X31:AB31"/>
    <mergeCell ref="AC31:AG31"/>
    <mergeCell ref="AH31:AL31"/>
    <mergeCell ref="U36:Y37"/>
    <mergeCell ref="B35:J37"/>
    <mergeCell ref="K35:O37"/>
    <mergeCell ref="P35:T37"/>
    <mergeCell ref="D42:J42"/>
    <mergeCell ref="K42:O42"/>
    <mergeCell ref="P40:T40"/>
    <mergeCell ref="U40:Y40"/>
    <mergeCell ref="D41:J41"/>
    <mergeCell ref="K41:O41"/>
    <mergeCell ref="D40:J40"/>
    <mergeCell ref="K40:O40"/>
    <mergeCell ref="P42:T42"/>
    <mergeCell ref="U42:Y42"/>
    <mergeCell ref="B38:C44"/>
    <mergeCell ref="P41:T41"/>
    <mergeCell ref="U41:Y41"/>
    <mergeCell ref="D39:J39"/>
    <mergeCell ref="K39:O39"/>
    <mergeCell ref="P39:T39"/>
    <mergeCell ref="U39:Y39"/>
    <mergeCell ref="D38:J38"/>
    <mergeCell ref="K38:O38"/>
    <mergeCell ref="P38:T38"/>
    <mergeCell ref="U38:Y38"/>
    <mergeCell ref="D51:J51"/>
    <mergeCell ref="K51:O51"/>
    <mergeCell ref="P51:T51"/>
    <mergeCell ref="U51:Y51"/>
    <mergeCell ref="P43:T43"/>
    <mergeCell ref="U43:Y43"/>
    <mergeCell ref="U48:Y48"/>
    <mergeCell ref="D44:J44"/>
    <mergeCell ref="K44:O44"/>
    <mergeCell ref="D43:J43"/>
    <mergeCell ref="K43:O43"/>
    <mergeCell ref="P44:T44"/>
    <mergeCell ref="U44:Y44"/>
    <mergeCell ref="B45:C51"/>
    <mergeCell ref="D45:J45"/>
    <mergeCell ref="K45:O45"/>
    <mergeCell ref="P45:T45"/>
    <mergeCell ref="U45:Y45"/>
    <mergeCell ref="D50:J50"/>
    <mergeCell ref="K50:O50"/>
    <mergeCell ref="P50:T50"/>
    <mergeCell ref="U50:Y50"/>
    <mergeCell ref="D46:J46"/>
    <mergeCell ref="K46:O46"/>
    <mergeCell ref="P46:T46"/>
    <mergeCell ref="U46:Y46"/>
    <mergeCell ref="D49:J49"/>
    <mergeCell ref="K49:O49"/>
    <mergeCell ref="P49:T49"/>
    <mergeCell ref="U49:Y49"/>
    <mergeCell ref="D48:J48"/>
    <mergeCell ref="K48:O48"/>
    <mergeCell ref="P48:T48"/>
    <mergeCell ref="D47:J47"/>
    <mergeCell ref="K47:O47"/>
    <mergeCell ref="P47:T47"/>
    <mergeCell ref="U47:Y47"/>
  </mergeCells>
  <phoneticPr fontId="2"/>
  <pageMargins left="0.19685039370078741" right="0.19685039370078741" top="0.31496062992125984" bottom="0.19685039370078741" header="0" footer="0.27559055118110237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1DBB1-D785-4231-AA9F-8B2124A64D50}">
  <dimension ref="A1:A48"/>
  <sheetViews>
    <sheetView workbookViewId="0">
      <selection activeCell="E34" sqref="E34"/>
    </sheetView>
  </sheetViews>
  <sheetFormatPr defaultRowHeight="13.2" x14ac:dyDescent="0.2"/>
  <cols>
    <col min="1" max="1" width="30.6640625" style="101" customWidth="1"/>
  </cols>
  <sheetData>
    <row r="1" spans="1:1" x14ac:dyDescent="0.2">
      <c r="A1" s="97" t="s">
        <v>75</v>
      </c>
    </row>
    <row r="2" spans="1:1" x14ac:dyDescent="0.2">
      <c r="A2" s="98" t="s">
        <v>7</v>
      </c>
    </row>
    <row r="3" spans="1:1" x14ac:dyDescent="0.2">
      <c r="A3" s="99" t="s">
        <v>76</v>
      </c>
    </row>
    <row r="4" spans="1:1" x14ac:dyDescent="0.2">
      <c r="A4" s="99" t="s">
        <v>5</v>
      </c>
    </row>
    <row r="5" spans="1:1" x14ac:dyDescent="0.2">
      <c r="A5" s="99" t="s">
        <v>74</v>
      </c>
    </row>
    <row r="6" spans="1:1" x14ac:dyDescent="0.2">
      <c r="A6" s="100" t="s">
        <v>6</v>
      </c>
    </row>
    <row r="15" spans="1:1" x14ac:dyDescent="0.2">
      <c r="A15" s="28"/>
    </row>
    <row r="16" spans="1:1" x14ac:dyDescent="0.2">
      <c r="A16" s="28"/>
    </row>
    <row r="17" spans="1:1" x14ac:dyDescent="0.2">
      <c r="A17" s="28"/>
    </row>
    <row r="18" spans="1:1" x14ac:dyDescent="0.2">
      <c r="A18" s="28"/>
    </row>
    <row r="19" spans="1:1" x14ac:dyDescent="0.2">
      <c r="A19" s="28"/>
    </row>
    <row r="20" spans="1:1" x14ac:dyDescent="0.2">
      <c r="A20" s="28"/>
    </row>
    <row r="21" spans="1:1" x14ac:dyDescent="0.2">
      <c r="A21" s="28"/>
    </row>
    <row r="22" spans="1:1" x14ac:dyDescent="0.2">
      <c r="A22" s="28"/>
    </row>
    <row r="23" spans="1:1" x14ac:dyDescent="0.2">
      <c r="A23" s="28"/>
    </row>
    <row r="32" spans="1:1" x14ac:dyDescent="0.2">
      <c r="A32" s="28"/>
    </row>
    <row r="33" spans="1:1" x14ac:dyDescent="0.2">
      <c r="A33" s="28"/>
    </row>
    <row r="34" spans="1:1" x14ac:dyDescent="0.2">
      <c r="A34" s="28"/>
    </row>
    <row r="35" spans="1:1" x14ac:dyDescent="0.2">
      <c r="A35" s="28"/>
    </row>
    <row r="36" spans="1:1" x14ac:dyDescent="0.2">
      <c r="A36" s="28"/>
    </row>
    <row r="37" spans="1:1" x14ac:dyDescent="0.2">
      <c r="A37" s="28"/>
    </row>
    <row r="38" spans="1:1" x14ac:dyDescent="0.2">
      <c r="A38" s="28"/>
    </row>
    <row r="39" spans="1:1" x14ac:dyDescent="0.2">
      <c r="A39" s="28"/>
    </row>
    <row r="40" spans="1:1" x14ac:dyDescent="0.2">
      <c r="A40" s="28"/>
    </row>
    <row r="41" spans="1:1" x14ac:dyDescent="0.2">
      <c r="A41" s="28"/>
    </row>
    <row r="42" spans="1:1" x14ac:dyDescent="0.2">
      <c r="A42" s="28"/>
    </row>
    <row r="43" spans="1:1" x14ac:dyDescent="0.2">
      <c r="A43" s="28"/>
    </row>
    <row r="44" spans="1:1" x14ac:dyDescent="0.2">
      <c r="A44" s="28"/>
    </row>
    <row r="45" spans="1:1" x14ac:dyDescent="0.2">
      <c r="A45" s="28"/>
    </row>
    <row r="46" spans="1:1" x14ac:dyDescent="0.2">
      <c r="A46" s="28"/>
    </row>
    <row r="47" spans="1:1" x14ac:dyDescent="0.2">
      <c r="A47" s="28"/>
    </row>
    <row r="48" spans="1:1" x14ac:dyDescent="0.2">
      <c r="A48" s="28"/>
    </row>
  </sheetData>
  <phoneticPr fontId="2"/>
  <pageMargins left="0.19685039370078741" right="0.19685039370078741" top="0.31496062992125984" bottom="0.19685039370078741" header="0" footer="0.27559055118110237"/>
  <pageSetup paperSize="9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5</vt:i4>
      </vt:variant>
      <vt:variant>
        <vt:lpstr>名前付き一覧</vt:lpstr>
      </vt:variant>
      <vt:variant>
        <vt:i4>5</vt:i4>
      </vt:variant>
    </vt:vector>
  </HeadingPairs>
  <TitlesOfParts>
    <vt:vector size="10" baseType="lpstr">
      <vt:lpstr>設定</vt:lpstr>
      <vt:lpstr>日別入力</vt:lpstr>
      <vt:lpstr>12_01_労働の概況</vt:lpstr>
      <vt:lpstr>12_02_労働の概況</vt:lpstr>
      <vt:lpstr>リスト </vt:lpstr>
      <vt:lpstr>'12_01_労働の概況'!Print_Area</vt:lpstr>
      <vt:lpstr>'12_02_労働の概況'!Print_Area</vt:lpstr>
      <vt:lpstr>日別入力!Print_Area</vt:lpstr>
      <vt:lpstr>設定!Print_Titles</vt:lpstr>
      <vt:lpstr>日別入力!Print_Titles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2023-10-04T03:25:46Z</dcterms:modified>
</cp:coreProperties>
</file>