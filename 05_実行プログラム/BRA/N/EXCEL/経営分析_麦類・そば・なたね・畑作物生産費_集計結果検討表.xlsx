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20" yWindow="2280" windowWidth="29040" windowHeight="15840"/>
  </bookViews>
  <sheets>
    <sheet name="No.1" sheetId="17" r:id="rId1"/>
    <sheet name="No.2" sheetId="18" r:id="rId2"/>
    <sheet name="No.3" sheetId="19" r:id="rId3"/>
    <sheet name="No.4" sheetId="21" r:id="rId4"/>
    <sheet name="リスト" sheetId="26" state="hidden" r:id="rId5"/>
  </sheets>
  <definedNames>
    <definedName name="_xlnm.Print_Area" localSheetId="0">No.1!$A$1:$CH$57</definedName>
    <definedName name="_xlnm.Print_Area" localSheetId="1">No.2!$A$1:$CH$57</definedName>
    <definedName name="_xlnm.Print_Area" localSheetId="2">No.3!$A$1:$CE$54</definedName>
    <definedName name="_xlnm.Print_Area" localSheetId="3">No.4!$A$1:$CI$64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21" l="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CD4" i="21"/>
  <c r="CC4" i="21"/>
  <c r="CB4" i="21"/>
  <c r="BZ4" i="21"/>
  <c r="BY4" i="21"/>
  <c r="BX4" i="21"/>
  <c r="BW4" i="21"/>
  <c r="BU4" i="21"/>
  <c r="BT4" i="21"/>
  <c r="BS4" i="21"/>
  <c r="BR4" i="21"/>
  <c r="BP4" i="21"/>
  <c r="BO4" i="21"/>
  <c r="BN4" i="21"/>
  <c r="BM4" i="21"/>
  <c r="BK4" i="21"/>
  <c r="BJ4" i="21"/>
  <c r="BI4" i="21"/>
  <c r="BH4" i="21"/>
  <c r="BF4" i="21"/>
  <c r="BE4" i="21"/>
  <c r="BD4" i="21"/>
  <c r="BC4" i="21"/>
  <c r="BA4" i="21"/>
  <c r="AZ4" i="21"/>
  <c r="AY4" i="21"/>
  <c r="AX4" i="21"/>
  <c r="AV4" i="21"/>
  <c r="AU4" i="21"/>
  <c r="AT4" i="21"/>
  <c r="AS4" i="21"/>
  <c r="AQ4" i="21"/>
  <c r="AP4" i="21"/>
  <c r="AO4" i="21"/>
  <c r="AN4" i="21"/>
  <c r="AL4" i="21"/>
  <c r="AK4" i="21"/>
  <c r="AJ4" i="21"/>
  <c r="AI4" i="21"/>
  <c r="AG4" i="21"/>
  <c r="AF4" i="21"/>
  <c r="AE4" i="21"/>
  <c r="AD4" i="21"/>
  <c r="AC4" i="21"/>
  <c r="AB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CD4" i="19"/>
  <c r="CC4" i="19"/>
  <c r="CB4" i="19"/>
  <c r="BZ4" i="19"/>
  <c r="BY4" i="19"/>
  <c r="BX4" i="19"/>
  <c r="BW4" i="19"/>
  <c r="BU4" i="19"/>
  <c r="BT4" i="19"/>
  <c r="BS4" i="19"/>
  <c r="BR4" i="19"/>
  <c r="BP4" i="19"/>
  <c r="BO4" i="19"/>
  <c r="BN4" i="19"/>
  <c r="BM4" i="19"/>
  <c r="BK4" i="19"/>
  <c r="BJ4" i="19"/>
  <c r="BI4" i="19"/>
  <c r="BH4" i="19"/>
  <c r="BF4" i="19"/>
  <c r="BE4" i="19"/>
  <c r="BD4" i="19"/>
  <c r="BC4" i="19"/>
  <c r="BA4" i="19"/>
  <c r="AZ4" i="19"/>
  <c r="AY4" i="19"/>
  <c r="AX4" i="19"/>
  <c r="AV4" i="19"/>
  <c r="AU4" i="19"/>
  <c r="AT4" i="19"/>
  <c r="AS4" i="19"/>
  <c r="AQ4" i="19"/>
  <c r="AP4" i="19"/>
  <c r="AO4" i="19"/>
  <c r="AN4" i="19"/>
  <c r="AL4" i="19"/>
  <c r="AK4" i="19"/>
  <c r="AJ4" i="19"/>
  <c r="AI4" i="19"/>
  <c r="AG4" i="19"/>
  <c r="AF4" i="19"/>
  <c r="AE4" i="19"/>
  <c r="AD4" i="19"/>
  <c r="AC4" i="19"/>
  <c r="AB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AK4" i="18"/>
  <c r="AJ4" i="18"/>
  <c r="AI4" i="18"/>
  <c r="AG4" i="18"/>
  <c r="AF4" i="18"/>
  <c r="AE4" i="18"/>
  <c r="AD4" i="18"/>
  <c r="AC4" i="18"/>
  <c r="AB4" i="18"/>
  <c r="CD4" i="18"/>
  <c r="CC4" i="18"/>
  <c r="CB4" i="18"/>
  <c r="BZ4" i="18"/>
  <c r="BY4" i="18"/>
  <c r="BX4" i="18"/>
  <c r="BW4" i="18"/>
  <c r="BU4" i="18"/>
  <c r="BT4" i="18"/>
  <c r="BS4" i="18"/>
  <c r="BR4" i="18"/>
  <c r="BP4" i="18"/>
  <c r="BO4" i="18"/>
  <c r="BN4" i="18"/>
  <c r="BM4" i="18"/>
  <c r="BK4" i="18"/>
  <c r="BJ4" i="18"/>
  <c r="BI4" i="18"/>
  <c r="BH4" i="18"/>
  <c r="BF4" i="18"/>
  <c r="BE4" i="18"/>
  <c r="BD4" i="18"/>
  <c r="BC4" i="18"/>
  <c r="BA4" i="18"/>
  <c r="AZ4" i="18"/>
  <c r="AY4" i="18"/>
  <c r="AX4" i="18"/>
  <c r="AV4" i="18"/>
  <c r="AU4" i="18"/>
  <c r="AT4" i="18"/>
  <c r="AS4" i="18"/>
  <c r="AQ4" i="18"/>
  <c r="AP4" i="18"/>
  <c r="AO4" i="18"/>
  <c r="AN4" i="18"/>
  <c r="AL4" i="18"/>
  <c r="AN57" i="21" l="1"/>
  <c r="AM57" i="21"/>
  <c r="AO57" i="21" s="1"/>
  <c r="AN56" i="21"/>
  <c r="AM56" i="21"/>
  <c r="AO56" i="21" s="1"/>
  <c r="AN55" i="21"/>
  <c r="AM55" i="21"/>
  <c r="AO55" i="21" s="1"/>
  <c r="AN54" i="21"/>
  <c r="AM54" i="21"/>
  <c r="AO54" i="21" s="1"/>
  <c r="AN53" i="21"/>
  <c r="AM53" i="21"/>
  <c r="AO53" i="21" s="1"/>
  <c r="AN52" i="21"/>
  <c r="AM52" i="21"/>
  <c r="AO52" i="21" s="1"/>
  <c r="AN51" i="21"/>
  <c r="AM51" i="21"/>
  <c r="AO51" i="21" s="1"/>
  <c r="AN50" i="21"/>
  <c r="AM50" i="21"/>
  <c r="AO50" i="21" s="1"/>
  <c r="AN49" i="21"/>
  <c r="AM49" i="21"/>
  <c r="AO49" i="21" s="1"/>
  <c r="AN46" i="21"/>
  <c r="AM46" i="21"/>
  <c r="AO46" i="21" s="1"/>
  <c r="AN45" i="21"/>
  <c r="AM45" i="21"/>
  <c r="AO45" i="21" s="1"/>
  <c r="AN44" i="21"/>
  <c r="AM44" i="21"/>
  <c r="AO44" i="21" s="1"/>
  <c r="AN43" i="21"/>
  <c r="AM43" i="21"/>
  <c r="AO43" i="21" s="1"/>
  <c r="AN42" i="21"/>
  <c r="AM42" i="21"/>
  <c r="AO42" i="21" s="1"/>
  <c r="AN41" i="21"/>
  <c r="AM41" i="21"/>
  <c r="AO41" i="21" s="1"/>
  <c r="AN40" i="21"/>
  <c r="AM40" i="21"/>
  <c r="AO40" i="21" s="1"/>
  <c r="AN39" i="21"/>
  <c r="AM39" i="21"/>
  <c r="AO39" i="21" s="1"/>
  <c r="AN38" i="21"/>
  <c r="AM38" i="21"/>
  <c r="AO38" i="21" s="1"/>
  <c r="AN37" i="21"/>
  <c r="AM37" i="21"/>
  <c r="AO37" i="21" s="1"/>
  <c r="AN36" i="21"/>
  <c r="AM36" i="21"/>
  <c r="AO36" i="21" s="1"/>
  <c r="AN35" i="21"/>
  <c r="AM35" i="21"/>
  <c r="AO35" i="21" s="1"/>
  <c r="AN34" i="21"/>
  <c r="AM34" i="21"/>
  <c r="AO34" i="21" s="1"/>
  <c r="AN28" i="21"/>
  <c r="AM28" i="21"/>
  <c r="AO28" i="21" s="1"/>
  <c r="AN27" i="21"/>
  <c r="AM27" i="21"/>
  <c r="AO27" i="21" s="1"/>
  <c r="AN26" i="21"/>
  <c r="AM26" i="21"/>
  <c r="AO26" i="21" s="1"/>
  <c r="AN25" i="21"/>
  <c r="AM25" i="21"/>
  <c r="AO25" i="21" s="1"/>
  <c r="AN23" i="21"/>
  <c r="AM23" i="21"/>
  <c r="AO23" i="21" s="1"/>
  <c r="AN22" i="21"/>
  <c r="AM22" i="21"/>
  <c r="AO22" i="21" s="1"/>
  <c r="AN21" i="21"/>
  <c r="AM21" i="21"/>
  <c r="AO21" i="21" s="1"/>
  <c r="AN20" i="21"/>
  <c r="AM20" i="21"/>
  <c r="AO20" i="21" s="1"/>
  <c r="AN19" i="21"/>
  <c r="AM19" i="21"/>
  <c r="AO19" i="21" s="1"/>
  <c r="AN18" i="21"/>
  <c r="AM18" i="21"/>
  <c r="AO18" i="21" s="1"/>
  <c r="AN17" i="21"/>
  <c r="AM17" i="21"/>
  <c r="AO17" i="21" s="1"/>
  <c r="AN16" i="21"/>
  <c r="AM16" i="21"/>
  <c r="AO16" i="21" s="1"/>
  <c r="AN15" i="21"/>
  <c r="AM15" i="21"/>
  <c r="AO15" i="21" s="1"/>
  <c r="AN14" i="21"/>
  <c r="AM14" i="21"/>
  <c r="AO14" i="21" s="1"/>
  <c r="AN13" i="21"/>
  <c r="AM13" i="21"/>
  <c r="AO13" i="21" s="1"/>
  <c r="AN12" i="21"/>
  <c r="AM12" i="21"/>
  <c r="AO12" i="21" s="1"/>
  <c r="AN11" i="21"/>
  <c r="AM11" i="21"/>
  <c r="AO11" i="21" s="1"/>
  <c r="AN10" i="21"/>
  <c r="AM10" i="21"/>
  <c r="AO10" i="21" s="1"/>
  <c r="AN39" i="19" l="1"/>
  <c r="AM39" i="19"/>
  <c r="AO39" i="19" s="1"/>
  <c r="AN38" i="19"/>
  <c r="AM38" i="19"/>
  <c r="AO38" i="19" s="1"/>
  <c r="AN37" i="19"/>
  <c r="AM37" i="19"/>
  <c r="AO37" i="19" s="1"/>
  <c r="AN36" i="19"/>
  <c r="AM36" i="19"/>
  <c r="AO36" i="19" s="1"/>
  <c r="AN35" i="19"/>
  <c r="AM35" i="19"/>
  <c r="AO35" i="19" s="1"/>
  <c r="CB32" i="18"/>
  <c r="CA32" i="18"/>
  <c r="CC32" i="18" s="1"/>
  <c r="CB31" i="18"/>
  <c r="CA31" i="18"/>
  <c r="CC31" i="18" s="1"/>
  <c r="CB30" i="18"/>
  <c r="CA30" i="18"/>
  <c r="CC30" i="18" s="1"/>
  <c r="CB29" i="18"/>
  <c r="CA29" i="18"/>
  <c r="CC29" i="18" s="1"/>
  <c r="CB28" i="18"/>
  <c r="CA28" i="18"/>
  <c r="CC28" i="18" s="1"/>
  <c r="CB27" i="18"/>
  <c r="CA27" i="18"/>
  <c r="CC27" i="18" s="1"/>
  <c r="CB26" i="18"/>
  <c r="CA26" i="18"/>
  <c r="CC26" i="18" s="1"/>
  <c r="CB25" i="18"/>
  <c r="CA25" i="18"/>
  <c r="CC25" i="18" s="1"/>
  <c r="CB24" i="18"/>
  <c r="CA24" i="18"/>
  <c r="CC24" i="18" s="1"/>
  <c r="CB23" i="18"/>
  <c r="CA23" i="18"/>
  <c r="CC23" i="18" s="1"/>
  <c r="BJ32" i="18"/>
  <c r="BI32" i="18"/>
  <c r="BK32" i="18" s="1"/>
  <c r="BJ31" i="18"/>
  <c r="BI31" i="18"/>
  <c r="BK31" i="18" s="1"/>
  <c r="BJ30" i="18"/>
  <c r="BI30" i="18"/>
  <c r="BK30" i="18" s="1"/>
  <c r="BJ29" i="18"/>
  <c r="BI29" i="18"/>
  <c r="BK29" i="18" s="1"/>
  <c r="BJ28" i="18"/>
  <c r="BI28" i="18"/>
  <c r="BK28" i="18" s="1"/>
  <c r="BJ27" i="18"/>
  <c r="BI27" i="18"/>
  <c r="BK27" i="18" s="1"/>
  <c r="BJ26" i="18"/>
  <c r="BI26" i="18"/>
  <c r="BK26" i="18" s="1"/>
  <c r="BJ25" i="18"/>
  <c r="BI25" i="18"/>
  <c r="BK25" i="18" s="1"/>
  <c r="BJ24" i="18"/>
  <c r="BI24" i="18"/>
  <c r="BK24" i="18" s="1"/>
  <c r="BJ23" i="18"/>
  <c r="BI23" i="18"/>
  <c r="BK23" i="18" s="1"/>
  <c r="BJ22" i="18"/>
  <c r="BI22" i="18"/>
  <c r="BK22" i="18" s="1"/>
  <c r="R21" i="18"/>
  <c r="Q21" i="18"/>
  <c r="S21" i="18" s="1"/>
  <c r="R20" i="18"/>
  <c r="Q20" i="18"/>
  <c r="S20" i="18" s="1"/>
  <c r="R19" i="18"/>
  <c r="Q19" i="18"/>
  <c r="S19" i="18" s="1"/>
  <c r="CF14" i="18"/>
  <c r="CE14" i="18"/>
  <c r="CG14" i="18" s="1"/>
  <c r="BU14" i="18"/>
  <c r="BT14" i="18"/>
  <c r="BV14" i="18" s="1"/>
  <c r="BJ14" i="18"/>
  <c r="BI14" i="18"/>
  <c r="BK14" i="18" s="1"/>
  <c r="CF11" i="18"/>
  <c r="CE11" i="18"/>
  <c r="CG11" i="18" s="1"/>
  <c r="BU11" i="18"/>
  <c r="BT11" i="18"/>
  <c r="BV11" i="18" s="1"/>
  <c r="BJ11" i="18"/>
  <c r="BI11" i="18"/>
  <c r="BK11" i="18" s="1"/>
  <c r="CF10" i="18"/>
  <c r="CE10" i="18"/>
  <c r="CG10" i="18" s="1"/>
  <c r="BU10" i="18"/>
  <c r="BT10" i="18"/>
  <c r="BV10" i="18" s="1"/>
  <c r="BJ10" i="18"/>
  <c r="BI10" i="18"/>
  <c r="BK10" i="18" s="1"/>
  <c r="AR50" i="18"/>
  <c r="AQ50" i="18"/>
  <c r="AS50" i="18" s="1"/>
  <c r="AG50" i="18"/>
  <c r="AF50" i="18"/>
  <c r="AH50" i="18" s="1"/>
  <c r="V50" i="18"/>
  <c r="U50" i="18"/>
  <c r="W50" i="18" s="1"/>
  <c r="K50" i="18"/>
  <c r="J50" i="18"/>
  <c r="L50" i="18" s="1"/>
  <c r="AG45" i="18"/>
  <c r="AF45" i="18"/>
  <c r="AH45" i="18" s="1"/>
  <c r="V45" i="18"/>
  <c r="U45" i="18"/>
  <c r="W45" i="18" s="1"/>
  <c r="K45" i="18"/>
  <c r="J45" i="18"/>
  <c r="L45" i="18" s="1"/>
  <c r="AO30" i="18"/>
  <c r="AN30" i="18"/>
  <c r="AP30" i="18" s="1"/>
  <c r="AO29" i="18"/>
  <c r="AN29" i="18"/>
  <c r="AP29" i="18" s="1"/>
  <c r="AO28" i="18"/>
  <c r="AN28" i="18"/>
  <c r="AP28" i="18" s="1"/>
  <c r="AO27" i="18"/>
  <c r="AN27" i="18"/>
  <c r="AP27" i="18" s="1"/>
  <c r="S31" i="18"/>
  <c r="R31" i="18"/>
  <c r="T31" i="18" s="1"/>
  <c r="S30" i="18"/>
  <c r="R30" i="18"/>
  <c r="T30" i="18" s="1"/>
  <c r="S29" i="18"/>
  <c r="R29" i="18"/>
  <c r="T29" i="18" s="1"/>
  <c r="S28" i="18"/>
  <c r="R28" i="18"/>
  <c r="T28" i="18" s="1"/>
  <c r="S27" i="18"/>
  <c r="R27" i="18"/>
  <c r="T27" i="18" s="1"/>
  <c r="B1" i="21" l="1"/>
  <c r="B1" i="19"/>
  <c r="B1" i="18"/>
  <c r="B1" i="17"/>
  <c r="CG63" i="21"/>
  <c r="CF63" i="21"/>
  <c r="CH63" i="21" s="1"/>
  <c r="BV63" i="21"/>
  <c r="BU63" i="21"/>
  <c r="BW63" i="21" s="1"/>
  <c r="BK63" i="21"/>
  <c r="BJ63" i="21"/>
  <c r="BL63" i="21" s="1"/>
  <c r="CG62" i="21"/>
  <c r="CF62" i="21"/>
  <c r="CH62" i="21" s="1"/>
  <c r="BV62" i="21"/>
  <c r="BU62" i="21"/>
  <c r="BW62" i="21" s="1"/>
  <c r="BK62" i="21"/>
  <c r="BJ62" i="21"/>
  <c r="BL62" i="21" s="1"/>
  <c r="CG61" i="21"/>
  <c r="CF61" i="21"/>
  <c r="CH61" i="21" s="1"/>
  <c r="BV61" i="21"/>
  <c r="BU61" i="21"/>
  <c r="BW61" i="21" s="1"/>
  <c r="BK61" i="21"/>
  <c r="BJ61" i="21"/>
  <c r="BL61" i="21" s="1"/>
  <c r="CG60" i="21"/>
  <c r="CF60" i="21"/>
  <c r="CH60" i="21" s="1"/>
  <c r="BV60" i="21"/>
  <c r="BU60" i="21"/>
  <c r="BW60" i="21" s="1"/>
  <c r="BK60" i="21"/>
  <c r="BJ60" i="21"/>
  <c r="BL60" i="21" s="1"/>
  <c r="CG59" i="21"/>
  <c r="CF59" i="21"/>
  <c r="CH59" i="21" s="1"/>
  <c r="BV59" i="21"/>
  <c r="BU59" i="21"/>
  <c r="BW59" i="21" s="1"/>
  <c r="BK59" i="21"/>
  <c r="BJ59" i="21"/>
  <c r="BL59" i="21" s="1"/>
  <c r="CG58" i="21"/>
  <c r="CF58" i="21"/>
  <c r="CH58" i="21" s="1"/>
  <c r="BV58" i="21"/>
  <c r="BU58" i="21"/>
  <c r="BW58" i="21" s="1"/>
  <c r="BK58" i="21"/>
  <c r="BJ58" i="21"/>
  <c r="BL58" i="21" s="1"/>
  <c r="CG57" i="21"/>
  <c r="CF57" i="21"/>
  <c r="CH57" i="21" s="1"/>
  <c r="BV57" i="21"/>
  <c r="BU57" i="21"/>
  <c r="BW57" i="21" s="1"/>
  <c r="BK57" i="21"/>
  <c r="BJ57" i="21"/>
  <c r="BL57" i="21" s="1"/>
  <c r="CG56" i="21"/>
  <c r="CF56" i="21"/>
  <c r="CH56" i="21" s="1"/>
  <c r="BV56" i="21"/>
  <c r="BU56" i="21"/>
  <c r="BW56" i="21" s="1"/>
  <c r="BK56" i="21"/>
  <c r="BJ56" i="21"/>
  <c r="BL56" i="21" s="1"/>
  <c r="CG55" i="21"/>
  <c r="CF55" i="21"/>
  <c r="CH55" i="21" s="1"/>
  <c r="BV55" i="21"/>
  <c r="BU55" i="21"/>
  <c r="BW55" i="21" s="1"/>
  <c r="BK55" i="21"/>
  <c r="BJ55" i="21"/>
  <c r="BL55" i="21" s="1"/>
  <c r="BV50" i="21"/>
  <c r="BU50" i="21"/>
  <c r="BW50" i="21" s="1"/>
  <c r="BV49" i="21"/>
  <c r="BU49" i="21"/>
  <c r="BW49" i="21" s="1"/>
  <c r="BV47" i="21"/>
  <c r="BU47" i="21"/>
  <c r="BW47" i="21" s="1"/>
  <c r="BV46" i="21"/>
  <c r="BU46" i="21"/>
  <c r="BW46" i="21" s="1"/>
  <c r="BV45" i="21"/>
  <c r="BU45" i="21"/>
  <c r="BW45" i="21" s="1"/>
  <c r="BV44" i="21"/>
  <c r="BU44" i="21"/>
  <c r="BW44" i="21" s="1"/>
  <c r="BK44" i="21"/>
  <c r="BJ44" i="21"/>
  <c r="BL44" i="21" s="1"/>
  <c r="BV43" i="21"/>
  <c r="BU43" i="21"/>
  <c r="BW43" i="21" s="1"/>
  <c r="BK43" i="21"/>
  <c r="BJ43" i="21"/>
  <c r="BL43" i="21" s="1"/>
  <c r="BV42" i="21"/>
  <c r="BU42" i="21"/>
  <c r="BW42" i="21" s="1"/>
  <c r="BK42" i="21"/>
  <c r="BJ42" i="21"/>
  <c r="BL42" i="21" s="1"/>
  <c r="BV41" i="21"/>
  <c r="BU41" i="21"/>
  <c r="BW41" i="21" s="1"/>
  <c r="BK41" i="21"/>
  <c r="BJ41" i="21"/>
  <c r="BL41" i="21" s="1"/>
  <c r="BV40" i="21"/>
  <c r="BU40" i="21"/>
  <c r="BW40" i="21" s="1"/>
  <c r="BK40" i="21"/>
  <c r="BJ40" i="21"/>
  <c r="BL40" i="21" s="1"/>
  <c r="BV39" i="21"/>
  <c r="BU39" i="21"/>
  <c r="BW39" i="21" s="1"/>
  <c r="BK39" i="21"/>
  <c r="BJ39" i="21"/>
  <c r="BL39" i="21" s="1"/>
  <c r="BV38" i="21"/>
  <c r="BU38" i="21"/>
  <c r="BW38" i="21" s="1"/>
  <c r="BK38" i="21"/>
  <c r="BJ38" i="21"/>
  <c r="BL38" i="21" s="1"/>
  <c r="BV37" i="21"/>
  <c r="BU37" i="21"/>
  <c r="BW37" i="21" s="1"/>
  <c r="BK37" i="21"/>
  <c r="BJ37" i="21"/>
  <c r="BL37" i="21" s="1"/>
  <c r="BV36" i="21"/>
  <c r="BU36" i="21"/>
  <c r="BW36" i="21" s="1"/>
  <c r="BK36" i="21"/>
  <c r="BJ36" i="21"/>
  <c r="BL36" i="21" s="1"/>
  <c r="BV35" i="21"/>
  <c r="BU35" i="21"/>
  <c r="BW35" i="21" s="1"/>
  <c r="BK35" i="21"/>
  <c r="BJ35" i="21"/>
  <c r="BL35" i="21" s="1"/>
  <c r="BV34" i="21"/>
  <c r="BU34" i="21"/>
  <c r="BW34" i="21" s="1"/>
  <c r="BK34" i="21"/>
  <c r="BJ34" i="21"/>
  <c r="BL34" i="21" s="1"/>
  <c r="BV33" i="21"/>
  <c r="BU33" i="21"/>
  <c r="BW33" i="21" s="1"/>
  <c r="BK33" i="21"/>
  <c r="BJ33" i="21"/>
  <c r="BL33" i="21" s="1"/>
  <c r="BV32" i="21"/>
  <c r="BU32" i="21"/>
  <c r="BW32" i="21" s="1"/>
  <c r="BK32" i="21"/>
  <c r="BJ32" i="21"/>
  <c r="BL32" i="21" s="1"/>
  <c r="BV31" i="21"/>
  <c r="BU31" i="21"/>
  <c r="BW31" i="21" s="1"/>
  <c r="BK31" i="21"/>
  <c r="BJ31" i="21"/>
  <c r="BL31" i="21" s="1"/>
  <c r="BV30" i="21"/>
  <c r="BU30" i="21"/>
  <c r="BW30" i="21" s="1"/>
  <c r="BK30" i="21"/>
  <c r="BJ30" i="21"/>
  <c r="BL30" i="21" s="1"/>
  <c r="BV29" i="21"/>
  <c r="BU29" i="21"/>
  <c r="BW29" i="21" s="1"/>
  <c r="BK29" i="21"/>
  <c r="BJ29" i="21"/>
  <c r="BL29" i="21" s="1"/>
  <c r="BV28" i="21"/>
  <c r="BU28" i="21"/>
  <c r="BW28" i="21" s="1"/>
  <c r="BK28" i="21"/>
  <c r="BJ28" i="21"/>
  <c r="BL28" i="21" s="1"/>
  <c r="BV27" i="21"/>
  <c r="BU27" i="21"/>
  <c r="BW27" i="21" s="1"/>
  <c r="BK27" i="21"/>
  <c r="BJ27" i="21"/>
  <c r="BL27" i="21" s="1"/>
  <c r="BV26" i="21"/>
  <c r="BU26" i="21"/>
  <c r="BW26" i="21" s="1"/>
  <c r="BK26" i="21"/>
  <c r="BJ26" i="21"/>
  <c r="BL26" i="21" s="1"/>
  <c r="BV24" i="21"/>
  <c r="BU24" i="21"/>
  <c r="BW24" i="21" s="1"/>
  <c r="BV23" i="21"/>
  <c r="BU23" i="21"/>
  <c r="BW23" i="21" s="1"/>
  <c r="BV22" i="21"/>
  <c r="BU22" i="21"/>
  <c r="BW22" i="21" s="1"/>
  <c r="BV21" i="21"/>
  <c r="BU21" i="21"/>
  <c r="BW21" i="21" s="1"/>
  <c r="BK21" i="21"/>
  <c r="BJ21" i="21"/>
  <c r="BL21" i="21" s="1"/>
  <c r="BV19" i="21"/>
  <c r="BU19" i="21"/>
  <c r="BW19" i="21" s="1"/>
  <c r="BV18" i="21"/>
  <c r="BU18" i="21"/>
  <c r="BW18" i="21" s="1"/>
  <c r="BV17" i="21"/>
  <c r="BU17" i="21"/>
  <c r="BW17" i="21" s="1"/>
  <c r="BV16" i="21"/>
  <c r="BU16" i="21"/>
  <c r="BW16" i="21" s="1"/>
  <c r="BV15" i="21"/>
  <c r="BU15" i="21"/>
  <c r="BW15" i="21" s="1"/>
  <c r="BV14" i="21"/>
  <c r="BU14" i="21"/>
  <c r="BW14" i="21" s="1"/>
  <c r="BV13" i="21"/>
  <c r="BU13" i="21"/>
  <c r="BW13" i="21" s="1"/>
  <c r="BV12" i="21"/>
  <c r="BU12" i="21"/>
  <c r="BW12" i="21" s="1"/>
  <c r="BV11" i="21"/>
  <c r="BU11" i="21"/>
  <c r="BW11" i="21" s="1"/>
  <c r="BV10" i="21"/>
  <c r="BU10" i="21"/>
  <c r="BW10" i="21" s="1"/>
  <c r="AC57" i="21"/>
  <c r="AB57" i="21"/>
  <c r="AD57" i="21" s="1"/>
  <c r="R57" i="21"/>
  <c r="Q57" i="21"/>
  <c r="S57" i="21" s="1"/>
  <c r="AC56" i="21"/>
  <c r="AB56" i="21"/>
  <c r="AD56" i="21" s="1"/>
  <c r="R56" i="21"/>
  <c r="Q56" i="21"/>
  <c r="S56" i="21" s="1"/>
  <c r="AC55" i="21"/>
  <c r="AB55" i="21"/>
  <c r="AD55" i="21" s="1"/>
  <c r="R55" i="21"/>
  <c r="Q55" i="21"/>
  <c r="S55" i="21" s="1"/>
  <c r="AC54" i="21"/>
  <c r="AB54" i="21"/>
  <c r="AD54" i="21" s="1"/>
  <c r="R54" i="21"/>
  <c r="Q54" i="21"/>
  <c r="S54" i="21" s="1"/>
  <c r="AC53" i="21"/>
  <c r="AB53" i="21"/>
  <c r="AD53" i="21" s="1"/>
  <c r="R53" i="21"/>
  <c r="Q53" i="21"/>
  <c r="S53" i="21" s="1"/>
  <c r="AC52" i="21"/>
  <c r="AB52" i="21"/>
  <c r="AD52" i="21" s="1"/>
  <c r="R52" i="21"/>
  <c r="Q52" i="21"/>
  <c r="S52" i="21" s="1"/>
  <c r="AC51" i="21"/>
  <c r="AB51" i="21"/>
  <c r="AD51" i="21" s="1"/>
  <c r="R51" i="21"/>
  <c r="Q51" i="21"/>
  <c r="S51" i="21" s="1"/>
  <c r="AC50" i="21"/>
  <c r="AB50" i="21"/>
  <c r="AD50" i="21" s="1"/>
  <c r="R50" i="21"/>
  <c r="Q50" i="21"/>
  <c r="S50" i="21" s="1"/>
  <c r="AC49" i="21"/>
  <c r="AB49" i="21"/>
  <c r="AD49" i="21" s="1"/>
  <c r="R49" i="21"/>
  <c r="Q49" i="21"/>
  <c r="S49" i="21" s="1"/>
  <c r="AC46" i="21"/>
  <c r="AB46" i="21"/>
  <c r="AD46" i="21" s="1"/>
  <c r="R46" i="21"/>
  <c r="Q46" i="21"/>
  <c r="S46" i="21" s="1"/>
  <c r="AC45" i="21"/>
  <c r="AB45" i="21"/>
  <c r="AD45" i="21" s="1"/>
  <c r="R45" i="21"/>
  <c r="Q45" i="21"/>
  <c r="S45" i="21" s="1"/>
  <c r="AC44" i="21"/>
  <c r="AB44" i="21"/>
  <c r="AD44" i="21" s="1"/>
  <c r="R44" i="21"/>
  <c r="Q44" i="21"/>
  <c r="S44" i="21" s="1"/>
  <c r="AC43" i="21"/>
  <c r="AB43" i="21"/>
  <c r="AD43" i="21" s="1"/>
  <c r="R43" i="21"/>
  <c r="Q43" i="21"/>
  <c r="S43" i="21" s="1"/>
  <c r="AC42" i="21"/>
  <c r="AB42" i="21"/>
  <c r="AD42" i="21" s="1"/>
  <c r="R42" i="21"/>
  <c r="Q42" i="21"/>
  <c r="S42" i="21" s="1"/>
  <c r="AC41" i="21"/>
  <c r="AB41" i="21"/>
  <c r="AD41" i="21" s="1"/>
  <c r="R41" i="21"/>
  <c r="Q41" i="21"/>
  <c r="S41" i="21" s="1"/>
  <c r="AC40" i="21"/>
  <c r="AB40" i="21"/>
  <c r="AD40" i="21" s="1"/>
  <c r="R40" i="21"/>
  <c r="Q40" i="21"/>
  <c r="S40" i="21" s="1"/>
  <c r="AC39" i="21"/>
  <c r="AB39" i="21"/>
  <c r="AD39" i="21" s="1"/>
  <c r="R39" i="21"/>
  <c r="Q39" i="21"/>
  <c r="S39" i="21" s="1"/>
  <c r="AC38" i="21"/>
  <c r="AB38" i="21"/>
  <c r="AD38" i="21" s="1"/>
  <c r="R38" i="21"/>
  <c r="Q38" i="21"/>
  <c r="S38" i="21" s="1"/>
  <c r="AC37" i="21"/>
  <c r="AB37" i="21"/>
  <c r="AD37" i="21" s="1"/>
  <c r="R37" i="21"/>
  <c r="Q37" i="21"/>
  <c r="S37" i="21" s="1"/>
  <c r="AC36" i="21"/>
  <c r="AB36" i="21"/>
  <c r="AD36" i="21" s="1"/>
  <c r="R36" i="21"/>
  <c r="Q36" i="21"/>
  <c r="S36" i="21" s="1"/>
  <c r="AC35" i="21"/>
  <c r="AB35" i="21"/>
  <c r="AD35" i="21" s="1"/>
  <c r="R35" i="21"/>
  <c r="Q35" i="21"/>
  <c r="S35" i="21" s="1"/>
  <c r="AC34" i="21"/>
  <c r="AB34" i="21"/>
  <c r="AD34" i="21" s="1"/>
  <c r="R34" i="21"/>
  <c r="Q34" i="21"/>
  <c r="S34" i="21" s="1"/>
  <c r="AC31" i="21"/>
  <c r="AB31" i="21"/>
  <c r="AD31" i="21" s="1"/>
  <c r="AC30" i="21"/>
  <c r="AB30" i="21"/>
  <c r="AD30" i="21" s="1"/>
  <c r="R29" i="21"/>
  <c r="Q29" i="21"/>
  <c r="S29" i="21" s="1"/>
  <c r="AC28" i="21"/>
  <c r="AB28" i="21"/>
  <c r="AD28" i="21" s="1"/>
  <c r="R28" i="21"/>
  <c r="Q28" i="21"/>
  <c r="S28" i="21" s="1"/>
  <c r="AC27" i="21"/>
  <c r="AB27" i="21"/>
  <c r="AD27" i="21" s="1"/>
  <c r="R27" i="21"/>
  <c r="Q27" i="21"/>
  <c r="S27" i="21" s="1"/>
  <c r="AC26" i="21"/>
  <c r="AB26" i="21"/>
  <c r="AD26" i="21" s="1"/>
  <c r="R26" i="21"/>
  <c r="Q26" i="21"/>
  <c r="S26" i="21" s="1"/>
  <c r="AC25" i="21"/>
  <c r="AB25" i="21"/>
  <c r="AD25" i="21" s="1"/>
  <c r="R25" i="21"/>
  <c r="Q25" i="21"/>
  <c r="S25" i="21" s="1"/>
  <c r="AC24" i="21"/>
  <c r="AB24" i="21"/>
  <c r="AD24" i="21" s="1"/>
  <c r="AC23" i="21"/>
  <c r="AB23" i="21"/>
  <c r="AD23" i="21" s="1"/>
  <c r="R23" i="21"/>
  <c r="Q23" i="21"/>
  <c r="S23" i="21" s="1"/>
  <c r="AC22" i="21"/>
  <c r="AB22" i="21"/>
  <c r="AD22" i="21" s="1"/>
  <c r="R22" i="21"/>
  <c r="Q22" i="21"/>
  <c r="S22" i="21" s="1"/>
  <c r="AC21" i="21"/>
  <c r="AB21" i="21"/>
  <c r="AD21" i="21" s="1"/>
  <c r="R21" i="21"/>
  <c r="Q21" i="21"/>
  <c r="S21" i="21" s="1"/>
  <c r="AC20" i="21"/>
  <c r="AB20" i="21"/>
  <c r="AD20" i="21" s="1"/>
  <c r="R20" i="21"/>
  <c r="Q20" i="21"/>
  <c r="S20" i="21" s="1"/>
  <c r="AC19" i="21"/>
  <c r="AB19" i="21"/>
  <c r="AD19" i="21" s="1"/>
  <c r="R19" i="21"/>
  <c r="Q19" i="21"/>
  <c r="S19" i="21" s="1"/>
  <c r="AC18" i="21"/>
  <c r="AB18" i="21"/>
  <c r="AD18" i="21" s="1"/>
  <c r="R18" i="21"/>
  <c r="Q18" i="21"/>
  <c r="S18" i="21" s="1"/>
  <c r="AC17" i="21"/>
  <c r="AB17" i="21"/>
  <c r="AD17" i="21" s="1"/>
  <c r="R17" i="21"/>
  <c r="Q17" i="21"/>
  <c r="S17" i="21" s="1"/>
  <c r="AC16" i="21"/>
  <c r="AB16" i="21"/>
  <c r="AD16" i="21" s="1"/>
  <c r="R16" i="21"/>
  <c r="Q16" i="21"/>
  <c r="S16" i="21" s="1"/>
  <c r="AC15" i="21"/>
  <c r="AB15" i="21"/>
  <c r="AD15" i="21" s="1"/>
  <c r="R15" i="21"/>
  <c r="Q15" i="21"/>
  <c r="S15" i="21" s="1"/>
  <c r="AC14" i="21"/>
  <c r="AB14" i="21"/>
  <c r="AD14" i="21" s="1"/>
  <c r="R14" i="21"/>
  <c r="Q14" i="21"/>
  <c r="S14" i="21" s="1"/>
  <c r="AC13" i="21"/>
  <c r="AB13" i="21"/>
  <c r="AD13" i="21" s="1"/>
  <c r="R13" i="21"/>
  <c r="Q13" i="21"/>
  <c r="S13" i="21" s="1"/>
  <c r="AC12" i="21"/>
  <c r="AB12" i="21"/>
  <c r="AD12" i="21" s="1"/>
  <c r="R12" i="21"/>
  <c r="Q12" i="21"/>
  <c r="S12" i="21" s="1"/>
  <c r="AC11" i="21"/>
  <c r="AB11" i="21"/>
  <c r="AD11" i="21" s="1"/>
  <c r="R11" i="21"/>
  <c r="Q11" i="21"/>
  <c r="S11" i="21" s="1"/>
  <c r="AC10" i="21"/>
  <c r="AB10" i="21"/>
  <c r="AD10" i="21" s="1"/>
  <c r="R10" i="21"/>
  <c r="Q10" i="21"/>
  <c r="S10" i="21" s="1"/>
  <c r="BU53" i="19"/>
  <c r="BT53" i="19"/>
  <c r="BV53" i="19" s="1"/>
  <c r="BJ53" i="19"/>
  <c r="BI53" i="19"/>
  <c r="BK53" i="19" s="1"/>
  <c r="BU52" i="19"/>
  <c r="BT52" i="19"/>
  <c r="BV52" i="19" s="1"/>
  <c r="BJ52" i="19"/>
  <c r="BI52" i="19"/>
  <c r="BK52" i="19" s="1"/>
  <c r="BU51" i="19"/>
  <c r="BT51" i="19"/>
  <c r="BV51" i="19" s="1"/>
  <c r="BJ51" i="19"/>
  <c r="BI51" i="19"/>
  <c r="BK51" i="19" s="1"/>
  <c r="BU50" i="19"/>
  <c r="BT50" i="19"/>
  <c r="BV50" i="19" s="1"/>
  <c r="BJ50" i="19"/>
  <c r="BI50" i="19"/>
  <c r="BK50" i="19" s="1"/>
  <c r="BU49" i="19"/>
  <c r="BT49" i="19"/>
  <c r="BV49" i="19" s="1"/>
  <c r="BJ49" i="19"/>
  <c r="BI49" i="19"/>
  <c r="BK49" i="19" s="1"/>
  <c r="BU48" i="19"/>
  <c r="BT48" i="19"/>
  <c r="BV48" i="19" s="1"/>
  <c r="BJ48" i="19"/>
  <c r="BI48" i="19"/>
  <c r="BK48" i="19" s="1"/>
  <c r="BU47" i="19"/>
  <c r="BT47" i="19"/>
  <c r="BV47" i="19" s="1"/>
  <c r="BJ47" i="19"/>
  <c r="BI47" i="19"/>
  <c r="BK47" i="19" s="1"/>
  <c r="BU46" i="19"/>
  <c r="BT46" i="19"/>
  <c r="BV46" i="19" s="1"/>
  <c r="BJ46" i="19"/>
  <c r="BI46" i="19"/>
  <c r="BK46" i="19" s="1"/>
  <c r="BU45" i="19"/>
  <c r="BT45" i="19"/>
  <c r="BV45" i="19" s="1"/>
  <c r="BJ45" i="19"/>
  <c r="BI45" i="19"/>
  <c r="BK45" i="19" s="1"/>
  <c r="R46" i="19"/>
  <c r="Q46" i="19"/>
  <c r="S46" i="19" s="1"/>
  <c r="R45" i="19"/>
  <c r="Q45" i="19"/>
  <c r="S45" i="19" s="1"/>
  <c r="R44" i="19"/>
  <c r="Q44" i="19"/>
  <c r="S44" i="19" s="1"/>
  <c r="AC39" i="19"/>
  <c r="AB39" i="19"/>
  <c r="AD39" i="19" s="1"/>
  <c r="R39" i="19"/>
  <c r="Q39" i="19"/>
  <c r="S39" i="19" s="1"/>
  <c r="AC38" i="19"/>
  <c r="AB38" i="19"/>
  <c r="AD38" i="19" s="1"/>
  <c r="R38" i="19"/>
  <c r="Q38" i="19"/>
  <c r="S38" i="19" s="1"/>
  <c r="AC37" i="19"/>
  <c r="AB37" i="19"/>
  <c r="AD37" i="19" s="1"/>
  <c r="R37" i="19"/>
  <c r="Q37" i="19"/>
  <c r="S37" i="19" s="1"/>
  <c r="AC36" i="19"/>
  <c r="AB36" i="19"/>
  <c r="AD36" i="19" s="1"/>
  <c r="R36" i="19"/>
  <c r="Q36" i="19"/>
  <c r="S36" i="19" s="1"/>
  <c r="AC35" i="19"/>
  <c r="AB35" i="19"/>
  <c r="AD35" i="19" s="1"/>
  <c r="R35" i="19"/>
  <c r="Q35" i="19"/>
  <c r="S35" i="19" s="1"/>
  <c r="AN28" i="19"/>
  <c r="AM28" i="19"/>
  <c r="AO28" i="19" s="1"/>
  <c r="AC28" i="19"/>
  <c r="AB28" i="19"/>
  <c r="AD28" i="19" s="1"/>
  <c r="R28" i="19"/>
  <c r="Q28" i="19"/>
  <c r="S28" i="19" s="1"/>
  <c r="AN27" i="19"/>
  <c r="AM27" i="19"/>
  <c r="AO27" i="19" s="1"/>
  <c r="AC27" i="19"/>
  <c r="AB27" i="19"/>
  <c r="AD27" i="19" s="1"/>
  <c r="R27" i="19"/>
  <c r="Q27" i="19"/>
  <c r="S27" i="19" s="1"/>
  <c r="AN26" i="19"/>
  <c r="AM26" i="19"/>
  <c r="AO26" i="19" s="1"/>
  <c r="AC26" i="19"/>
  <c r="AB26" i="19"/>
  <c r="AD26" i="19" s="1"/>
  <c r="R26" i="19"/>
  <c r="Q26" i="19"/>
  <c r="S26" i="19" s="1"/>
  <c r="AN25" i="19"/>
  <c r="AM25" i="19"/>
  <c r="AO25" i="19" s="1"/>
  <c r="R25" i="19"/>
  <c r="Q25" i="19"/>
  <c r="S25" i="19" s="1"/>
  <c r="AN24" i="19"/>
  <c r="AM24" i="19"/>
  <c r="AO24" i="19" s="1"/>
  <c r="AC24" i="19"/>
  <c r="AB24" i="19"/>
  <c r="AD24" i="19" s="1"/>
  <c r="R24" i="19"/>
  <c r="Q24" i="19"/>
  <c r="S24" i="19" s="1"/>
  <c r="AN23" i="19"/>
  <c r="AM23" i="19"/>
  <c r="AO23" i="19" s="1"/>
  <c r="AC23" i="19"/>
  <c r="AB23" i="19"/>
  <c r="AD23" i="19" s="1"/>
  <c r="R23" i="19"/>
  <c r="Q23" i="19"/>
  <c r="S23" i="19" s="1"/>
  <c r="AN22" i="19"/>
  <c r="AM22" i="19"/>
  <c r="AO22" i="19" s="1"/>
  <c r="AC22" i="19"/>
  <c r="AB22" i="19"/>
  <c r="AD22" i="19" s="1"/>
  <c r="R22" i="19"/>
  <c r="Q22" i="19"/>
  <c r="S22" i="19" s="1"/>
  <c r="AN21" i="19"/>
  <c r="AM21" i="19"/>
  <c r="AO21" i="19" s="1"/>
  <c r="AC21" i="19"/>
  <c r="AB21" i="19"/>
  <c r="AD21" i="19" s="1"/>
  <c r="R21" i="19"/>
  <c r="Q21" i="19"/>
  <c r="S21" i="19" s="1"/>
  <c r="AN20" i="19"/>
  <c r="AM20" i="19"/>
  <c r="AO20" i="19" s="1"/>
  <c r="AC20" i="19"/>
  <c r="AB20" i="19"/>
  <c r="AD20" i="19" s="1"/>
  <c r="R20" i="19"/>
  <c r="Q20" i="19"/>
  <c r="S20" i="19" s="1"/>
  <c r="AN19" i="19"/>
  <c r="AM19" i="19"/>
  <c r="AO19" i="19" s="1"/>
  <c r="AC19" i="19"/>
  <c r="AB19" i="19"/>
  <c r="AD19" i="19" s="1"/>
  <c r="R19" i="19"/>
  <c r="Q19" i="19"/>
  <c r="S19" i="19" s="1"/>
  <c r="AN18" i="19"/>
  <c r="AM18" i="19"/>
  <c r="AO18" i="19" s="1"/>
  <c r="AC18" i="19"/>
  <c r="AB18" i="19"/>
  <c r="AD18" i="19" s="1"/>
  <c r="R18" i="19"/>
  <c r="Q18" i="19"/>
  <c r="S18" i="19" s="1"/>
  <c r="AN17" i="19"/>
  <c r="AM17" i="19"/>
  <c r="AO17" i="19" s="1"/>
  <c r="AC17" i="19"/>
  <c r="AB17" i="19"/>
  <c r="AD17" i="19" s="1"/>
  <c r="R17" i="19"/>
  <c r="Q17" i="19"/>
  <c r="S17" i="19" s="1"/>
  <c r="AN16" i="19"/>
  <c r="AM16" i="19"/>
  <c r="AO16" i="19" s="1"/>
  <c r="AC16" i="19"/>
  <c r="AB16" i="19"/>
  <c r="AD16" i="19" s="1"/>
  <c r="R16" i="19"/>
  <c r="Q16" i="19"/>
  <c r="S16" i="19" s="1"/>
  <c r="AN15" i="19"/>
  <c r="AM15" i="19"/>
  <c r="AO15" i="19" s="1"/>
  <c r="AC15" i="19"/>
  <c r="AB15" i="19"/>
  <c r="AD15" i="19" s="1"/>
  <c r="R15" i="19"/>
  <c r="Q15" i="19"/>
  <c r="S15" i="19" s="1"/>
  <c r="AN14" i="19"/>
  <c r="AM14" i="19"/>
  <c r="AO14" i="19" s="1"/>
  <c r="AC14" i="19"/>
  <c r="AB14" i="19"/>
  <c r="AD14" i="19" s="1"/>
  <c r="R14" i="19"/>
  <c r="Q14" i="19"/>
  <c r="S14" i="19" s="1"/>
  <c r="AN13" i="19"/>
  <c r="AM13" i="19"/>
  <c r="AO13" i="19" s="1"/>
  <c r="AC13" i="19"/>
  <c r="AB13" i="19"/>
  <c r="AD13" i="19" s="1"/>
  <c r="R13" i="19"/>
  <c r="Q13" i="19"/>
  <c r="S13" i="19" s="1"/>
  <c r="AN12" i="19"/>
  <c r="AM12" i="19"/>
  <c r="AO12" i="19" s="1"/>
  <c r="AC12" i="19"/>
  <c r="AB12" i="19"/>
  <c r="AD12" i="19" s="1"/>
  <c r="R12" i="19"/>
  <c r="Q12" i="19"/>
  <c r="S12" i="19" s="1"/>
  <c r="AN11" i="19"/>
  <c r="AM11" i="19"/>
  <c r="AO11" i="19" s="1"/>
  <c r="AC11" i="19"/>
  <c r="AB11" i="19"/>
  <c r="AD11" i="19" s="1"/>
  <c r="R11" i="19"/>
  <c r="Q11" i="19"/>
  <c r="S11" i="19" s="1"/>
  <c r="AN10" i="19"/>
  <c r="AM10" i="19"/>
  <c r="AO10" i="19" s="1"/>
  <c r="AC10" i="19"/>
  <c r="AB10" i="19"/>
  <c r="AD10" i="19" s="1"/>
  <c r="R10" i="19"/>
  <c r="Q10" i="19"/>
  <c r="S10" i="19" s="1"/>
  <c r="AF56" i="18"/>
  <c r="CB56" i="18"/>
  <c r="CA56" i="18"/>
  <c r="CC56" i="18" s="1"/>
  <c r="CB55" i="18"/>
  <c r="CA55" i="18"/>
  <c r="CC55" i="18" s="1"/>
  <c r="CB54" i="18"/>
  <c r="CA54" i="18"/>
  <c r="CC54" i="18" s="1"/>
  <c r="CB53" i="18"/>
  <c r="CA53" i="18"/>
  <c r="CC53" i="18" s="1"/>
  <c r="CB52" i="18"/>
  <c r="CA52" i="18"/>
  <c r="CC52" i="18" s="1"/>
  <c r="CB51" i="18"/>
  <c r="CA51" i="18"/>
  <c r="CC51" i="18" s="1"/>
  <c r="CB50" i="18"/>
  <c r="CA50" i="18"/>
  <c r="CC50" i="18" s="1"/>
  <c r="CB49" i="18"/>
  <c r="CA49" i="18"/>
  <c r="CC49" i="18" s="1"/>
  <c r="CB48" i="18"/>
  <c r="CA48" i="18"/>
  <c r="CC48" i="18" s="1"/>
  <c r="CB47" i="18"/>
  <c r="CA47" i="18"/>
  <c r="CC47" i="18" s="1"/>
  <c r="AB55" i="18" l="1"/>
  <c r="X55" i="18"/>
  <c r="Q55" i="18"/>
  <c r="M55" i="18"/>
  <c r="F55" i="18"/>
  <c r="B55" i="18"/>
  <c r="B49" i="18"/>
  <c r="B74" i="26"/>
  <c r="AH4" i="17" s="1"/>
  <c r="AF7" i="26"/>
  <c r="AC9" i="26"/>
  <c r="CA4" i="17" s="1"/>
  <c r="Z7" i="26"/>
  <c r="BG4" i="17" s="1"/>
  <c r="W10" i="26"/>
  <c r="BB4" i="17" s="1"/>
  <c r="T9" i="26"/>
  <c r="BQ4" i="17" s="1"/>
  <c r="Q10" i="26"/>
  <c r="BV4" i="17" s="1"/>
  <c r="K17" i="26"/>
  <c r="AW4" i="17" s="1"/>
  <c r="H11" i="26"/>
  <c r="BL4" i="17" s="1"/>
  <c r="E16" i="26"/>
  <c r="AR4" i="17" s="1"/>
  <c r="I9" i="17"/>
  <c r="AW4" i="19" l="1"/>
  <c r="AW4" i="21"/>
  <c r="AW4" i="18"/>
  <c r="CA4" i="19"/>
  <c r="CA4" i="21"/>
  <c r="CA4" i="18"/>
  <c r="BV4" i="21"/>
  <c r="BV4" i="19"/>
  <c r="BV4" i="18"/>
  <c r="BQ4" i="19"/>
  <c r="BQ4" i="21"/>
  <c r="BQ4" i="18"/>
  <c r="BL4" i="19"/>
  <c r="BL4" i="21"/>
  <c r="BL4" i="18"/>
  <c r="BG4" i="18"/>
  <c r="BG4" i="21"/>
  <c r="BG4" i="19"/>
  <c r="BB4" i="21"/>
  <c r="BB4" i="19"/>
  <c r="BB4" i="18"/>
  <c r="AR4" i="19"/>
  <c r="AR4" i="18"/>
  <c r="AR4" i="21"/>
  <c r="AH4" i="19"/>
  <c r="AH4" i="21"/>
  <c r="AH4" i="18"/>
  <c r="AM4" i="17"/>
  <c r="AM4" i="19" l="1"/>
  <c r="AM4" i="21"/>
  <c r="AM4" i="18"/>
  <c r="BU17" i="18"/>
  <c r="BT17" i="18"/>
  <c r="BV17" i="18" s="1"/>
  <c r="BJ17" i="18"/>
  <c r="BI17" i="18"/>
  <c r="BK17" i="18" s="1"/>
  <c r="AH56" i="18"/>
  <c r="CB54" i="21"/>
  <c r="BX54" i="21"/>
  <c r="BQ54" i="21"/>
  <c r="BM54" i="21"/>
  <c r="BF54" i="21"/>
  <c r="BB54" i="21"/>
  <c r="AI48" i="21"/>
  <c r="AE48" i="21"/>
  <c r="X48" i="21"/>
  <c r="T48" i="21"/>
  <c r="M48" i="21"/>
  <c r="I48" i="21"/>
  <c r="AG56" i="18"/>
  <c r="V56" i="18"/>
  <c r="U56" i="18"/>
  <c r="W56" i="18" s="1"/>
  <c r="K56" i="18"/>
  <c r="J56" i="18"/>
  <c r="L56" i="18" s="1"/>
  <c r="AM49" i="18"/>
  <c r="AI49" i="18"/>
  <c r="AB49" i="18"/>
  <c r="X49" i="18"/>
  <c r="Q49" i="18"/>
  <c r="M49" i="18"/>
  <c r="F49" i="18"/>
  <c r="BW46" i="18"/>
  <c r="BS46" i="18"/>
  <c r="AB44" i="18"/>
  <c r="X44" i="18"/>
  <c r="Q44" i="18"/>
  <c r="M44" i="18"/>
  <c r="F44" i="18"/>
  <c r="B44" i="18"/>
  <c r="CF17" i="18" l="1"/>
  <c r="CE17" i="18"/>
  <c r="CG17" i="18" s="1"/>
  <c r="CF16" i="18"/>
  <c r="CE16" i="18"/>
  <c r="CG16" i="18" s="1"/>
  <c r="BU16" i="18"/>
  <c r="BT16" i="18"/>
  <c r="BV16" i="18" s="1"/>
  <c r="BJ16" i="18"/>
  <c r="BI16" i="18"/>
  <c r="BK16" i="18" s="1"/>
  <c r="CF15" i="18"/>
  <c r="CE15" i="18"/>
  <c r="CG15" i="18" s="1"/>
  <c r="BU15" i="18"/>
  <c r="BT15" i="18"/>
  <c r="BV15" i="18" s="1"/>
  <c r="BJ15" i="18"/>
  <c r="BI15" i="18"/>
  <c r="BK15" i="18" s="1"/>
  <c r="CF13" i="18"/>
  <c r="CE13" i="18"/>
  <c r="CG13" i="18" s="1"/>
  <c r="BU13" i="18"/>
  <c r="BT13" i="18"/>
  <c r="BV13" i="18" s="1"/>
  <c r="BJ13" i="18"/>
  <c r="BI13" i="18"/>
  <c r="BK13" i="18" s="1"/>
  <c r="CF12" i="18"/>
  <c r="CE12" i="18"/>
  <c r="CG12" i="18" s="1"/>
  <c r="BU12" i="18"/>
  <c r="BT12" i="18"/>
  <c r="BV12" i="18" s="1"/>
  <c r="BJ12" i="18"/>
  <c r="BI12" i="18"/>
  <c r="BK12" i="18" s="1"/>
  <c r="R38" i="18"/>
  <c r="Q38" i="18"/>
  <c r="S38" i="18" s="1"/>
  <c r="R37" i="18"/>
  <c r="Q37" i="18"/>
  <c r="S37" i="18" s="1"/>
  <c r="S32" i="18"/>
  <c r="R32" i="18"/>
  <c r="T32" i="18" s="1"/>
  <c r="AO31" i="18"/>
  <c r="AN31" i="18"/>
  <c r="AP31" i="18" s="1"/>
  <c r="AN14" i="18"/>
  <c r="AM14" i="18"/>
  <c r="AO14" i="18" s="1"/>
  <c r="AC14" i="18"/>
  <c r="AB14" i="18"/>
  <c r="AD14" i="18" s="1"/>
  <c r="R14" i="18"/>
  <c r="Q14" i="18"/>
  <c r="S14" i="18" s="1"/>
  <c r="AM13" i="18"/>
  <c r="AB13" i="18"/>
  <c r="Q13" i="18"/>
  <c r="AN12" i="18"/>
  <c r="AM12" i="18"/>
  <c r="AO12" i="18" s="1"/>
  <c r="AC12" i="18"/>
  <c r="AB12" i="18"/>
  <c r="AD12" i="18" s="1"/>
  <c r="R12" i="18"/>
  <c r="Q12" i="18"/>
  <c r="S12" i="18" s="1"/>
  <c r="AN11" i="18"/>
  <c r="AM11" i="18"/>
  <c r="AO11" i="18" s="1"/>
  <c r="AC11" i="18"/>
  <c r="AB11" i="18"/>
  <c r="AD11" i="18" s="1"/>
  <c r="R11" i="18"/>
  <c r="Q11" i="18"/>
  <c r="S11" i="18" s="1"/>
  <c r="AN10" i="18"/>
  <c r="AM10" i="18"/>
  <c r="AO10" i="18" s="1"/>
  <c r="AC10" i="18"/>
  <c r="AB10" i="18"/>
  <c r="AD10" i="18" s="1"/>
  <c r="R10" i="18"/>
  <c r="Q10" i="18"/>
  <c r="S10" i="18" s="1"/>
  <c r="BU56" i="17"/>
  <c r="BT56" i="17"/>
  <c r="BV56" i="17" s="1"/>
  <c r="BU55" i="17"/>
  <c r="BT55" i="17"/>
  <c r="BV55" i="17" s="1"/>
  <c r="BU54" i="17"/>
  <c r="BT54" i="17"/>
  <c r="BV54" i="17" s="1"/>
  <c r="BU53" i="17"/>
  <c r="BT53" i="17"/>
  <c r="BV53" i="17" s="1"/>
  <c r="BU52" i="17"/>
  <c r="BT52" i="17"/>
  <c r="BV52" i="17" s="1"/>
  <c r="BU51" i="17"/>
  <c r="BT51" i="17"/>
  <c r="BV51" i="17" s="1"/>
  <c r="BU50" i="17"/>
  <c r="BT50" i="17"/>
  <c r="BV50" i="17" s="1"/>
  <c r="BU45" i="17"/>
  <c r="BT45" i="17"/>
  <c r="BV45" i="17" s="1"/>
  <c r="BU44" i="17"/>
  <c r="BT44" i="17"/>
  <c r="BV44" i="17" s="1"/>
  <c r="BU43" i="17"/>
  <c r="BT43" i="17"/>
  <c r="BV43" i="17" s="1"/>
  <c r="BU42" i="17"/>
  <c r="BT42" i="17"/>
  <c r="BV42" i="17" s="1"/>
  <c r="BU41" i="17"/>
  <c r="BT41" i="17"/>
  <c r="BV41" i="17" s="1"/>
  <c r="BU40" i="17"/>
  <c r="BT40" i="17"/>
  <c r="BV40" i="17" s="1"/>
  <c r="BU39" i="17"/>
  <c r="BT39" i="17"/>
  <c r="BV39" i="17" s="1"/>
  <c r="CF29" i="17"/>
  <c r="CE29" i="17"/>
  <c r="CG29" i="17" s="1"/>
  <c r="BU29" i="17"/>
  <c r="BT29" i="17"/>
  <c r="BV29" i="17" s="1"/>
  <c r="CF28" i="17"/>
  <c r="CE28" i="17"/>
  <c r="CG28" i="17" s="1"/>
  <c r="BU28" i="17"/>
  <c r="BT28" i="17"/>
  <c r="BV28" i="17" s="1"/>
  <c r="CF27" i="17"/>
  <c r="CE27" i="17"/>
  <c r="CG27" i="17" s="1"/>
  <c r="BU27" i="17"/>
  <c r="BT27" i="17"/>
  <c r="BV27" i="17" s="1"/>
  <c r="CF26" i="17"/>
  <c r="CE26" i="17"/>
  <c r="CG26" i="17" s="1"/>
  <c r="CF25" i="17"/>
  <c r="CE25" i="17"/>
  <c r="CG25" i="17" s="1"/>
  <c r="CF24" i="17"/>
  <c r="CE24" i="17"/>
  <c r="CG24" i="17" s="1"/>
  <c r="CF23" i="17"/>
  <c r="CE23" i="17"/>
  <c r="CG23" i="17" s="1"/>
  <c r="CF22" i="17"/>
  <c r="CE22" i="17"/>
  <c r="CG22" i="17" s="1"/>
  <c r="CF21" i="17"/>
  <c r="CE21" i="17"/>
  <c r="CG21" i="17" s="1"/>
  <c r="BU21" i="17"/>
  <c r="BT21" i="17"/>
  <c r="BV21" i="17" s="1"/>
  <c r="CF15" i="17"/>
  <c r="CE15" i="17"/>
  <c r="CG15" i="17" s="1"/>
  <c r="CF14" i="17"/>
  <c r="CE14" i="17"/>
  <c r="CG14" i="17" s="1"/>
  <c r="CF13" i="17"/>
  <c r="CE13" i="17"/>
  <c r="CG13" i="17" s="1"/>
  <c r="BU13" i="17"/>
  <c r="BT13" i="17"/>
  <c r="BV13" i="17" s="1"/>
  <c r="CF12" i="17"/>
  <c r="CE12" i="17"/>
  <c r="CG12" i="17" s="1"/>
  <c r="BU12" i="17"/>
  <c r="BT12" i="17"/>
  <c r="BV12" i="17" s="1"/>
  <c r="CF11" i="17"/>
  <c r="CE11" i="17"/>
  <c r="CG11" i="17" s="1"/>
  <c r="BU11" i="17"/>
  <c r="BT11" i="17"/>
  <c r="BV11" i="17" s="1"/>
  <c r="CF10" i="17"/>
  <c r="CE10" i="17"/>
  <c r="CG10" i="17" s="1"/>
  <c r="BU10" i="17"/>
  <c r="BT10" i="17"/>
  <c r="BV10" i="17" s="1"/>
  <c r="AC55" i="17"/>
  <c r="AB55" i="17"/>
  <c r="AD55" i="17" s="1"/>
  <c r="R55" i="17"/>
  <c r="Q55" i="17"/>
  <c r="S55" i="17" s="1"/>
  <c r="R49" i="17"/>
  <c r="Q49" i="17"/>
  <c r="S49" i="17" s="1"/>
  <c r="R48" i="17"/>
  <c r="Q48" i="17"/>
  <c r="S48" i="17" s="1"/>
  <c r="R47" i="17"/>
  <c r="Q47" i="17"/>
  <c r="S47" i="17" s="1"/>
  <c r="R46" i="17"/>
  <c r="Q46" i="17"/>
  <c r="S46" i="17" s="1"/>
  <c r="R45" i="17"/>
  <c r="Q45" i="17"/>
  <c r="S45" i="17" s="1"/>
  <c r="R44" i="17"/>
  <c r="Q44" i="17"/>
  <c r="S44" i="17" s="1"/>
  <c r="R43" i="17"/>
  <c r="Q43" i="17"/>
  <c r="S43" i="17" s="1"/>
  <c r="AC42" i="17"/>
  <c r="AB42" i="17"/>
  <c r="AD42" i="17" s="1"/>
  <c r="R42" i="17"/>
  <c r="Q42" i="17"/>
  <c r="S42" i="17" s="1"/>
  <c r="AC41" i="17"/>
  <c r="AB41" i="17"/>
  <c r="AD41" i="17" s="1"/>
  <c r="R41" i="17"/>
  <c r="Q41" i="17"/>
  <c r="S41" i="17" s="1"/>
  <c r="AC40" i="17"/>
  <c r="AB40" i="17"/>
  <c r="AD40" i="17" s="1"/>
  <c r="R40" i="17"/>
  <c r="Q40" i="17"/>
  <c r="S40" i="17" s="1"/>
  <c r="AN26" i="17"/>
  <c r="AM26" i="17"/>
  <c r="AO26" i="17" s="1"/>
  <c r="AC26" i="17"/>
  <c r="AB26" i="17"/>
  <c r="AD26" i="17" s="1"/>
  <c r="R26" i="17"/>
  <c r="Q26" i="17"/>
  <c r="S26" i="17" s="1"/>
  <c r="AC25" i="17"/>
  <c r="AB25" i="17"/>
  <c r="AD25" i="17" s="1"/>
  <c r="R25" i="17"/>
  <c r="Q25" i="17"/>
  <c r="S25" i="17" s="1"/>
  <c r="AC24" i="17"/>
  <c r="AB24" i="17"/>
  <c r="AD24" i="17" s="1"/>
  <c r="R24" i="17"/>
  <c r="Q24" i="17"/>
  <c r="S24" i="17" s="1"/>
  <c r="AC23" i="17"/>
  <c r="AB23" i="17"/>
  <c r="AD23" i="17" s="1"/>
  <c r="R23" i="17"/>
  <c r="Q23" i="17"/>
  <c r="S23" i="17" s="1"/>
  <c r="AN22" i="17"/>
  <c r="AM22" i="17"/>
  <c r="AO22" i="17" s="1"/>
  <c r="R22" i="17"/>
  <c r="Q22" i="17"/>
  <c r="S22" i="17" s="1"/>
  <c r="AN21" i="17"/>
  <c r="AM21" i="17"/>
  <c r="AO21" i="17" s="1"/>
  <c r="R21" i="17"/>
  <c r="Q21" i="17"/>
  <c r="S21" i="17" s="1"/>
  <c r="AN20" i="17"/>
  <c r="AM20" i="17"/>
  <c r="AO20" i="17" s="1"/>
  <c r="R20" i="17"/>
  <c r="Q20" i="17"/>
  <c r="S20" i="17" s="1"/>
  <c r="AN19" i="17"/>
  <c r="AM19" i="17"/>
  <c r="AO19" i="17" s="1"/>
  <c r="R19" i="17"/>
  <c r="Q19" i="17"/>
  <c r="S19" i="17" s="1"/>
  <c r="R18" i="17"/>
  <c r="Q18" i="17"/>
  <c r="S18" i="17" s="1"/>
  <c r="R17" i="17"/>
  <c r="Q17" i="17"/>
  <c r="S17" i="17" s="1"/>
  <c r="R16" i="17"/>
  <c r="Q16" i="17"/>
  <c r="S16" i="17" s="1"/>
  <c r="AC15" i="17"/>
  <c r="AB15" i="17"/>
  <c r="AD15" i="17" s="1"/>
  <c r="R15" i="17"/>
  <c r="Q15" i="17"/>
  <c r="S15" i="17" s="1"/>
  <c r="AC14" i="17"/>
  <c r="AB14" i="17"/>
  <c r="AD14" i="17" s="1"/>
  <c r="R14" i="17"/>
  <c r="Q14" i="17"/>
  <c r="S14" i="17" s="1"/>
  <c r="R13" i="17"/>
  <c r="Q13" i="17"/>
  <c r="S13" i="17" s="1"/>
  <c r="AC12" i="17"/>
  <c r="AB12" i="17"/>
  <c r="AD12" i="17" s="1"/>
  <c r="R12" i="17"/>
  <c r="Q12" i="17"/>
  <c r="S12" i="17" s="1"/>
  <c r="AC11" i="17"/>
  <c r="AB11" i="17"/>
  <c r="AD11" i="17" s="1"/>
  <c r="R11" i="17"/>
  <c r="Q11" i="17"/>
  <c r="S11" i="17" s="1"/>
  <c r="AN10" i="17"/>
  <c r="AM10" i="17"/>
  <c r="AO10" i="17" s="1"/>
  <c r="AC10" i="17"/>
  <c r="AB10" i="17"/>
  <c r="AD10" i="17" s="1"/>
  <c r="R10" i="17"/>
  <c r="Q10" i="17"/>
  <c r="S10" i="17" s="1"/>
  <c r="AJ26" i="18" l="1"/>
  <c r="AF26" i="18"/>
  <c r="N26" i="18"/>
  <c r="J26" i="18"/>
  <c r="BS21" i="18" l="1"/>
  <c r="BW21" i="18"/>
  <c r="M36" i="18"/>
  <c r="I36" i="18"/>
  <c r="AY34" i="17" l="1"/>
  <c r="AX34" i="17"/>
  <c r="AZ34" i="17" s="1"/>
  <c r="AY33" i="17"/>
  <c r="AX33" i="17"/>
  <c r="AZ33" i="17" s="1"/>
  <c r="AY32" i="17"/>
  <c r="AX32" i="17"/>
  <c r="AZ32" i="17" s="1"/>
  <c r="AY31" i="17"/>
  <c r="AX31" i="17"/>
  <c r="AZ31" i="17" s="1"/>
  <c r="AY30" i="17"/>
  <c r="AX30" i="17"/>
  <c r="AZ30" i="17" s="1"/>
  <c r="AY29" i="17"/>
  <c r="AX29" i="17"/>
  <c r="AZ29" i="17" s="1"/>
  <c r="AY28" i="17"/>
  <c r="AX28" i="17"/>
  <c r="AZ28" i="17" s="1"/>
  <c r="AY27" i="17"/>
  <c r="AX27" i="17"/>
  <c r="AZ27" i="17" s="1"/>
  <c r="AY26" i="17"/>
  <c r="AX26" i="17"/>
  <c r="AZ26" i="17" s="1"/>
  <c r="AY25" i="17"/>
  <c r="AX25" i="17"/>
  <c r="AZ25" i="17" s="1"/>
  <c r="AY24" i="17"/>
  <c r="AX24" i="17"/>
  <c r="AZ24" i="17" s="1"/>
  <c r="AY23" i="17"/>
  <c r="AX23" i="17"/>
  <c r="AZ23" i="17" s="1"/>
  <c r="AY22" i="17"/>
  <c r="AX22" i="17"/>
  <c r="AZ22" i="17" s="1"/>
  <c r="AY21" i="17"/>
  <c r="AX21" i="17"/>
  <c r="AZ21" i="17" s="1"/>
  <c r="AY20" i="17"/>
  <c r="AX20" i="17"/>
  <c r="AZ20" i="17" s="1"/>
  <c r="AY19" i="17"/>
  <c r="AX19" i="17"/>
  <c r="AZ19" i="17" s="1"/>
  <c r="AY18" i="17"/>
  <c r="AX18" i="17"/>
  <c r="AZ18" i="17" s="1"/>
  <c r="AY17" i="17"/>
  <c r="AX17" i="17"/>
  <c r="AZ17" i="17" s="1"/>
  <c r="AY16" i="17"/>
  <c r="AX16" i="17"/>
  <c r="AZ16" i="17" s="1"/>
  <c r="AY15" i="17"/>
  <c r="AX15" i="17"/>
  <c r="AZ15" i="17" s="1"/>
  <c r="AY14" i="17"/>
  <c r="AX14" i="17"/>
  <c r="AZ14" i="17" s="1"/>
  <c r="AY13" i="17"/>
  <c r="AX13" i="17"/>
  <c r="AZ13" i="17" s="1"/>
  <c r="AY12" i="17"/>
  <c r="AX12" i="17"/>
  <c r="AZ12" i="17" s="1"/>
  <c r="AY11" i="17"/>
  <c r="AX11" i="17"/>
  <c r="AZ11" i="17" s="1"/>
  <c r="AY10" i="17"/>
  <c r="AX10" i="17"/>
  <c r="AZ10" i="17" s="1"/>
  <c r="AI33" i="21" l="1"/>
  <c r="AE33" i="21"/>
  <c r="X33" i="21"/>
  <c r="T33" i="21"/>
  <c r="M33" i="21"/>
  <c r="I33" i="21"/>
  <c r="BQ9" i="21"/>
  <c r="BM9" i="21"/>
  <c r="BF9" i="21"/>
  <c r="BB9" i="21"/>
  <c r="AI9" i="21"/>
  <c r="AE9" i="21"/>
  <c r="X9" i="21"/>
  <c r="T9" i="21"/>
  <c r="M9" i="21"/>
  <c r="I9" i="21"/>
  <c r="BP44" i="19"/>
  <c r="BL44" i="19"/>
  <c r="BE44" i="19"/>
  <c r="BA44" i="19"/>
  <c r="M43" i="19"/>
  <c r="I43" i="19"/>
  <c r="AI34" i="19"/>
  <c r="AE34" i="19"/>
  <c r="X34" i="19"/>
  <c r="T34" i="19"/>
  <c r="M34" i="19"/>
  <c r="I34" i="19"/>
  <c r="AI9" i="19"/>
  <c r="AE9" i="19"/>
  <c r="X9" i="19"/>
  <c r="T9" i="19"/>
  <c r="M9" i="19"/>
  <c r="I9" i="19"/>
  <c r="M18" i="18"/>
  <c r="I18" i="18"/>
  <c r="BE21" i="18"/>
  <c r="BA21" i="18"/>
  <c r="CA9" i="18"/>
  <c r="BW9" i="18"/>
  <c r="BP9" i="18"/>
  <c r="BL9" i="18"/>
  <c r="BE9" i="18"/>
  <c r="BA9" i="18"/>
  <c r="AI9" i="18"/>
  <c r="AE9" i="18"/>
  <c r="X9" i="18"/>
  <c r="T9" i="18"/>
  <c r="M9" i="18"/>
  <c r="I9" i="18"/>
  <c r="BP49" i="17"/>
  <c r="BL49" i="17"/>
  <c r="X54" i="17"/>
  <c r="T54" i="17"/>
  <c r="M54" i="17"/>
  <c r="I54" i="17"/>
  <c r="BP38" i="17"/>
  <c r="BL38" i="17"/>
  <c r="X39" i="17"/>
  <c r="T39" i="17"/>
  <c r="M39" i="17"/>
  <c r="I39" i="17"/>
  <c r="CA20" i="17"/>
  <c r="BW20" i="17"/>
  <c r="BP20" i="17"/>
  <c r="BL20" i="17"/>
  <c r="CA9" i="17"/>
  <c r="BW9" i="17"/>
  <c r="BP9" i="17"/>
  <c r="BL9" i="17"/>
  <c r="AT9" i="17"/>
  <c r="AP9" i="17"/>
  <c r="AI9" i="17"/>
  <c r="AE9" i="17"/>
  <c r="X9" i="17"/>
  <c r="T9" i="17"/>
  <c r="M9" i="17"/>
</calcChain>
</file>

<file path=xl/comments1.xml><?xml version="1.0" encoding="utf-8"?>
<comments xmlns="http://schemas.openxmlformats.org/spreadsheetml/2006/main">
  <authors>
    <author>梅津　幸子</author>
  </authors>
  <commentList>
    <comment ref="W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<sst xmlns="http://schemas.openxmlformats.org/spreadsheetml/2006/main" count="711" uniqueCount="417">
  <si>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</si>
  <si>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</si>
  <si>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</si>
  <si>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</si>
  <si>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</si>
  <si>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</si>
  <si>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</si>
  <si>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</si>
  <si>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購入</t>
    <rPh sb="0" eb="2">
      <t>コウニュウ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</si>
  <si>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</si>
  <si>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</si>
  <si>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</si>
  <si>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</si>
  <si>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</si>
  <si>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</si>
  <si>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</si>
  <si>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</si>
  <si>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</si>
  <si>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</si>
  <si>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</si>
  <si>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</si>
  <si>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</si>
  <si>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</si>
  <si>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</si>
  <si>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</si>
  <si>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</si>
  <si>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</si>
  <si>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</si>
  <si>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</si>
  <si>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</si>
  <si>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</si>
  <si>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</si>
  <si>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</si>
  <si>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</si>
  <si>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</si>
  <si>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</si>
  <si>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</si>
  <si>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追肥</t>
    <rPh sb="0" eb="2">
      <t>ツイヒ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</si>
  <si>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</si>
  <si>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</si>
  <si>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</si>
  <si>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</si>
  <si>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</si>
  <si>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</si>
  <si>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</si>
  <si>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</si>
  <si>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</si>
  <si>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</si>
  <si>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</si>
  <si>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</si>
  <si>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畑</t>
    <rPh sb="0" eb="1">
      <t>ハタ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</si>
  <si>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</si>
  <si>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</si>
  <si>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</si>
  <si>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</si>
  <si>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</si>
  <si>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</si>
  <si>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</si>
  <si>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</si>
  <si>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</si>
  <si>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</si>
  <si>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</si>
  <si>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</si>
  <si>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</si>
  <si>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</si>
  <si>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</si>
  <si>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</si>
  <si>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</si>
  <si>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</si>
  <si>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</si>
  <si>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</si>
  <si>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</si>
  <si>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</si>
  <si>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</si>
  <si>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</si>
  <si>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</si>
  <si>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</si>
  <si>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</si>
  <si>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</si>
  <si>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</si>
  <si>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</si>
  <si>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</si>
  <si>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</si>
  <si>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</si>
  <si>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</si>
  <si>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</si>
  <si>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</si>
  <si>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</si>
  <si>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１日当たり</t>
    <rPh sb="1" eb="2">
      <t>ニチ</t>
    </rPh>
    <rPh sb="2" eb="3">
      <t>ア</t>
    </rPh>
    <phoneticPr fontId="2"/>
  </si>
  <si>
    <t>販売用</t>
    <rPh sb="0" eb="3">
      <t>ハンバイヨウ</t>
    </rPh>
    <phoneticPr fontId="2"/>
  </si>
  <si>
    <t>種子用</t>
    <rPh sb="0" eb="2">
      <t>シュシ</t>
    </rPh>
    <rPh sb="2" eb="3">
      <t>ヨウ</t>
    </rPh>
    <phoneticPr fontId="2"/>
  </si>
  <si>
    <t>単価</t>
    <rPh sb="0" eb="2">
      <t>タンカ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</si>
  <si>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</si>
  <si>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</si>
  <si>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</si>
  <si>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</si>
  <si>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</si>
  <si>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</si>
  <si>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20馬力未満</t>
    <rPh sb="2" eb="4">
      <t>バリキ</t>
    </rPh>
    <rPh sb="4" eb="6">
      <t>ミマン</t>
    </rPh>
    <phoneticPr fontId="2"/>
  </si>
  <si>
    <t>50馬力以上</t>
    <rPh sb="2" eb="4">
      <t>バリキ</t>
    </rPh>
    <rPh sb="4" eb="6">
      <t>イジョウ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</si>
  <si>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</si>
  <si>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</si>
  <si>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４条以上</t>
    <rPh sb="1" eb="2">
      <t>ジョウ</t>
    </rPh>
    <rPh sb="2" eb="4">
      <t>イジョウ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</si>
  <si>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</si>
  <si>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</si>
  <si>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</si>
  <si>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</si>
  <si>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</si>
  <si>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</si>
  <si>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農業共済金</t>
    <rPh sb="0" eb="2">
      <t>ノウギョウ</t>
    </rPh>
    <rPh sb="2" eb="4">
      <t>キョウサイ</t>
    </rPh>
    <rPh sb="4" eb="5">
      <t>キン</t>
    </rPh>
    <phoneticPr fontId="2"/>
  </si>
  <si>
    <t>20～50馬力未満</t>
    <rPh sb="5" eb="7">
      <t>バリキ</t>
    </rPh>
    <rPh sb="7" eb="9">
      <t>ミマン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</si>
  <si>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</si>
  <si>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</si>
  <si>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</si>
  <si>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</si>
  <si>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</si>
  <si>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</si>
  <si>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</si>
  <si>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（参考）奨励金</t>
    <rPh sb="1" eb="3">
      <t>サンコウ</t>
    </rPh>
    <rPh sb="4" eb="7">
      <t>ショウレイキン</t>
    </rPh>
    <phoneticPr fontId="2"/>
  </si>
  <si>
    <t>は種</t>
    <rPh sb="1" eb="2">
      <t>シュ</t>
    </rPh>
    <phoneticPr fontId="2"/>
  </si>
  <si>
    <t>定植</t>
    <rPh sb="0" eb="2">
      <t>テイショク</t>
    </rPh>
    <phoneticPr fontId="2"/>
  </si>
  <si>
    <t>中耕除草</t>
    <rPh sb="0" eb="1">
      <t>チュウ</t>
    </rPh>
    <rPh sb="1" eb="2">
      <t>コウ</t>
    </rPh>
    <rPh sb="2" eb="4">
      <t>ジョソウ</t>
    </rPh>
    <phoneticPr fontId="2"/>
  </si>
  <si>
    <t>麦踏み</t>
    <rPh sb="0" eb="2">
      <t>ムギフ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</si>
  <si>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</si>
  <si>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</si>
  <si>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規格外Ａ</t>
    <rPh sb="0" eb="3">
      <t>キカクガイ</t>
    </rPh>
    <phoneticPr fontId="2"/>
  </si>
  <si>
    <t>食用</t>
    <rPh sb="0" eb="2">
      <t>ショクヨウ</t>
    </rPh>
    <phoneticPr fontId="2"/>
  </si>
  <si>
    <t>規格外Ｂ</t>
    <rPh sb="0" eb="3">
      <t>キカクガイ</t>
    </rPh>
    <phoneticPr fontId="2"/>
  </si>
  <si>
    <t>規格外Ｃ</t>
    <rPh sb="0" eb="3">
      <t>キカクガイ</t>
    </rPh>
    <phoneticPr fontId="2"/>
  </si>
  <si>
    <t>くず麦</t>
    <rPh sb="2" eb="3">
      <t>ムギ</t>
    </rPh>
    <phoneticPr fontId="2"/>
  </si>
  <si>
    <t>麦わら</t>
    <rPh sb="0" eb="1">
      <t>ムギ</t>
    </rPh>
    <phoneticPr fontId="2"/>
  </si>
  <si>
    <t>無評価</t>
    <rPh sb="0" eb="1">
      <t>ム</t>
    </rPh>
    <rPh sb="1" eb="3">
      <t>ヒョウカ</t>
    </rPh>
    <phoneticPr fontId="2"/>
  </si>
  <si>
    <t>種子用</t>
    <rPh sb="0" eb="3">
      <t>シュシヨウ</t>
    </rPh>
    <phoneticPr fontId="2"/>
  </si>
  <si>
    <t>歩行用トラクター</t>
    <rPh sb="0" eb="2">
      <t>ホコウ</t>
    </rPh>
    <rPh sb="2" eb="3">
      <t>ヨウ</t>
    </rPh>
    <phoneticPr fontId="2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</si>
  <si>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2"/>
  </si>
  <si>
    <t>総合は種機</t>
    <rPh sb="0" eb="2">
      <t>ソウゴウ</t>
    </rPh>
    <rPh sb="3" eb="4">
      <t>シュ</t>
    </rPh>
    <rPh sb="4" eb="5">
      <t>キ</t>
    </rPh>
    <phoneticPr fontId="2"/>
  </si>
  <si>
    <t>中耕除草機</t>
    <rPh sb="0" eb="2">
      <t>チュウコウ</t>
    </rPh>
    <rPh sb="2" eb="5">
      <t>ジョソウキ</t>
    </rPh>
    <phoneticPr fontId="2"/>
  </si>
  <si>
    <t>肥料散布機</t>
    <rPh sb="0" eb="2">
      <t>ヒリョウ</t>
    </rPh>
    <rPh sb="2" eb="4">
      <t>サンプ</t>
    </rPh>
    <rPh sb="4" eb="5">
      <t>キ</t>
    </rPh>
    <phoneticPr fontId="2"/>
  </si>
  <si>
    <t>調査作物収穫機</t>
    <rPh sb="0" eb="2">
      <t>チョウサ</t>
    </rPh>
    <rPh sb="2" eb="4">
      <t>サクモツ</t>
    </rPh>
    <rPh sb="4" eb="6">
      <t>シュウカクキ</t>
    </rPh>
    <rPh sb="6" eb="7">
      <t>キ</t>
    </rPh>
    <phoneticPr fontId="2"/>
  </si>
  <si>
    <t>調査作物負担分</t>
    <rPh sb="4" eb="7">
      <t>フタンブン</t>
    </rPh>
    <phoneticPr fontId="2"/>
  </si>
  <si>
    <t>調査作物負担分</t>
    <rPh sb="0" eb="2">
      <t>チョウサ</t>
    </rPh>
    <rPh sb="2" eb="4">
      <t>サクモツ</t>
    </rPh>
    <rPh sb="4" eb="7">
      <t>フタンブン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</si>
  <si>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</si>
  <si>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増減率</t>
    <phoneticPr fontId="2"/>
  </si>
  <si>
    <t>動力噴霧機</t>
    <rPh sb="0" eb="2">
      <t>ドウリョク</t>
    </rPh>
    <rPh sb="2" eb="4">
      <t>フンムキ</t>
    </rPh>
    <rPh sb="4" eb="5">
      <t>キ</t>
    </rPh>
    <phoneticPr fontId="2"/>
  </si>
  <si>
    <t>その他の諸材料費</t>
    <rPh sb="2" eb="3">
      <t>タ</t>
    </rPh>
    <rPh sb="4" eb="8">
      <t>ショザイリョウヒ</t>
    </rPh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</si>
  <si>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</si>
  <si>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単位：ａ</t>
  </si>
  <si>
    <t>納屋・倉庫</t>
    <rPh sb="0" eb="2">
      <t>ナヤ</t>
    </rPh>
    <rPh sb="3" eb="5">
      <t>ソウコ</t>
    </rPh>
    <phoneticPr fontId="2"/>
  </si>
  <si>
    <t>戦略作物助成</t>
    <rPh sb="0" eb="2">
      <t>センリャク</t>
    </rPh>
    <rPh sb="2" eb="4">
      <t>サクモツ</t>
    </rPh>
    <rPh sb="4" eb="6">
      <t>ジョセイ</t>
    </rPh>
    <phoneticPr fontId="2"/>
  </si>
  <si>
    <t>産地交付金</t>
    <rPh sb="0" eb="2">
      <t>サンチ</t>
    </rPh>
    <rPh sb="2" eb="5">
      <t>コウフキン</t>
    </rPh>
    <phoneticPr fontId="2"/>
  </si>
  <si>
    <t>増減率</t>
    <phoneticPr fontId="2"/>
  </si>
  <si>
    <t>増減率</t>
    <phoneticPr fontId="2"/>
  </si>
  <si>
    <t>増減率</t>
    <phoneticPr fontId="2"/>
  </si>
  <si>
    <t>増減率</t>
    <phoneticPr fontId="2"/>
  </si>
  <si>
    <t>コード１　</t>
    <phoneticPr fontId="2"/>
  </si>
  <si>
    <t>コード２　</t>
    <phoneticPr fontId="2"/>
  </si>
  <si>
    <t>コード３　</t>
    <phoneticPr fontId="2"/>
  </si>
  <si>
    <t>コード４　</t>
    <phoneticPr fontId="2"/>
  </si>
  <si>
    <t>コード５　</t>
    <phoneticPr fontId="2"/>
  </si>
  <si>
    <t>コード６　</t>
    <phoneticPr fontId="2"/>
  </si>
  <si>
    <t>コード７　</t>
    <phoneticPr fontId="2"/>
  </si>
  <si>
    <t>コード９　</t>
    <phoneticPr fontId="2"/>
  </si>
  <si>
    <t>コード１０</t>
    <phoneticPr fontId="2"/>
  </si>
  <si>
    <t>６５～７０</t>
    <phoneticPr fontId="2"/>
  </si>
  <si>
    <t>７０～７５</t>
    <phoneticPr fontId="2"/>
  </si>
  <si>
    <t>増減率</t>
    <phoneticPr fontId="2"/>
  </si>
  <si>
    <t>処分差損失</t>
    <phoneticPr fontId="2"/>
  </si>
  <si>
    <t>トレーラー</t>
    <phoneticPr fontId="2"/>
  </si>
  <si>
    <t>処分差損失</t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</si>
  <si>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</si>
  <si>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</si>
  <si>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貨物自動車</t>
    <rPh sb="0" eb="2">
      <t>カモツ</t>
    </rPh>
    <rPh sb="2" eb="5">
      <t>ジドウシャ</t>
    </rPh>
    <phoneticPr fontId="2"/>
  </si>
  <si>
    <t>普通畑</t>
    <rPh sb="0" eb="2">
      <t>フツウ</t>
    </rPh>
    <rPh sb="2" eb="3">
      <t>ハタ</t>
    </rPh>
    <phoneticPr fontId="2"/>
  </si>
  <si>
    <t>樹園地</t>
    <rPh sb="0" eb="1">
      <t>ジュ</t>
    </rPh>
    <rPh sb="1" eb="3">
      <t>エンチ</t>
    </rPh>
    <phoneticPr fontId="2"/>
  </si>
  <si>
    <t>水田活用の直接支払交付金</t>
    <rPh sb="0" eb="2">
      <t>スイデン</t>
    </rPh>
    <rPh sb="2" eb="4">
      <t>カツヨウ</t>
    </rPh>
    <phoneticPr fontId="2"/>
  </si>
  <si>
    <t>組織用</t>
    <rPh sb="0" eb="2">
      <t>ソシキ</t>
    </rPh>
    <rPh sb="2" eb="3">
      <t>ヨウ</t>
    </rPh>
    <phoneticPr fontId="2"/>
  </si>
  <si>
    <t>販売用</t>
    <rPh sb="0" eb="2">
      <t>ハンバイ</t>
    </rPh>
    <rPh sb="2" eb="3">
      <t>ヨウ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</si>
  <si>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</si>
  <si>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全作業</t>
    <rPh sb="0" eb="1">
      <t>ゼン</t>
    </rPh>
    <rPh sb="1" eb="3">
      <t>サギョウ</t>
    </rPh>
    <phoneticPr fontId="2"/>
  </si>
  <si>
    <t>８　調査作物の作付面積（１経営体当たり）</t>
    <rPh sb="2" eb="4">
      <t>チョウサ</t>
    </rPh>
    <rPh sb="4" eb="6">
      <t>サクモツ</t>
    </rPh>
    <rPh sb="7" eb="9">
      <t>サクツケ</t>
    </rPh>
    <rPh sb="9" eb="11">
      <t>メンセキ</t>
    </rPh>
    <rPh sb="13" eb="16">
      <t>ケイエイタイ</t>
    </rPh>
    <rPh sb="16" eb="17">
      <t>ア</t>
    </rPh>
    <phoneticPr fontId="2"/>
  </si>
  <si>
    <t>構成員</t>
    <rPh sb="0" eb="3">
      <t>コウセイイン</t>
    </rPh>
    <phoneticPr fontId="2"/>
  </si>
  <si>
    <t>調査作物負担構成員労働時間</t>
    <rPh sb="6" eb="9">
      <t>コウセイイン</t>
    </rPh>
    <phoneticPr fontId="2"/>
  </si>
  <si>
    <t>直接労働</t>
    <rPh sb="0" eb="2">
      <t>チョクセツ</t>
    </rPh>
    <rPh sb="2" eb="4">
      <t>ロウドウ</t>
    </rPh>
    <phoneticPr fontId="2"/>
  </si>
  <si>
    <t>間接労働</t>
    <rPh sb="0" eb="2">
      <t>カンセツ</t>
    </rPh>
    <rPh sb="2" eb="4">
      <t>ロウドウ</t>
    </rPh>
    <phoneticPr fontId="2"/>
  </si>
  <si>
    <t>構成員（人）</t>
    <rPh sb="0" eb="3">
      <t>コウセイイン</t>
    </rPh>
    <rPh sb="4" eb="5">
      <t>ヒト</t>
    </rPh>
    <phoneticPr fontId="2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</si>
  <si>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2"/>
  </si>
  <si>
    <t>構成農家世帯（戸）</t>
    <rPh sb="0" eb="4">
      <t>コウセイノウカ</t>
    </rPh>
    <rPh sb="4" eb="6">
      <t>セタイ</t>
    </rPh>
    <rPh sb="7" eb="8">
      <t>コ</t>
    </rPh>
    <phoneticPr fontId="2"/>
  </si>
  <si>
    <t>数量払</t>
    <rPh sb="0" eb="2">
      <t>スウリョウ</t>
    </rPh>
    <rPh sb="2" eb="3">
      <t>バラ</t>
    </rPh>
    <phoneticPr fontId="2"/>
  </si>
  <si>
    <t>任意項目</t>
    <rPh sb="0" eb="2">
      <t>ニンイ</t>
    </rPh>
    <rPh sb="2" eb="4">
      <t>コウモク</t>
    </rPh>
    <phoneticPr fontId="2"/>
  </si>
  <si>
    <t>任意項目１</t>
    <phoneticPr fontId="2"/>
  </si>
  <si>
    <t>任意項目２</t>
    <phoneticPr fontId="2"/>
  </si>
  <si>
    <t>任意項目１０</t>
    <phoneticPr fontId="2"/>
  </si>
  <si>
    <t>構成員労働報酬</t>
    <rPh sb="0" eb="3">
      <t>コウセイイン</t>
    </rPh>
    <rPh sb="3" eb="5">
      <t>ロウドウ</t>
    </rPh>
    <rPh sb="5" eb="7">
      <t>ホウシュウ</t>
    </rPh>
    <phoneticPr fontId="2"/>
  </si>
  <si>
    <t>所有台数（10経営体当たり）</t>
    <rPh sb="0" eb="2">
      <t>ショユウ</t>
    </rPh>
    <rPh sb="2" eb="4">
      <t>ダイスウ</t>
    </rPh>
    <rPh sb="7" eb="10">
      <t>ケイエイタイ</t>
    </rPh>
    <rPh sb="10" eb="11">
      <t>ア</t>
    </rPh>
    <phoneticPr fontId="2"/>
  </si>
  <si>
    <t>所有台数（10経営体当たり）</t>
    <rPh sb="0" eb="2">
      <t>ショユウ</t>
    </rPh>
    <rPh sb="2" eb="4">
      <t>ダイスウ</t>
    </rPh>
    <rPh sb="7" eb="10">
      <t>ケイエイタイ</t>
    </rPh>
    <phoneticPr fontId="2"/>
  </si>
  <si>
    <t>コード８　</t>
    <phoneticPr fontId="2"/>
  </si>
  <si>
    <t>任意項目３</t>
    <phoneticPr fontId="2"/>
  </si>
  <si>
    <t>任意項目４</t>
  </si>
  <si>
    <t>任意項目５</t>
  </si>
  <si>
    <t>任意項目６</t>
  </si>
  <si>
    <t>任意項目７</t>
  </si>
  <si>
    <t>任意項目８</t>
  </si>
  <si>
    <t>任意項目９</t>
  </si>
  <si>
    <t>増減率</t>
    <phoneticPr fontId="2"/>
  </si>
  <si>
    <t>ａ</t>
    <phoneticPr fontId="2"/>
  </si>
  <si>
    <t>kg</t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</si>
  <si>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</si>
  <si>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</t>
    <rPh sb="2" eb="5">
      <t>カリイレキン</t>
    </rPh>
    <phoneticPr fontId="2"/>
  </si>
  <si>
    <t>５　農業共済金、各種助成措置の状況</t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</si>
  <si>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６　収益性</t>
    <rPh sb="2" eb="5">
      <t>シュウエキセイ</t>
    </rPh>
    <phoneticPr fontId="2"/>
  </si>
  <si>
    <t>７　経営耕地（１経営体当たり）</t>
    <rPh sb="2" eb="4">
      <t>ケイエイ</t>
    </rPh>
    <rPh sb="4" eb="6">
      <t>コウチ</t>
    </rPh>
    <rPh sb="8" eb="11">
      <t>ケイエイタイ</t>
    </rPh>
    <rPh sb="11" eb="12">
      <t>ア</t>
    </rPh>
    <phoneticPr fontId="2"/>
  </si>
  <si>
    <t>９　調査作物作業の受託状況（１経営体当たり）</t>
    <rPh sb="2" eb="4">
      <t>チョウサ</t>
    </rPh>
    <rPh sb="4" eb="6">
      <t>サクモツ</t>
    </rPh>
    <rPh sb="6" eb="8">
      <t>サギョウ</t>
    </rPh>
    <rPh sb="9" eb="11">
      <t>ジュタク</t>
    </rPh>
    <rPh sb="11" eb="13">
      <t>ジョウキョウ</t>
    </rPh>
    <rPh sb="15" eb="18">
      <t>ケイエイタイ</t>
    </rPh>
    <rPh sb="18" eb="19">
      <t>ア</t>
    </rPh>
    <phoneticPr fontId="2"/>
  </si>
  <si>
    <t>10　調査作物作業の委託状況（１経営体当たり）</t>
    <rPh sb="3" eb="5">
      <t>チョウサ</t>
    </rPh>
    <rPh sb="5" eb="7">
      <t>サクモツ</t>
    </rPh>
    <rPh sb="7" eb="9">
      <t>サギョウ</t>
    </rPh>
    <rPh sb="10" eb="12">
      <t>イタク</t>
    </rPh>
    <rPh sb="12" eb="14">
      <t>ジョウキョウ</t>
    </rPh>
    <rPh sb="16" eb="19">
      <t>ケイエイタイ</t>
    </rPh>
    <rPh sb="19" eb="20">
      <t>ア</t>
    </rPh>
    <phoneticPr fontId="2"/>
  </si>
  <si>
    <t>11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</si>
  <si>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自給</t>
    <phoneticPr fontId="2"/>
  </si>
  <si>
    <t>調査作物構成員
労働評価額</t>
    <phoneticPr fontId="2"/>
  </si>
  <si>
    <t>面積払</t>
    <rPh sb="0" eb="2">
      <t>メンセキ</t>
    </rPh>
    <rPh sb="2" eb="3">
      <t>バライ</t>
    </rPh>
    <phoneticPr fontId="2"/>
  </si>
  <si>
    <t>住宅</t>
    <rPh sb="0" eb="2">
      <t>ジュウタク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</si>
  <si>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</si>
  <si>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</si>
  <si>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</si>
  <si>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</si>
  <si>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</si>
  <si>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</si>
  <si>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</si>
  <si>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</si>
  <si>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</si>
  <si>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</si>
  <si>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直まき</t>
    <rPh sb="0" eb="1">
      <t>チョク</t>
    </rPh>
    <phoneticPr fontId="2"/>
  </si>
  <si>
    <t>移　　　植</t>
    <rPh sb="0" eb="1">
      <t>ウツリ</t>
    </rPh>
    <rPh sb="4" eb="5">
      <t>ウエ</t>
    </rPh>
    <phoneticPr fontId="2"/>
  </si>
  <si>
    <t>株出し</t>
    <rPh sb="0" eb="1">
      <t>カブ</t>
    </rPh>
    <rPh sb="1" eb="2">
      <t>ダ</t>
    </rPh>
    <phoneticPr fontId="2"/>
  </si>
  <si>
    <t>春植え</t>
    <rPh sb="0" eb="1">
      <t>ハル</t>
    </rPh>
    <rPh sb="1" eb="2">
      <t>ウ</t>
    </rPh>
    <phoneticPr fontId="2"/>
  </si>
  <si>
    <t>夏植え</t>
    <rPh sb="0" eb="1">
      <t>ナツ</t>
    </rPh>
    <rPh sb="1" eb="2">
      <t>ウ</t>
    </rPh>
    <phoneticPr fontId="2"/>
  </si>
  <si>
    <t>13　取引糖度（てんさい、さとうきび）</t>
    <rPh sb="3" eb="5">
      <t>トリヒキ</t>
    </rPh>
    <rPh sb="5" eb="7">
      <t>トウド</t>
    </rPh>
    <phoneticPr fontId="2"/>
  </si>
  <si>
    <t>出荷量（kg）</t>
    <rPh sb="0" eb="3">
      <t>シュッカリョウ</t>
    </rPh>
    <phoneticPr fontId="2"/>
  </si>
  <si>
    <t>糖度換算出荷量（kg）</t>
    <rPh sb="0" eb="2">
      <t>トウド</t>
    </rPh>
    <rPh sb="2" eb="4">
      <t>カンサン</t>
    </rPh>
    <rPh sb="4" eb="7">
      <t>シュッカリョウ</t>
    </rPh>
    <phoneticPr fontId="2"/>
  </si>
  <si>
    <t>取引糖度（％）</t>
    <rPh sb="0" eb="2">
      <t>トリヒキ</t>
    </rPh>
    <rPh sb="2" eb="4">
      <t>トウド</t>
    </rPh>
    <phoneticPr fontId="2"/>
  </si>
  <si>
    <t>14　地　代（面積は１経営体当たり）</t>
    <rPh sb="3" eb="6">
      <t>チダイ</t>
    </rPh>
    <rPh sb="7" eb="9">
      <t>メンセキ</t>
    </rPh>
    <rPh sb="11" eb="14">
      <t>ケイエイタイ</t>
    </rPh>
    <rPh sb="14" eb="15">
      <t>ア</t>
    </rPh>
    <phoneticPr fontId="2"/>
  </si>
  <si>
    <t>15　調査作物の品種別作付面積（１経営体当たり）</t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rPh sb="17" eb="20">
      <t>ケイエイタイ</t>
    </rPh>
    <rPh sb="20" eb="21">
      <t>ア</t>
    </rPh>
    <phoneticPr fontId="2"/>
  </si>
  <si>
    <t>16　投下労働時間</t>
    <rPh sb="3" eb="5">
      <t>トウカ</t>
    </rPh>
    <rPh sb="5" eb="7">
      <t>ロウドウ</t>
    </rPh>
    <rPh sb="7" eb="9">
      <t>ジカン</t>
    </rPh>
    <phoneticPr fontId="2"/>
  </si>
  <si>
    <t>17　年齢階層別構成員労働時間及び労働評価</t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phoneticPr fontId="2"/>
  </si>
  <si>
    <t>18　構成員数等（１経営体当たり）</t>
    <rPh sb="3" eb="5">
      <t>コウセイ</t>
    </rPh>
    <rPh sb="5" eb="6">
      <t>イン</t>
    </rPh>
    <rPh sb="6" eb="7">
      <t>スウ</t>
    </rPh>
    <rPh sb="7" eb="8">
      <t>トウ</t>
    </rPh>
    <rPh sb="10" eb="13">
      <t>ケイエイタイ</t>
    </rPh>
    <rPh sb="13" eb="14">
      <t>ア</t>
    </rPh>
    <phoneticPr fontId="2"/>
  </si>
  <si>
    <t>19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</si>
  <si>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20　生産物の処分内訳</t>
    <rPh sb="3" eb="6">
      <t>セイサンブツ</t>
    </rPh>
    <rPh sb="7" eb="9">
      <t>ショブン</t>
    </rPh>
    <rPh sb="9" eb="11">
      <t>ウチワケ</t>
    </rPh>
    <phoneticPr fontId="2"/>
  </si>
  <si>
    <t>21　減価償却費</t>
    <rPh sb="3" eb="5">
      <t>ゲンカ</t>
    </rPh>
    <rPh sb="5" eb="8">
      <t>ショウキャクヒ</t>
    </rPh>
    <phoneticPr fontId="2"/>
  </si>
  <si>
    <t>麦類</t>
    <rPh sb="0" eb="1">
      <t>ムギ</t>
    </rPh>
    <rPh sb="1" eb="2">
      <t>ルイ</t>
    </rPh>
    <phoneticPr fontId="2"/>
  </si>
  <si>
    <t>そば</t>
    <phoneticPr fontId="2"/>
  </si>
  <si>
    <t>畑作物・なたね</t>
    <rPh sb="0" eb="3">
      <t>ハタサクモツ</t>
    </rPh>
    <phoneticPr fontId="2"/>
  </si>
  <si>
    <t>種苗用</t>
    <rPh sb="0" eb="2">
      <t>シュビョウ</t>
    </rPh>
    <rPh sb="2" eb="3">
      <t>ヨウ</t>
    </rPh>
    <phoneticPr fontId="2"/>
  </si>
  <si>
    <t>組織用</t>
    <rPh sb="0" eb="3">
      <t>ソシキヨウ</t>
    </rPh>
    <phoneticPr fontId="2"/>
  </si>
  <si>
    <t>規格外</t>
    <rPh sb="0" eb="3">
      <t>キカクガイ</t>
    </rPh>
    <phoneticPr fontId="2"/>
  </si>
  <si>
    <t>移植機</t>
    <rPh sb="0" eb="2">
      <t>イショク</t>
    </rPh>
    <rPh sb="2" eb="3">
      <t>キ</t>
    </rPh>
    <phoneticPr fontId="2"/>
  </si>
  <si>
    <t>きび脱葉機</t>
    <rPh sb="2" eb="3">
      <t>ダツ</t>
    </rPh>
    <rPh sb="3" eb="4">
      <t>ヨウ</t>
    </rPh>
    <rPh sb="4" eb="5">
      <t>キ</t>
    </rPh>
    <phoneticPr fontId="2"/>
  </si>
  <si>
    <t>22　二条大麦のうち、ビール麦の販売内訳</t>
    <rPh sb="3" eb="5">
      <t>ニジョウ</t>
    </rPh>
    <rPh sb="5" eb="7">
      <t>オオムギ</t>
    </rPh>
    <rPh sb="14" eb="15">
      <t>ムギ</t>
    </rPh>
    <rPh sb="16" eb="18">
      <t>ハンバイ</t>
    </rPh>
    <rPh sb="18" eb="20">
      <t>ウチワケ</t>
    </rPh>
    <phoneticPr fontId="2"/>
  </si>
  <si>
    <t>単位：kg、円</t>
    <rPh sb="0" eb="2">
      <t>タンイ</t>
    </rPh>
    <phoneticPr fontId="2"/>
  </si>
  <si>
    <t>等外上</t>
    <rPh sb="0" eb="1">
      <t>ヒト</t>
    </rPh>
    <rPh sb="1" eb="2">
      <t>ソト</t>
    </rPh>
    <rPh sb="2" eb="3">
      <t>ウエ</t>
    </rPh>
    <phoneticPr fontId="2"/>
  </si>
  <si>
    <t>株分け</t>
    <rPh sb="0" eb="2">
      <t>カブワ</t>
    </rPh>
    <phoneticPr fontId="2"/>
  </si>
  <si>
    <t>はく葉</t>
    <rPh sb="2" eb="3">
      <t>ヨウ</t>
    </rPh>
    <phoneticPr fontId="2"/>
  </si>
  <si>
    <t>都道府県等</t>
    <rPh sb="0" eb="4">
      <t>トドウフケン</t>
    </rPh>
    <rPh sb="4" eb="5">
      <t>トウ</t>
    </rPh>
    <phoneticPr fontId="2"/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</si>
  <si>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</si>
  <si>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</si>
  <si>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</si>
  <si>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集計経営体数</t>
    <phoneticPr fontId="2"/>
  </si>
  <si>
    <t>集計倍率</t>
  </si>
  <si>
    <t>前年産</t>
    <rPh sb="0" eb="2">
      <t>ゼンネン</t>
    </rPh>
    <rPh sb="2" eb="3">
      <t>サン</t>
    </rPh>
    <phoneticPr fontId="2"/>
  </si>
  <si>
    <t>12　調査作物の栽培型別面積（１経営体当たり）</t>
    <rPh sb="3" eb="5">
      <t>チョウサ</t>
    </rPh>
    <rPh sb="5" eb="7">
      <t>サクモツ</t>
    </rPh>
    <rPh sb="8" eb="10">
      <t>サイバイ</t>
    </rPh>
    <rPh sb="10" eb="11">
      <t>ガタ</t>
    </rPh>
    <rPh sb="11" eb="12">
      <t>ベツ</t>
    </rPh>
    <rPh sb="12" eb="14">
      <t>メンセキ</t>
    </rPh>
    <phoneticPr fontId="2"/>
  </si>
  <si>
    <t>てんさい作付面積</t>
    <rPh sb="4" eb="6">
      <t>サクツケ</t>
    </rPh>
    <rPh sb="6" eb="8">
      <t>メンセキ</t>
    </rPh>
    <phoneticPr fontId="2"/>
  </si>
  <si>
    <t>さとうきび作付面積</t>
    <rPh sb="5" eb="7">
      <t>サクツケ</t>
    </rPh>
    <rPh sb="7" eb="9">
      <t>メンセキ</t>
    </rPh>
    <phoneticPr fontId="2"/>
  </si>
  <si>
    <t>本年産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</si>
  <si>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</si>
  <si>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</si>
  <si>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</si>
  <si>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</si>
  <si>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</si>
  <si>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田畑区分</t>
    <rPh sb="0" eb="1">
      <t>デン</t>
    </rPh>
    <rPh sb="1" eb="2">
      <t>ハタ</t>
    </rPh>
    <rPh sb="2" eb="4">
      <t>クブン</t>
    </rPh>
    <phoneticPr fontId="2"/>
  </si>
  <si>
    <t>ビール麦販売区分</t>
    <rPh sb="3" eb="4">
      <t>ムギ</t>
    </rPh>
    <rPh sb="4" eb="6">
      <t>ハンバイ</t>
    </rPh>
    <rPh sb="6" eb="8">
      <t>クブン</t>
    </rPh>
    <phoneticPr fontId="2"/>
  </si>
  <si>
    <t>てんさい栽培区分</t>
    <rPh sb="4" eb="6">
      <t>サイバイ</t>
    </rPh>
    <rPh sb="6" eb="8">
      <t>クブン</t>
    </rPh>
    <phoneticPr fontId="2"/>
  </si>
  <si>
    <t>年産　組織法人経営体に関する経営分析調査（麦類・そば・なたね・畑作物生産費（組織法人経営））　集計結果検討表　Ｎｏ．１</t>
    <rPh sb="3" eb="5">
      <t>ソシキ</t>
    </rPh>
    <rPh sb="5" eb="7">
      <t>ホウジン</t>
    </rPh>
    <rPh sb="7" eb="9">
      <t>ケイエイ</t>
    </rPh>
    <rPh sb="9" eb="10">
      <t>タイ</t>
    </rPh>
    <rPh sb="11" eb="12">
      <t>カン</t>
    </rPh>
    <rPh sb="14" eb="16">
      <t>ケイエイ</t>
    </rPh>
    <rPh sb="16" eb="18">
      <t>ブンセキ</t>
    </rPh>
    <rPh sb="18" eb="20">
      <t>チョウサ</t>
    </rPh>
    <rPh sb="21" eb="22">
      <t>ムギ</t>
    </rPh>
    <rPh sb="22" eb="23">
      <t>ルイ</t>
    </rPh>
    <rPh sb="31" eb="34">
      <t>ハタサクモツ</t>
    </rPh>
    <rPh sb="34" eb="37">
      <t>セイサンヒ</t>
    </rPh>
    <rPh sb="38" eb="40">
      <t>ソシキ</t>
    </rPh>
    <rPh sb="40" eb="42">
      <t>ホウジン</t>
    </rPh>
    <rPh sb="42" eb="44">
      <t>ケイエイ</t>
    </rPh>
    <phoneticPr fontId="2"/>
  </si>
  <si>
    <t>年産　組織法人経営体に関する経営分析調査（麦類・そば・なたね・畑作物生産費（組織法人経営））　集計結果検討表　Ｎｏ．４</t>
    <rPh sb="3" eb="5">
      <t>ソシキ</t>
    </rPh>
    <rPh sb="5" eb="7">
      <t>ホウジン</t>
    </rPh>
    <rPh sb="7" eb="9">
      <t>ケイエイ</t>
    </rPh>
    <rPh sb="9" eb="10">
      <t>タイ</t>
    </rPh>
    <rPh sb="11" eb="12">
      <t>カン</t>
    </rPh>
    <rPh sb="14" eb="16">
      <t>ケイエイ</t>
    </rPh>
    <rPh sb="16" eb="18">
      <t>ブンセキ</t>
    </rPh>
    <rPh sb="18" eb="20">
      <t>チョウサ</t>
    </rPh>
    <rPh sb="21" eb="22">
      <t>ムギ</t>
    </rPh>
    <rPh sb="22" eb="23">
      <t>ルイ</t>
    </rPh>
    <rPh sb="31" eb="34">
      <t>ハタサクモツ</t>
    </rPh>
    <rPh sb="34" eb="37">
      <t>セイサンヒ</t>
    </rPh>
    <rPh sb="38" eb="40">
      <t>ソシキ</t>
    </rPh>
    <rPh sb="40" eb="42">
      <t>ホウジン</t>
    </rPh>
    <rPh sb="42" eb="44">
      <t>ケイエイ</t>
    </rPh>
    <phoneticPr fontId="2"/>
  </si>
  <si>
    <t>年産　組織法人経営体に関する経営分析調査（麦類・そば・なたね・畑作物生産費（組織法人経営））　集計結果検討表　Ｎｏ．３</t>
    <rPh sb="3" eb="5">
      <t>ソシキ</t>
    </rPh>
    <rPh sb="5" eb="7">
      <t>ホウジン</t>
    </rPh>
    <rPh sb="7" eb="9">
      <t>ケイエイ</t>
    </rPh>
    <rPh sb="9" eb="10">
      <t>タイ</t>
    </rPh>
    <rPh sb="11" eb="12">
      <t>カン</t>
    </rPh>
    <rPh sb="14" eb="16">
      <t>ケイエイ</t>
    </rPh>
    <rPh sb="16" eb="18">
      <t>ブンセキ</t>
    </rPh>
    <rPh sb="18" eb="20">
      <t>チョウサ</t>
    </rPh>
    <rPh sb="21" eb="22">
      <t>ムギ</t>
    </rPh>
    <rPh sb="22" eb="23">
      <t>ルイ</t>
    </rPh>
    <rPh sb="31" eb="34">
      <t>ハタサクモツ</t>
    </rPh>
    <rPh sb="34" eb="37">
      <t>セイサンヒ</t>
    </rPh>
    <rPh sb="38" eb="40">
      <t>ソシキ</t>
    </rPh>
    <rPh sb="40" eb="42">
      <t>ホウジン</t>
    </rPh>
    <rPh sb="42" eb="44">
      <t>ケイエイ</t>
    </rPh>
    <phoneticPr fontId="2"/>
  </si>
  <si>
    <t>年産　組織法人経営体に関する経営分析調査（麦類・そば・なたね・畑作物生産費（組織法人経営））　集計結果検討表　Ｎｏ．２</t>
    <rPh sb="3" eb="5">
      <t>ソシキ</t>
    </rPh>
    <rPh sb="5" eb="7">
      <t>ホウジン</t>
    </rPh>
    <rPh sb="7" eb="9">
      <t>ケイエイ</t>
    </rPh>
    <rPh sb="9" eb="10">
      <t>タイ</t>
    </rPh>
    <rPh sb="11" eb="12">
      <t>カン</t>
    </rPh>
    <rPh sb="14" eb="16">
      <t>ケイエイ</t>
    </rPh>
    <rPh sb="16" eb="18">
      <t>ブンセキ</t>
    </rPh>
    <rPh sb="18" eb="20">
      <t>チョウサ</t>
    </rPh>
    <rPh sb="21" eb="22">
      <t>ムギ</t>
    </rPh>
    <rPh sb="22" eb="23">
      <t>ルイ</t>
    </rPh>
    <rPh sb="31" eb="34">
      <t>ハタサクモツ</t>
    </rPh>
    <rPh sb="34" eb="37">
      <t>セイサンヒ</t>
    </rPh>
    <rPh sb="38" eb="40">
      <t>ソシキ</t>
    </rPh>
    <rPh sb="40" eb="42">
      <t>ホウジン</t>
    </rPh>
    <rPh sb="42" eb="44">
      <t>ケイエイ</t>
    </rPh>
    <phoneticPr fontId="2"/>
  </si>
  <si>
    <t>農機具等</t>
    <rPh sb="0" eb="3">
      <t>ノウキグ</t>
    </rPh>
    <rPh sb="3" eb="4">
      <t>トウ</t>
    </rPh>
    <phoneticPr fontId="2"/>
  </si>
  <si>
    <t>都道府県番号</t>
  </si>
  <si>
    <t>コード</t>
    <phoneticPr fontId="11"/>
  </si>
  <si>
    <t>集計区分</t>
    <phoneticPr fontId="11"/>
  </si>
  <si>
    <t>なたね</t>
    <phoneticPr fontId="11"/>
  </si>
  <si>
    <t>ビール麦販売区分</t>
    <rPh sb="3" eb="4">
      <t>ムギ</t>
    </rPh>
    <rPh sb="4" eb="6">
      <t>ハンバイ</t>
    </rPh>
    <rPh sb="6" eb="8">
      <t>クブン</t>
    </rPh>
    <phoneticPr fontId="11"/>
  </si>
  <si>
    <t>コード</t>
  </si>
  <si>
    <t>田畑区分</t>
    <rPh sb="0" eb="1">
      <t>デン</t>
    </rPh>
    <rPh sb="1" eb="2">
      <t>ハタ</t>
    </rPh>
    <rPh sb="2" eb="4">
      <t>クブン</t>
    </rPh>
    <phoneticPr fontId="12"/>
  </si>
  <si>
    <t>平均値種類</t>
    <rPh sb="0" eb="3">
      <t>ヘイキンチ</t>
    </rPh>
    <rPh sb="3" eb="5">
      <t>シュルイ</t>
    </rPh>
    <phoneticPr fontId="11"/>
  </si>
  <si>
    <t>加重・総和の別</t>
    <rPh sb="0" eb="2">
      <t>カジュウ</t>
    </rPh>
    <rPh sb="3" eb="5">
      <t>ソウワ</t>
    </rPh>
    <rPh sb="6" eb="7">
      <t>ベツ</t>
    </rPh>
    <phoneticPr fontId="11"/>
  </si>
  <si>
    <t>てんさい栽培区分</t>
    <rPh sb="4" eb="6">
      <t>サイバイ</t>
    </rPh>
    <rPh sb="6" eb="8">
      <t>クブン</t>
    </rPh>
    <phoneticPr fontId="11"/>
  </si>
  <si>
    <t>経営種類</t>
    <rPh sb="0" eb="2">
      <t>ケイエイ</t>
    </rPh>
    <rPh sb="2" eb="4">
      <t>シュルイ</t>
    </rPh>
    <phoneticPr fontId="13"/>
  </si>
  <si>
    <t>青森</t>
    <rPh sb="0" eb="2">
      <t>アオモリ</t>
    </rPh>
    <phoneticPr fontId="11"/>
  </si>
  <si>
    <t>全調査対象</t>
    <rPh sb="0" eb="3">
      <t>ゼンチョウサ</t>
    </rPh>
    <rPh sb="3" eb="5">
      <t>タイショウ</t>
    </rPh>
    <phoneticPr fontId="11"/>
  </si>
  <si>
    <t>規模階層</t>
  </si>
  <si>
    <t>ビール麦100％</t>
    <phoneticPr fontId="11"/>
  </si>
  <si>
    <t>田畑計</t>
    <rPh sb="0" eb="1">
      <t>デン</t>
    </rPh>
    <rPh sb="1" eb="2">
      <t>ハタ</t>
    </rPh>
    <rPh sb="2" eb="3">
      <t>ケイ</t>
    </rPh>
    <phoneticPr fontId="11"/>
  </si>
  <si>
    <t>通常</t>
    <rPh sb="0" eb="2">
      <t>ツウジョウ</t>
    </rPh>
    <phoneticPr fontId="11"/>
  </si>
  <si>
    <t>加重平均</t>
    <rPh sb="0" eb="2">
      <t>カジュウ</t>
    </rPh>
    <rPh sb="2" eb="4">
      <t>ヘイキン</t>
    </rPh>
    <phoneticPr fontId="11"/>
  </si>
  <si>
    <t>移植有</t>
    <rPh sb="0" eb="1">
      <t>イショク</t>
    </rPh>
    <rPh sb="1" eb="2">
      <t>アリ</t>
    </rPh>
    <phoneticPr fontId="11"/>
  </si>
  <si>
    <t>個別経営体</t>
    <rPh sb="0" eb="2">
      <t>コベツ</t>
    </rPh>
    <rPh sb="2" eb="4">
      <t>ケイエイ</t>
    </rPh>
    <rPh sb="4" eb="5">
      <t>タイ</t>
    </rPh>
    <phoneticPr fontId="13"/>
  </si>
  <si>
    <t>岩手</t>
    <rPh sb="0" eb="2">
      <t>イワテ</t>
    </rPh>
    <phoneticPr fontId="11"/>
  </si>
  <si>
    <t>ビール麦100％未満</t>
    <rPh sb="8" eb="10">
      <t>ミマン</t>
    </rPh>
    <phoneticPr fontId="11"/>
  </si>
  <si>
    <t>田</t>
    <rPh sb="0" eb="1">
      <t>デン</t>
    </rPh>
    <phoneticPr fontId="11"/>
  </si>
  <si>
    <t>総数</t>
    <rPh sb="0" eb="2">
      <t>ソウスウ</t>
    </rPh>
    <phoneticPr fontId="13"/>
  </si>
  <si>
    <t>総和平均</t>
    <rPh sb="0" eb="2">
      <t>ソウワ</t>
    </rPh>
    <rPh sb="2" eb="4">
      <t>ヘイキン</t>
    </rPh>
    <phoneticPr fontId="13"/>
  </si>
  <si>
    <t>移植無</t>
    <rPh sb="0" eb="2">
      <t>イショク</t>
    </rPh>
    <rPh sb="2" eb="3">
      <t>ナシ</t>
    </rPh>
    <phoneticPr fontId="11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</si>
  <si>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3"/>
  </si>
  <si>
    <t>宮城</t>
    <rPh sb="0" eb="2">
      <t>ミヤギ</t>
    </rPh>
    <phoneticPr fontId="11"/>
  </si>
  <si>
    <t>二条大麦</t>
    <rPh sb="0" eb="2">
      <t>ニジョウ</t>
    </rPh>
    <rPh sb="2" eb="4">
      <t>オオムギ</t>
    </rPh>
    <phoneticPr fontId="11"/>
  </si>
  <si>
    <t>ビール麦無</t>
    <rPh sb="4" eb="5">
      <t>ナ</t>
    </rPh>
    <phoneticPr fontId="11"/>
  </si>
  <si>
    <t>畑</t>
    <rPh sb="0" eb="1">
      <t>ハタ</t>
    </rPh>
    <phoneticPr fontId="11"/>
  </si>
  <si>
    <t>10ａ当たり</t>
    <rPh sb="3" eb="4">
      <t>ア</t>
    </rPh>
    <phoneticPr fontId="13"/>
  </si>
  <si>
    <t>指定しない</t>
    <rPh sb="0" eb="2">
      <t>シテイ</t>
    </rPh>
    <phoneticPr fontId="11"/>
  </si>
  <si>
    <t>秋田</t>
    <rPh sb="0" eb="2">
      <t>アキタ</t>
    </rPh>
    <phoneticPr fontId="11"/>
  </si>
  <si>
    <t>六条大麦</t>
    <rPh sb="0" eb="2">
      <t>ロクジョウ</t>
    </rPh>
    <rPh sb="2" eb="4">
      <t>オオムギ</t>
    </rPh>
    <phoneticPr fontId="11"/>
  </si>
  <si>
    <t>単位数量当たり</t>
    <rPh sb="0" eb="2">
      <t>タンイ</t>
    </rPh>
    <rPh sb="2" eb="4">
      <t>スウリョウ</t>
    </rPh>
    <rPh sb="4" eb="5">
      <t>ア</t>
    </rPh>
    <phoneticPr fontId="13"/>
  </si>
  <si>
    <t>山形</t>
    <rPh sb="0" eb="2">
      <t>ヤマガタ</t>
    </rPh>
    <phoneticPr fontId="11"/>
  </si>
  <si>
    <t>はだか麦</t>
    <rPh sb="3" eb="4">
      <t>ムギ</t>
    </rPh>
    <phoneticPr fontId="11"/>
  </si>
  <si>
    <t>１経営体当たり</t>
    <rPh sb="1" eb="4">
      <t>ケイエイタイ</t>
    </rPh>
    <rPh sb="4" eb="5">
      <t>ア</t>
    </rPh>
    <phoneticPr fontId="13"/>
  </si>
  <si>
    <t>福島</t>
    <rPh sb="0" eb="2">
      <t>フクシマ</t>
    </rPh>
    <phoneticPr fontId="11"/>
  </si>
  <si>
    <t>集計対象</t>
    <rPh sb="0" eb="2">
      <t>シュウケイ</t>
    </rPh>
    <rPh sb="2" eb="4">
      <t>タイショウ</t>
    </rPh>
    <phoneticPr fontId="11"/>
  </si>
  <si>
    <t>てんさい</t>
    <phoneticPr fontId="11"/>
  </si>
  <si>
    <t>茨城</t>
    <rPh sb="0" eb="2">
      <t>イバラキ</t>
    </rPh>
    <phoneticPr fontId="11"/>
  </si>
  <si>
    <t>栃木</t>
    <rPh sb="0" eb="2">
      <t>トチギ</t>
    </rPh>
    <phoneticPr fontId="11"/>
  </si>
  <si>
    <t>3.0ha未満</t>
    <rPh sb="5" eb="7">
      <t>ミマン</t>
    </rPh>
    <phoneticPr fontId="11"/>
  </si>
  <si>
    <t>群馬</t>
    <rPh sb="0" eb="2">
      <t>グンマ</t>
    </rPh>
    <phoneticPr fontId="11"/>
  </si>
  <si>
    <t>原料用ばれいしょ</t>
    <rPh sb="0" eb="3">
      <t>ゲンリョウヨウ</t>
    </rPh>
    <phoneticPr fontId="11"/>
  </si>
  <si>
    <t>埼玉</t>
    <rPh sb="0" eb="2">
      <t>サイタマ</t>
    </rPh>
    <phoneticPr fontId="11"/>
  </si>
  <si>
    <t>さとうきび</t>
    <phoneticPr fontId="11"/>
  </si>
  <si>
    <t>千葉</t>
    <rPh sb="0" eb="2">
      <t>チバ</t>
    </rPh>
    <phoneticPr fontId="11"/>
  </si>
  <si>
    <t>東京</t>
    <rPh sb="0" eb="2">
      <t>トウキョウ</t>
    </rPh>
    <phoneticPr fontId="11"/>
  </si>
  <si>
    <t>10.0～15.0</t>
    <phoneticPr fontId="11"/>
  </si>
  <si>
    <t>神奈川</t>
    <rPh sb="0" eb="3">
      <t>カナガワ</t>
    </rPh>
    <phoneticPr fontId="11"/>
  </si>
  <si>
    <t>15.0ha以上</t>
    <rPh sb="6" eb="8">
      <t>イジョウ</t>
    </rPh>
    <phoneticPr fontId="11"/>
  </si>
  <si>
    <t>新潟</t>
    <rPh sb="0" eb="2">
      <t>ニイガタ</t>
    </rPh>
    <phoneticPr fontId="11"/>
  </si>
  <si>
    <t>富山</t>
    <rPh sb="0" eb="2">
      <t>トヤマ</t>
    </rPh>
    <phoneticPr fontId="11"/>
  </si>
  <si>
    <t>石川</t>
    <rPh sb="0" eb="2">
      <t>イシカワ</t>
    </rPh>
    <phoneticPr fontId="11"/>
  </si>
  <si>
    <t>福井</t>
    <rPh sb="0" eb="2">
      <t>フクイ</t>
    </rPh>
    <phoneticPr fontId="11"/>
  </si>
  <si>
    <t>山梨</t>
    <rPh sb="0" eb="2">
      <t>ヤマナシ</t>
    </rPh>
    <phoneticPr fontId="11"/>
  </si>
  <si>
    <t>長野</t>
    <rPh sb="0" eb="2">
      <t>ナガノ</t>
    </rPh>
    <phoneticPr fontId="11"/>
  </si>
  <si>
    <t>1.0ha未満</t>
    <rPh sb="5" eb="7">
      <t>ミマン</t>
    </rPh>
    <phoneticPr fontId="11"/>
  </si>
  <si>
    <t>岐阜</t>
    <rPh sb="0" eb="2">
      <t>ギフ</t>
    </rPh>
    <phoneticPr fontId="11"/>
  </si>
  <si>
    <t>静岡</t>
    <rPh sb="0" eb="2">
      <t>シズオカ</t>
    </rPh>
    <phoneticPr fontId="11"/>
  </si>
  <si>
    <t>3.0～5.0</t>
    <phoneticPr fontId="11"/>
  </si>
  <si>
    <t>愛知</t>
    <rPh sb="0" eb="2">
      <t>アイチ</t>
    </rPh>
    <phoneticPr fontId="11"/>
  </si>
  <si>
    <t>三重</t>
    <rPh sb="0" eb="2">
      <t>ミエ</t>
    </rPh>
    <phoneticPr fontId="11"/>
  </si>
  <si>
    <t>滋賀</t>
    <rPh sb="0" eb="2">
      <t>シガ</t>
    </rPh>
    <phoneticPr fontId="11"/>
  </si>
  <si>
    <t>京都</t>
    <rPh sb="0" eb="2">
      <t>キョウト</t>
    </rPh>
    <phoneticPr fontId="11"/>
  </si>
  <si>
    <t>大阪</t>
    <rPh sb="0" eb="2">
      <t>オオサカ</t>
    </rPh>
    <phoneticPr fontId="11"/>
  </si>
  <si>
    <t>兵庫</t>
    <rPh sb="0" eb="2">
      <t>ヒョウゴ</t>
    </rPh>
    <phoneticPr fontId="11"/>
  </si>
  <si>
    <t>1.0～3.0</t>
    <phoneticPr fontId="11"/>
  </si>
  <si>
    <t>奈良</t>
    <rPh sb="0" eb="2">
      <t>ナラ</t>
    </rPh>
    <phoneticPr fontId="11"/>
  </si>
  <si>
    <t>和歌山</t>
    <rPh sb="0" eb="3">
      <t>ワカヤマ</t>
    </rPh>
    <phoneticPr fontId="11"/>
  </si>
  <si>
    <t>鳥取</t>
    <rPh sb="0" eb="2">
      <t>トットリ</t>
    </rPh>
    <phoneticPr fontId="11"/>
  </si>
  <si>
    <t>島根</t>
    <rPh sb="0" eb="2">
      <t>シマネ</t>
    </rPh>
    <phoneticPr fontId="11"/>
  </si>
  <si>
    <t>岡山</t>
    <rPh sb="0" eb="2">
      <t>オカヤマ</t>
    </rPh>
    <phoneticPr fontId="11"/>
  </si>
  <si>
    <t>広島</t>
    <rPh sb="0" eb="2">
      <t>ヒロシマ</t>
    </rPh>
    <phoneticPr fontId="11"/>
  </si>
  <si>
    <t>山口</t>
    <rPh sb="0" eb="2">
      <t>ヤマグチ</t>
    </rPh>
    <phoneticPr fontId="11"/>
  </si>
  <si>
    <t>徳島</t>
    <rPh sb="0" eb="2">
      <t>トクシマ</t>
    </rPh>
    <phoneticPr fontId="11"/>
  </si>
  <si>
    <t>香川</t>
    <rPh sb="0" eb="2">
      <t>カガワ</t>
    </rPh>
    <phoneticPr fontId="11"/>
  </si>
  <si>
    <t>3.0ha以上</t>
    <rPh sb="5" eb="7">
      <t>イジョウ</t>
    </rPh>
    <phoneticPr fontId="11"/>
  </si>
  <si>
    <t>愛媛</t>
    <rPh sb="0" eb="2">
      <t>エヒメ</t>
    </rPh>
    <phoneticPr fontId="11"/>
  </si>
  <si>
    <t>高知</t>
    <rPh sb="0" eb="2">
      <t>コウチ</t>
    </rPh>
    <phoneticPr fontId="11"/>
  </si>
  <si>
    <t>福岡</t>
    <rPh sb="0" eb="2">
      <t>フクオカ</t>
    </rPh>
    <phoneticPr fontId="11"/>
  </si>
  <si>
    <t>佐賀</t>
    <rPh sb="0" eb="2">
      <t>サガ</t>
    </rPh>
    <phoneticPr fontId="11"/>
  </si>
  <si>
    <t>長崎</t>
    <rPh sb="0" eb="2">
      <t>ナガサキ</t>
    </rPh>
    <phoneticPr fontId="11"/>
  </si>
  <si>
    <t>熊本</t>
    <rPh sb="0" eb="2">
      <t>クマモト</t>
    </rPh>
    <phoneticPr fontId="11"/>
  </si>
  <si>
    <t>大分</t>
    <rPh sb="0" eb="2">
      <t>オオイタ</t>
    </rPh>
    <phoneticPr fontId="11"/>
  </si>
  <si>
    <t>宮崎</t>
    <rPh sb="0" eb="2">
      <t>ミヤザキ</t>
    </rPh>
    <phoneticPr fontId="11"/>
  </si>
  <si>
    <t>鹿児島</t>
    <rPh sb="0" eb="3">
      <t>カゴシマ</t>
    </rPh>
    <phoneticPr fontId="11"/>
  </si>
  <si>
    <t>沖縄</t>
    <rPh sb="0" eb="2">
      <t>オキナワ</t>
    </rPh>
    <phoneticPr fontId="11"/>
  </si>
  <si>
    <t>北海道</t>
    <rPh sb="0" eb="3">
      <t>ホッカイドウ</t>
    </rPh>
    <phoneticPr fontId="11"/>
  </si>
  <si>
    <t>5.0～7.0</t>
    <phoneticPr fontId="11"/>
  </si>
  <si>
    <t>7.0～10.0</t>
    <phoneticPr fontId="11"/>
  </si>
  <si>
    <t>10.0ha以上</t>
    <rPh sb="6" eb="8">
      <t>イジョウ</t>
    </rPh>
    <phoneticPr fontId="11"/>
  </si>
  <si>
    <t>増減率</t>
  </si>
  <si>
    <t>増減差</t>
    <rPh sb="2" eb="3">
      <t>サ</t>
    </rPh>
    <phoneticPr fontId="2"/>
  </si>
  <si>
    <t>全国</t>
    <rPh sb="0" eb="2">
      <t>ゼンコク</t>
    </rPh>
    <phoneticPr fontId="11"/>
  </si>
  <si>
    <t>都府県平均</t>
    <rPh sb="0" eb="3">
      <t>トフケン</t>
    </rPh>
    <rPh sb="3" eb="5">
      <t>ヘイキン</t>
    </rPh>
    <phoneticPr fontId="11"/>
  </si>
  <si>
    <t>東北</t>
    <rPh sb="0" eb="2">
      <t>トウホク</t>
    </rPh>
    <phoneticPr fontId="11"/>
  </si>
  <si>
    <t>北陸</t>
    <rPh sb="0" eb="2">
      <t>ホクリク</t>
    </rPh>
    <phoneticPr fontId="11"/>
  </si>
  <si>
    <t>関東・東山</t>
    <rPh sb="0" eb="2">
      <t>カントウ</t>
    </rPh>
    <rPh sb="3" eb="5">
      <t>ヒガシヤマ</t>
    </rPh>
    <phoneticPr fontId="11"/>
  </si>
  <si>
    <t>東海</t>
    <rPh sb="0" eb="2">
      <t>トウカイ</t>
    </rPh>
    <phoneticPr fontId="11"/>
  </si>
  <si>
    <t>近畿</t>
    <rPh sb="0" eb="2">
      <t>キンキ</t>
    </rPh>
    <phoneticPr fontId="11"/>
  </si>
  <si>
    <t>中国</t>
    <rPh sb="0" eb="2">
      <t>チュウゴク</t>
    </rPh>
    <phoneticPr fontId="11"/>
  </si>
  <si>
    <t>四国</t>
    <rPh sb="0" eb="2">
      <t>シコク</t>
    </rPh>
    <phoneticPr fontId="11"/>
  </si>
  <si>
    <t>九州</t>
    <rPh sb="0" eb="2">
      <t>キュウシュウ</t>
    </rPh>
    <phoneticPr fontId="11"/>
  </si>
  <si>
    <t>北関東</t>
    <rPh sb="0" eb="1">
      <t>キタ</t>
    </rPh>
    <rPh sb="1" eb="3">
      <t>カントウ</t>
    </rPh>
    <phoneticPr fontId="11"/>
  </si>
  <si>
    <t>南関東</t>
    <rPh sb="0" eb="1">
      <t>ミナミ</t>
    </rPh>
    <rPh sb="1" eb="3">
      <t>カントウ</t>
    </rPh>
    <phoneticPr fontId="11"/>
  </si>
  <si>
    <t>東山</t>
    <rPh sb="0" eb="2">
      <t>ヒガシヤマ</t>
    </rPh>
    <phoneticPr fontId="11"/>
  </si>
  <si>
    <t>北東北</t>
    <rPh sb="0" eb="1">
      <t>キタ</t>
    </rPh>
    <rPh sb="1" eb="3">
      <t>トウホク</t>
    </rPh>
    <phoneticPr fontId="11"/>
  </si>
  <si>
    <t>南東北</t>
    <rPh sb="0" eb="1">
      <t>ミナミ</t>
    </rPh>
    <rPh sb="1" eb="3">
      <t>トウホク</t>
    </rPh>
    <phoneticPr fontId="11"/>
  </si>
  <si>
    <t>山陰</t>
    <rPh sb="0" eb="2">
      <t>サンイン</t>
    </rPh>
    <phoneticPr fontId="11"/>
  </si>
  <si>
    <t>山陽</t>
    <rPh sb="0" eb="2">
      <t>サンヨウ</t>
    </rPh>
    <phoneticPr fontId="11"/>
  </si>
  <si>
    <t>北九州</t>
    <rPh sb="0" eb="3">
      <t>キタキュウシュウ</t>
    </rPh>
    <phoneticPr fontId="11"/>
  </si>
  <si>
    <t>南九州</t>
    <rPh sb="0" eb="1">
      <t>ミナミ</t>
    </rPh>
    <rPh sb="1" eb="3">
      <t>キュウシュウ</t>
    </rPh>
    <phoneticPr fontId="11"/>
  </si>
  <si>
    <t>関東農政局</t>
    <rPh sb="0" eb="2">
      <t>カントウ</t>
    </rPh>
    <rPh sb="2" eb="5">
      <t>ノウセイキョク</t>
    </rPh>
    <phoneticPr fontId="11"/>
  </si>
  <si>
    <t>東海農政局</t>
    <rPh sb="0" eb="2">
      <t>トウカイ</t>
    </rPh>
    <rPh sb="2" eb="5">
      <t>ノウセイキョク</t>
    </rPh>
    <phoneticPr fontId="11"/>
  </si>
  <si>
    <t>中国四国局</t>
    <rPh sb="0" eb="2">
      <t>チュウゴク</t>
    </rPh>
    <rPh sb="2" eb="4">
      <t>シコク</t>
    </rPh>
    <rPh sb="4" eb="5">
      <t>キョク</t>
    </rPh>
    <phoneticPr fontId="11"/>
  </si>
  <si>
    <t>そば</t>
    <phoneticPr fontId="11"/>
  </si>
  <si>
    <t>なたね</t>
    <phoneticPr fontId="11"/>
  </si>
  <si>
    <t>10.0ha未満</t>
    <rPh sb="6" eb="8">
      <t>ミマン</t>
    </rPh>
    <phoneticPr fontId="11"/>
  </si>
  <si>
    <t>10.0～20.0</t>
    <phoneticPr fontId="11"/>
  </si>
  <si>
    <t>20.0ha以上</t>
    <rPh sb="6" eb="8">
      <t>イジョウ</t>
    </rPh>
    <phoneticPr fontId="11"/>
  </si>
  <si>
    <t>5.0ha未満</t>
    <rPh sb="5" eb="7">
      <t>ミマン</t>
    </rPh>
    <phoneticPr fontId="11"/>
  </si>
  <si>
    <t>5.0～10.0</t>
    <phoneticPr fontId="11"/>
  </si>
  <si>
    <t>二条大麦・はだか麦・六条大麦</t>
    <rPh sb="0" eb="2">
      <t>ニジョウ</t>
    </rPh>
    <rPh sb="2" eb="4">
      <t>オオムギ</t>
    </rPh>
    <rPh sb="8" eb="9">
      <t>ムギ</t>
    </rPh>
    <rPh sb="10" eb="12">
      <t>ロクジョウ</t>
    </rPh>
    <rPh sb="12" eb="14">
      <t>オオムギ</t>
    </rPh>
    <phoneticPr fontId="11"/>
  </si>
  <si>
    <t>15.0～20.0</t>
    <phoneticPr fontId="11"/>
  </si>
  <si>
    <t>5.0～15.0</t>
    <phoneticPr fontId="11"/>
  </si>
  <si>
    <t>－</t>
    <phoneticPr fontId="11"/>
  </si>
  <si>
    <t>－</t>
    <phoneticPr fontId="11"/>
  </si>
  <si>
    <t>畑作物の直接
支払交付金</t>
    <rPh sb="0" eb="2">
      <t>ハタサク</t>
    </rPh>
    <rPh sb="2" eb="3">
      <t>モノ</t>
    </rPh>
    <rPh sb="4" eb="6">
      <t>チョクセツ</t>
    </rPh>
    <rPh sb="7" eb="9">
      <t>シハラ</t>
    </rPh>
    <rPh sb="9" eb="12">
      <t>コウフキン</t>
    </rPh>
    <phoneticPr fontId="2"/>
  </si>
  <si>
    <t>乗用トラクター</t>
    <rPh sb="0" eb="2">
      <t>ジョウヨウ</t>
    </rPh>
    <phoneticPr fontId="2"/>
  </si>
  <si>
    <t>自脱型コンバイン</t>
    <rPh sb="0" eb="1">
      <t>ジ</t>
    </rPh>
    <rPh sb="1" eb="2">
      <t>ダツ</t>
    </rPh>
    <rPh sb="2" eb="3">
      <t>ガタ</t>
    </rPh>
    <phoneticPr fontId="2"/>
  </si>
  <si>
    <t>平均</t>
    <rPh sb="0" eb="2">
      <t>ヘイキン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</si>
</sst>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76" formatCode="#0&quot; 年産&quot;"/>
    <numFmt numFmtId="177" formatCode="#\ ##0.00"/>
    <numFmt numFmtId="178" formatCode="#\ ##0"/>
    <numFmt numFmtId="179" formatCode="0.0_ "/>
    <numFmt numFmtId="180" formatCode="###\ ###\ ##0"/>
    <numFmt numFmtId="181" formatCode="###\ ###\ ##0.0"/>
    <numFmt numFmtId="182" formatCode="#\ ###\ ###\ ##0"/>
    <numFmt numFmtId="183" formatCode="###\ ##0.0"/>
    <numFmt numFmtId="184" formatCode="#\ ###\ ###\ ##0.0"/>
    <numFmt numFmtId="185" formatCode="#\ ###\ ###\ ##0.00"/>
    <numFmt numFmtId="186" formatCode="&quot;《&quot;000000&quot;》&quot;"/>
    <numFmt numFmtId="187" formatCode="#,##0;\-#,##0;&quot;&quot;"/>
    <numFmt numFmtId="188" formatCode="00"/>
    <numFmt numFmtId="189" formatCode="#,##0;\-#,##0;0"/>
    <numFmt numFmtId="190" formatCode="#,##0.0;\-#,##0.0;0.0"/>
    <numFmt numFmtId="191" formatCode="#,##0.00;\-#,##0.00;0.00"/>
  </numFmts>
  <fonts count="17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7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name val="ＭＳ ゴシック"/>
      <family val="3"/>
      <charset val="128"/>
    </font>
    <font>
      <sz val="7.5"/>
      <name val="ＭＳ 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9" fillId="0" borderId="0"/>
    <xf numFmtId="0" fontId="12" fillId="0" borderId="0">
      <alignment vertical="center"/>
    </xf>
  </cellStyleXfs>
  <cellXfs count="890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horizontal="distributed" vertical="center" justifyLastLine="1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5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Border="1" applyAlignment="1">
      <alignment horizontal="distributed"/>
    </xf>
    <xf numFmtId="0" fontId="5" fillId="0" borderId="22" xfId="1" applyFont="1" applyBorder="1" applyAlignment="1">
      <alignment horizontal="distributed" vertical="distributed"/>
    </xf>
    <xf numFmtId="0" fontId="5" fillId="0" borderId="1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0" applyFont="1" applyFill="1" applyAlignment="1">
      <alignment horizontal="distributed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0" xfId="1" applyFont="1" applyFill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distributed" vertical="center"/>
    </xf>
    <xf numFmtId="0" fontId="5" fillId="0" borderId="0" xfId="0" applyFont="1" applyBorder="1" applyAlignment="1">
      <alignment horizontal="distributed" vertical="center" justifyLastLine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177" fontId="5" fillId="0" borderId="0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justifyLastLine="1"/>
    </xf>
    <xf numFmtId="0" fontId="5" fillId="0" borderId="2" xfId="1" applyFont="1" applyBorder="1" applyAlignment="1">
      <alignment vertical="center"/>
    </xf>
    <xf numFmtId="0" fontId="5" fillId="0" borderId="2" xfId="0" applyFont="1" applyFill="1" applyBorder="1" applyAlignment="1">
      <alignment vertical="center" textRotation="255"/>
    </xf>
    <xf numFmtId="0" fontId="5" fillId="0" borderId="19" xfId="0" applyFont="1" applyFill="1" applyBorder="1" applyAlignment="1">
      <alignment vertical="center" textRotation="255"/>
    </xf>
    <xf numFmtId="0" fontId="5" fillId="0" borderId="9" xfId="0" applyFont="1" applyBorder="1" applyAlignment="1">
      <alignment horizontal="distributed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justifyLastLine="1"/>
    </xf>
    <xf numFmtId="176" fontId="5" fillId="0" borderId="0" xfId="0" applyNumberFormat="1" applyFont="1" applyFill="1" applyBorder="1" applyAlignment="1">
      <alignment vertical="center"/>
    </xf>
    <xf numFmtId="183" fontId="1" fillId="0" borderId="0" xfId="0" applyNumberFormat="1" applyFont="1" applyFill="1" applyBorder="1" applyAlignment="1">
      <alignment vertical="center" shrinkToFit="1"/>
    </xf>
    <xf numFmtId="184" fontId="1" fillId="0" borderId="0" xfId="0" applyNumberFormat="1" applyFont="1" applyFill="1" applyBorder="1" applyAlignment="1">
      <alignment vertical="center" shrinkToFit="1"/>
    </xf>
    <xf numFmtId="0" fontId="5" fillId="0" borderId="0" xfId="0" applyFont="1" applyBorder="1" applyAlignment="1">
      <alignment vertical="center" justifyLastLine="1"/>
    </xf>
    <xf numFmtId="0" fontId="5" fillId="0" borderId="2" xfId="0" applyFont="1" applyFill="1" applyBorder="1" applyAlignment="1">
      <alignment vertical="center"/>
    </xf>
    <xf numFmtId="0" fontId="0" fillId="0" borderId="0" xfId="0" applyFont="1" applyFill="1" applyAlignment="1">
      <alignment horizontal="right" vertical="center"/>
    </xf>
    <xf numFmtId="0" fontId="5" fillId="0" borderId="1" xfId="0" applyFont="1" applyBorder="1" applyAlignment="1">
      <alignment vertical="center" shrinkToFit="1"/>
    </xf>
    <xf numFmtId="0" fontId="0" fillId="0" borderId="0" xfId="0" applyFont="1" applyFill="1" applyBorder="1" applyAlignment="1">
      <alignment vertical="center"/>
    </xf>
    <xf numFmtId="184" fontId="0" fillId="0" borderId="48" xfId="0" applyNumberFormat="1" applyFont="1" applyFill="1" applyBorder="1" applyAlignment="1">
      <alignment vertical="center" shrinkToFit="1"/>
    </xf>
    <xf numFmtId="184" fontId="0" fillId="0" borderId="50" xfId="0" applyNumberFormat="1" applyFont="1" applyFill="1" applyBorder="1" applyAlignment="1">
      <alignment vertical="center" shrinkToFit="1"/>
    </xf>
    <xf numFmtId="184" fontId="0" fillId="0" borderId="58" xfId="0" applyNumberFormat="1" applyFont="1" applyFill="1" applyBorder="1" applyAlignment="1">
      <alignment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183" fontId="0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distributed" vertical="center"/>
    </xf>
    <xf numFmtId="182" fontId="0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horizontal="distributed" vertical="center"/>
    </xf>
    <xf numFmtId="0" fontId="0" fillId="0" borderId="0" xfId="0" applyFont="1"/>
    <xf numFmtId="182" fontId="0" fillId="0" borderId="10" xfId="0" applyNumberFormat="1" applyFont="1" applyFill="1" applyBorder="1" applyAlignment="1">
      <alignment horizontal="right" vertical="center" shrinkToFit="1"/>
    </xf>
    <xf numFmtId="183" fontId="0" fillId="0" borderId="10" xfId="0" applyNumberFormat="1" applyFont="1" applyFill="1" applyBorder="1" applyAlignment="1">
      <alignment horizontal="right" vertical="center" shrinkToFit="1"/>
    </xf>
    <xf numFmtId="0" fontId="5" fillId="0" borderId="6" xfId="0" applyFont="1" applyBorder="1" applyAlignment="1">
      <alignment vertical="center" shrinkToFit="1"/>
    </xf>
    <xf numFmtId="0" fontId="5" fillId="0" borderId="3" xfId="0" applyFont="1" applyBorder="1" applyAlignment="1">
      <alignment vertical="center" shrinkToFit="1"/>
    </xf>
    <xf numFmtId="182" fontId="0" fillId="0" borderId="0" xfId="0" applyNumberFormat="1" applyFont="1" applyFill="1" applyBorder="1" applyAlignment="1">
      <alignment vertical="center" shrinkToFit="1"/>
    </xf>
    <xf numFmtId="0" fontId="0" fillId="0" borderId="22" xfId="1" applyFont="1" applyBorder="1" applyAlignment="1">
      <alignment horizontal="distributed"/>
    </xf>
    <xf numFmtId="180" fontId="0" fillId="0" borderId="22" xfId="1" applyNumberFormat="1" applyFont="1" applyFill="1" applyBorder="1" applyAlignment="1">
      <alignment horizontal="right" vertical="center"/>
    </xf>
    <xf numFmtId="181" fontId="0" fillId="0" borderId="22" xfId="1" applyNumberFormat="1" applyFont="1" applyFill="1" applyBorder="1" applyAlignment="1">
      <alignment horizontal="right" vertical="center"/>
    </xf>
    <xf numFmtId="180" fontId="0" fillId="0" borderId="0" xfId="1" applyNumberFormat="1" applyFont="1" applyFill="1" applyBorder="1" applyAlignment="1">
      <alignment horizontal="right" vertical="center"/>
    </xf>
    <xf numFmtId="181" fontId="0" fillId="0" borderId="0" xfId="1" applyNumberFormat="1" applyFont="1" applyFill="1" applyBorder="1" applyAlignment="1">
      <alignment horizontal="right"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10" fillId="4" borderId="0" xfId="4" applyFont="1" applyFill="1" applyAlignment="1">
      <alignment horizontal="center" vertical="center"/>
    </xf>
    <xf numFmtId="0" fontId="10" fillId="0" borderId="0" xfId="4" applyFont="1"/>
    <xf numFmtId="0" fontId="10" fillId="5" borderId="0" xfId="4" applyFont="1" applyFill="1" applyAlignment="1">
      <alignment horizontal="center" vertical="center"/>
    </xf>
    <xf numFmtId="0" fontId="9" fillId="0" borderId="0" xfId="4"/>
    <xf numFmtId="0" fontId="10" fillId="6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0" fontId="10" fillId="8" borderId="0" xfId="4" applyFont="1" applyFill="1" applyAlignment="1">
      <alignment horizontal="center" vertical="center"/>
    </xf>
    <xf numFmtId="0" fontId="10" fillId="9" borderId="0" xfId="5" applyFont="1" applyFill="1" applyAlignment="1"/>
    <xf numFmtId="0" fontId="10" fillId="9" borderId="0" xfId="5" applyFont="1" applyFill="1" applyAlignment="1">
      <alignment horizontal="center" vertical="center"/>
    </xf>
    <xf numFmtId="0" fontId="10" fillId="10" borderId="0" xfId="5" applyFont="1" applyFill="1" applyAlignment="1"/>
    <xf numFmtId="0" fontId="10" fillId="10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0" fontId="10" fillId="11" borderId="0" xfId="5" applyFont="1" applyFill="1" applyAlignment="1"/>
    <xf numFmtId="0" fontId="10" fillId="11" borderId="0" xfId="5" applyFont="1" applyFill="1" applyAlignment="1">
      <alignment horizontal="center" vertical="center"/>
    </xf>
    <xf numFmtId="0" fontId="10" fillId="12" borderId="0" xfId="4" applyFont="1" applyFill="1" applyAlignment="1">
      <alignment horizontal="center" vertical="center"/>
    </xf>
    <xf numFmtId="9" fontId="10" fillId="7" borderId="0" xfId="5" quotePrefix="1" applyNumberFormat="1" applyFont="1" applyFill="1" applyAlignment="1">
      <alignment horizontal="center" vertical="center"/>
    </xf>
    <xf numFmtId="0" fontId="10" fillId="0" borderId="0" xfId="5" applyFont="1" applyAlignment="1"/>
    <xf numFmtId="0" fontId="10" fillId="0" borderId="0" xfId="4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0" fillId="9" borderId="0" xfId="5" applyFont="1" applyFill="1" applyAlignment="1">
      <alignment horizontal="center"/>
    </xf>
    <xf numFmtId="0" fontId="10" fillId="10" borderId="0" xfId="5" applyNumberFormat="1" applyFont="1" applyFill="1" applyAlignment="1">
      <alignment horizontal="center" vertical="center"/>
    </xf>
    <xf numFmtId="0" fontId="10" fillId="11" borderId="0" xfId="5" applyNumberFormat="1" applyFont="1" applyFill="1" applyAlignment="1">
      <alignment horizontal="center" vertical="center"/>
    </xf>
    <xf numFmtId="0" fontId="10" fillId="8" borderId="0" xfId="4" applyNumberFormat="1" applyFont="1" applyFill="1" applyAlignment="1">
      <alignment horizontal="center" vertical="center"/>
    </xf>
    <xf numFmtId="0" fontId="10" fillId="7" borderId="0" xfId="5" applyNumberFormat="1" applyFont="1" applyFill="1" applyAlignment="1">
      <alignment horizontal="center" vertical="center"/>
    </xf>
    <xf numFmtId="0" fontId="10" fillId="7" borderId="0" xfId="4" applyNumberFormat="1" applyFont="1" applyFill="1" applyAlignment="1">
      <alignment horizontal="center" vertical="center"/>
    </xf>
    <xf numFmtId="0" fontId="10" fillId="9" borderId="0" xfId="5" applyNumberFormat="1" applyFont="1" applyFill="1" applyAlignment="1">
      <alignment horizontal="center" vertical="center"/>
    </xf>
    <xf numFmtId="0" fontId="10" fillId="6" borderId="0" xfId="4" applyNumberFormat="1" applyFont="1" applyFill="1"/>
    <xf numFmtId="0" fontId="10" fillId="5" borderId="0" xfId="4" applyNumberFormat="1" applyFont="1" applyFill="1"/>
    <xf numFmtId="0" fontId="10" fillId="12" borderId="0" xfId="4" applyNumberFormat="1" applyFont="1" applyFill="1"/>
    <xf numFmtId="0" fontId="10" fillId="4" borderId="0" xfId="4" applyNumberFormat="1" applyFont="1" applyFill="1"/>
    <xf numFmtId="188" fontId="5" fillId="0" borderId="32" xfId="3" applyNumberFormat="1" applyFont="1" applyFill="1" applyBorder="1" applyAlignment="1" applyProtection="1">
      <alignment horizontal="center" vertical="center" shrinkToFit="1"/>
    </xf>
    <xf numFmtId="0" fontId="5" fillId="0" borderId="107" xfId="3" applyNumberFormat="1" applyFont="1" applyFill="1" applyBorder="1" applyAlignment="1" applyProtection="1">
      <alignment horizontal="center" vertical="center" shrinkToFit="1"/>
    </xf>
    <xf numFmtId="0" fontId="5" fillId="0" borderId="32" xfId="3" applyNumberFormat="1" applyFont="1" applyFill="1" applyBorder="1" applyAlignment="1" applyProtection="1">
      <alignment horizontal="center" vertical="center" shrinkToFit="1"/>
    </xf>
    <xf numFmtId="0" fontId="5" fillId="0" borderId="111" xfId="3" applyNumberFormat="1" applyFont="1" applyFill="1" applyBorder="1" applyAlignment="1" applyProtection="1">
      <alignment horizontal="center" vertical="center" shrinkToFit="1"/>
    </xf>
    <xf numFmtId="184" fontId="0" fillId="0" borderId="0" xfId="0" applyNumberFormat="1" applyFont="1" applyFill="1" applyBorder="1" applyAlignment="1">
      <alignment vertical="center" shrinkToFit="1"/>
    </xf>
    <xf numFmtId="183" fontId="0" fillId="0" borderId="0" xfId="0" applyNumberFormat="1" applyFont="1" applyFill="1" applyBorder="1" applyAlignment="1">
      <alignment vertical="center" shrinkToFit="1"/>
    </xf>
    <xf numFmtId="184" fontId="0" fillId="0" borderId="0" xfId="0" applyNumberFormat="1" applyFont="1" applyBorder="1" applyAlignment="1">
      <alignment vertical="center" shrinkToFit="1"/>
    </xf>
    <xf numFmtId="183" fontId="0" fillId="0" borderId="0" xfId="0" applyNumberFormat="1" applyFont="1" applyBorder="1" applyAlignment="1">
      <alignment vertical="center" shrinkToFit="1"/>
    </xf>
    <xf numFmtId="184" fontId="0" fillId="0" borderId="0" xfId="0" applyNumberFormat="1" applyFont="1" applyFill="1" applyBorder="1" applyAlignment="1">
      <alignment horizontal="right" vertical="center" shrinkToFit="1"/>
    </xf>
    <xf numFmtId="182" fontId="0" fillId="0" borderId="0" xfId="0" applyNumberFormat="1" applyFont="1" applyBorder="1" applyAlignment="1">
      <alignment horizontal="right" vertical="center" shrinkToFit="1"/>
    </xf>
    <xf numFmtId="0" fontId="0" fillId="0" borderId="0" xfId="0" applyFont="1" applyBorder="1" applyAlignment="1">
      <alignment horizontal="distributed" vertical="center" wrapText="1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/>
    <xf numFmtId="0" fontId="10" fillId="12" borderId="0" xfId="0" applyFont="1" applyFill="1" applyAlignment="1">
      <alignment horizontal="center" vertical="center"/>
    </xf>
    <xf numFmtId="0" fontId="15" fillId="0" borderId="0" xfId="0" applyFont="1"/>
    <xf numFmtId="0" fontId="10" fillId="7" borderId="0" xfId="0" applyFont="1" applyFill="1" applyAlignment="1">
      <alignment horizontal="center" vertical="center"/>
    </xf>
    <xf numFmtId="9" fontId="10" fillId="7" borderId="0" xfId="0" quotePrefix="1" applyNumberFormat="1" applyFont="1" applyFill="1" applyAlignment="1">
      <alignment horizontal="center" vertical="center"/>
    </xf>
    <xf numFmtId="0" fontId="10" fillId="7" borderId="0" xfId="0" applyFont="1" applyFill="1"/>
    <xf numFmtId="0" fontId="10" fillId="8" borderId="0" xfId="0" applyFont="1" applyFill="1"/>
    <xf numFmtId="0" fontId="10" fillId="8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0" fontId="4" fillId="0" borderId="0" xfId="0" applyNumberFormat="1" applyFont="1" applyFill="1" applyAlignment="1">
      <alignment horizontal="center" vertical="center" shrinkToFit="1"/>
    </xf>
    <xf numFmtId="0" fontId="5" fillId="0" borderId="24" xfId="0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center" vertical="center" shrinkToFit="1"/>
    </xf>
    <xf numFmtId="0" fontId="5" fillId="0" borderId="34" xfId="3" applyNumberFormat="1" applyFont="1" applyFill="1" applyBorder="1" applyAlignment="1" applyProtection="1">
      <alignment horizontal="center" vertical="center" shrinkToFit="1"/>
    </xf>
    <xf numFmtId="0" fontId="5" fillId="0" borderId="14" xfId="3" applyNumberFormat="1" applyFont="1" applyFill="1" applyBorder="1" applyAlignment="1" applyProtection="1">
      <alignment horizontal="center" vertical="center" shrinkToFit="1"/>
    </xf>
    <xf numFmtId="0" fontId="5" fillId="0" borderId="35" xfId="3" applyNumberFormat="1" applyFont="1" applyFill="1" applyBorder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26" xfId="0" applyFont="1" applyFill="1" applyBorder="1" applyAlignment="1">
      <alignment horizontal="center" vertical="center" shrinkToFit="1"/>
    </xf>
    <xf numFmtId="0" fontId="5" fillId="0" borderId="27" xfId="0" applyFont="1" applyFill="1" applyBorder="1" applyAlignment="1">
      <alignment horizontal="center" vertical="center" shrinkToFit="1"/>
    </xf>
    <xf numFmtId="0" fontId="5" fillId="0" borderId="14" xfId="0" applyNumberFormat="1" applyFont="1" applyFill="1" applyBorder="1" applyAlignment="1">
      <alignment horizontal="center" vertical="center" shrinkToFit="1"/>
    </xf>
    <xf numFmtId="0" fontId="5" fillId="0" borderId="35" xfId="0" applyNumberFormat="1" applyFont="1" applyFill="1" applyBorder="1" applyAlignment="1">
      <alignment horizontal="center" vertical="center" shrinkToFit="1"/>
    </xf>
    <xf numFmtId="0" fontId="5" fillId="0" borderId="15" xfId="0" applyNumberFormat="1" applyFont="1" applyFill="1" applyBorder="1" applyAlignment="1">
      <alignment horizontal="center" vertical="center" shrinkToFit="1"/>
    </xf>
    <xf numFmtId="0" fontId="5" fillId="0" borderId="0" xfId="0" applyNumberFormat="1" applyFont="1" applyFill="1" applyAlignment="1">
      <alignment horizontal="right" vertical="center"/>
    </xf>
    <xf numFmtId="49" fontId="0" fillId="0" borderId="0" xfId="0" applyNumberFormat="1" applyFont="1" applyFill="1" applyAlignment="1">
      <alignment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shrinkToFit="1"/>
    </xf>
    <xf numFmtId="0" fontId="5" fillId="0" borderId="35" xfId="0" applyFont="1" applyFill="1" applyBorder="1" applyAlignment="1">
      <alignment horizontal="center" vertical="center" shrinkToFit="1"/>
    </xf>
    <xf numFmtId="187" fontId="5" fillId="0" borderId="32" xfId="0" applyNumberFormat="1" applyFont="1" applyFill="1" applyBorder="1" applyAlignment="1">
      <alignment horizontal="center" vertical="center" shrinkToFit="1"/>
    </xf>
    <xf numFmtId="187" fontId="5" fillId="0" borderId="14" xfId="0" applyNumberFormat="1" applyFont="1" applyFill="1" applyBorder="1" applyAlignment="1">
      <alignment horizontal="center" vertical="center" shrinkToFit="1"/>
    </xf>
    <xf numFmtId="4" fontId="5" fillId="0" borderId="32" xfId="0" applyNumberFormat="1" applyFont="1" applyFill="1" applyBorder="1" applyAlignment="1">
      <alignment horizontal="center" vertical="center" shrinkToFit="1"/>
    </xf>
    <xf numFmtId="4" fontId="5" fillId="0" borderId="14" xfId="0" applyNumberFormat="1" applyFont="1" applyFill="1" applyBorder="1" applyAlignment="1">
      <alignment horizontal="center" vertical="center" shrinkToFit="1"/>
    </xf>
    <xf numFmtId="4" fontId="5" fillId="0" borderId="15" xfId="0" applyNumberFormat="1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center" vertical="center" shrinkToFit="1"/>
    </xf>
    <xf numFmtId="186" fontId="3" fillId="0" borderId="102" xfId="3" applyNumberFormat="1" applyFont="1" applyFill="1" applyBorder="1" applyAlignment="1" applyProtection="1">
      <alignment horizontal="center" vertical="center"/>
    </xf>
    <xf numFmtId="186" fontId="3" fillId="0" borderId="103" xfId="3" applyNumberFormat="1" applyFont="1" applyFill="1" applyBorder="1" applyAlignment="1" applyProtection="1">
      <alignment horizontal="center" vertical="center"/>
    </xf>
    <xf numFmtId="186" fontId="3" fillId="0" borderId="105" xfId="3" applyNumberFormat="1" applyFont="1" applyFill="1" applyBorder="1" applyAlignment="1" applyProtection="1">
      <alignment horizontal="center" vertical="center"/>
    </xf>
    <xf numFmtId="186" fontId="5" fillId="0" borderId="24" xfId="3" applyNumberFormat="1" applyFont="1" applyFill="1" applyBorder="1" applyAlignment="1" applyProtection="1">
      <alignment horizontal="center" vertical="center" shrinkToFit="1"/>
    </xf>
    <xf numFmtId="186" fontId="5" fillId="0" borderId="25" xfId="3" applyNumberFormat="1" applyFont="1" applyFill="1" applyBorder="1" applyAlignment="1" applyProtection="1">
      <alignment horizontal="center" vertical="center" shrinkToFit="1"/>
    </xf>
    <xf numFmtId="186" fontId="5" fillId="0" borderId="26" xfId="3" applyNumberFormat="1" applyFont="1" applyFill="1" applyBorder="1" applyAlignment="1" applyProtection="1">
      <alignment horizontal="center" vertical="center" shrinkToFit="1"/>
    </xf>
    <xf numFmtId="186" fontId="5" fillId="0" borderId="24" xfId="3" applyNumberFormat="1" applyFont="1" applyFill="1" applyBorder="1" applyAlignment="1" applyProtection="1">
      <alignment horizontal="center" vertical="center"/>
    </xf>
    <xf numFmtId="186" fontId="5" fillId="0" borderId="25" xfId="3" applyNumberFormat="1" applyFont="1" applyFill="1" applyBorder="1" applyAlignment="1" applyProtection="1">
      <alignment horizontal="center" vertical="center"/>
    </xf>
    <xf numFmtId="186" fontId="5" fillId="0" borderId="26" xfId="3" applyNumberFormat="1" applyFont="1" applyFill="1" applyBorder="1" applyAlignment="1" applyProtection="1">
      <alignment horizontal="center" vertical="center"/>
    </xf>
    <xf numFmtId="186" fontId="5" fillId="0" borderId="27" xfId="3" applyNumberFormat="1" applyFont="1" applyFill="1" applyBorder="1" applyAlignment="1" applyProtection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84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84" xfId="0" applyFont="1" applyFill="1" applyBorder="1" applyAlignment="1">
      <alignment horizontal="center" vertical="center" shrinkToFit="1"/>
    </xf>
    <xf numFmtId="187" fontId="5" fillId="0" borderId="37" xfId="0" applyNumberFormat="1" applyFont="1" applyFill="1" applyBorder="1" applyAlignment="1">
      <alignment horizontal="center" vertical="center" shrinkToFit="1"/>
    </xf>
    <xf numFmtId="187" fontId="5" fillId="0" borderId="12" xfId="0" applyNumberFormat="1" applyFont="1" applyFill="1" applyBorder="1" applyAlignment="1">
      <alignment horizontal="center" vertical="center" shrinkToFit="1"/>
    </xf>
    <xf numFmtId="4" fontId="5" fillId="0" borderId="37" xfId="0" applyNumberFormat="1" applyFont="1" applyFill="1" applyBorder="1" applyAlignment="1">
      <alignment horizontal="center" vertical="center" shrinkToFit="1"/>
    </xf>
    <xf numFmtId="4" fontId="5" fillId="0" borderId="12" xfId="0" applyNumberFormat="1" applyFont="1" applyFill="1" applyBorder="1" applyAlignment="1">
      <alignment horizontal="center" vertical="center" shrinkToFit="1"/>
    </xf>
    <xf numFmtId="4" fontId="5" fillId="0" borderId="13" xfId="0" applyNumberFormat="1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distributed" vertical="center" justifyLastLine="1"/>
    </xf>
    <xf numFmtId="0" fontId="5" fillId="0" borderId="25" xfId="0" applyFont="1" applyBorder="1" applyAlignment="1">
      <alignment horizontal="distributed" vertical="center" justifyLastLine="1"/>
    </xf>
    <xf numFmtId="0" fontId="5" fillId="0" borderId="27" xfId="0" applyFont="1" applyBorder="1" applyAlignment="1">
      <alignment horizontal="distributed" vertical="center" justifyLastLine="1"/>
    </xf>
    <xf numFmtId="0" fontId="5" fillId="0" borderId="0" xfId="0" applyFont="1" applyAlignment="1">
      <alignment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32" xfId="0" applyNumberFormat="1" applyFont="1" applyFill="1" applyBorder="1" applyAlignment="1">
      <alignment horizontal="center" vertical="center"/>
    </xf>
    <xf numFmtId="176" fontId="5" fillId="0" borderId="35" xfId="0" applyNumberFormat="1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distributed" vertical="center" justifyLastLine="1"/>
    </xf>
    <xf numFmtId="0" fontId="5" fillId="0" borderId="14" xfId="0" applyFont="1" applyFill="1" applyBorder="1" applyAlignment="1">
      <alignment horizontal="distributed" vertical="center" justifyLastLine="1"/>
    </xf>
    <xf numFmtId="0" fontId="5" fillId="0" borderId="15" xfId="0" applyFont="1" applyFill="1" applyBorder="1" applyAlignment="1">
      <alignment horizontal="distributed" vertical="center" justifyLastLine="1"/>
    </xf>
    <xf numFmtId="0" fontId="5" fillId="0" borderId="38" xfId="0" applyFont="1" applyFill="1" applyBorder="1" applyAlignment="1">
      <alignment horizontal="center" vertical="center" textRotation="255"/>
    </xf>
    <xf numFmtId="0" fontId="5" fillId="0" borderId="39" xfId="0" applyFont="1" applyFill="1" applyBorder="1" applyAlignment="1">
      <alignment vertical="center"/>
    </xf>
    <xf numFmtId="0" fontId="5" fillId="0" borderId="41" xfId="0" applyFont="1" applyFill="1" applyBorder="1" applyAlignment="1">
      <alignment vertical="center"/>
    </xf>
    <xf numFmtId="0" fontId="5" fillId="0" borderId="4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/>
    </xf>
    <xf numFmtId="189" fontId="5" fillId="0" borderId="28" xfId="0" applyNumberFormat="1" applyFont="1" applyFill="1" applyBorder="1" applyAlignment="1">
      <alignment horizontal="right" vertical="center" shrinkToFit="1"/>
    </xf>
    <xf numFmtId="189" fontId="5" fillId="0" borderId="25" xfId="0" applyNumberFormat="1" applyFont="1" applyFill="1" applyBorder="1" applyAlignment="1">
      <alignment horizontal="right" vertical="center" shrinkToFit="1"/>
    </xf>
    <xf numFmtId="189" fontId="5" fillId="0" borderId="26" xfId="0" applyNumberFormat="1" applyFont="1" applyFill="1" applyBorder="1" applyAlignment="1">
      <alignment horizontal="right" vertical="center" shrinkToFit="1"/>
    </xf>
    <xf numFmtId="189" fontId="5" fillId="0" borderId="47" xfId="0" applyNumberFormat="1" applyFont="1" applyFill="1" applyBorder="1" applyAlignment="1">
      <alignment horizontal="right" vertical="center" shrinkToFit="1"/>
    </xf>
    <xf numFmtId="190" fontId="5" fillId="0" borderId="47" xfId="0" applyNumberFormat="1" applyFont="1" applyFill="1" applyBorder="1" applyAlignment="1">
      <alignment horizontal="right" vertical="center" shrinkToFit="1"/>
    </xf>
    <xf numFmtId="190" fontId="5" fillId="0" borderId="48" xfId="0" applyNumberFormat="1" applyFont="1" applyFill="1" applyBorder="1" applyAlignment="1">
      <alignment horizontal="right" vertical="center" shrinkToFit="1"/>
    </xf>
    <xf numFmtId="189" fontId="5" fillId="0" borderId="49" xfId="0" applyNumberFormat="1" applyFont="1" applyFill="1" applyBorder="1" applyAlignment="1">
      <alignment horizontal="right" vertical="center" shrinkToFit="1"/>
    </xf>
    <xf numFmtId="0" fontId="5" fillId="0" borderId="77" xfId="0" applyFont="1" applyFill="1" applyBorder="1" applyAlignment="1">
      <alignment vertical="center"/>
    </xf>
    <xf numFmtId="0" fontId="5" fillId="0" borderId="78" xfId="0" applyFont="1" applyFill="1" applyBorder="1" applyAlignment="1">
      <alignment vertical="center"/>
    </xf>
    <xf numFmtId="0" fontId="5" fillId="0" borderId="79" xfId="0" applyFont="1" applyFill="1" applyBorder="1" applyAlignment="1">
      <alignment vertical="center"/>
    </xf>
    <xf numFmtId="0" fontId="5" fillId="0" borderId="73" xfId="0" applyFont="1" applyFill="1" applyBorder="1" applyAlignment="1">
      <alignment vertical="center"/>
    </xf>
    <xf numFmtId="0" fontId="5" fillId="0" borderId="74" xfId="0" applyFont="1" applyFill="1" applyBorder="1" applyAlignment="1">
      <alignment vertical="center"/>
    </xf>
    <xf numFmtId="0" fontId="5" fillId="0" borderId="80" xfId="0" applyFont="1" applyFill="1" applyBorder="1" applyAlignment="1">
      <alignment vertical="center"/>
    </xf>
    <xf numFmtId="0" fontId="5" fillId="0" borderId="37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/>
    </xf>
    <xf numFmtId="189" fontId="5" fillId="0" borderId="51" xfId="0" applyNumberFormat="1" applyFont="1" applyFill="1" applyBorder="1" applyAlignment="1">
      <alignment horizontal="right" vertical="center" shrinkToFit="1"/>
    </xf>
    <xf numFmtId="189" fontId="5" fillId="0" borderId="46" xfId="0" applyNumberFormat="1" applyFont="1" applyFill="1" applyBorder="1" applyAlignment="1">
      <alignment horizontal="right" vertical="center" shrinkToFit="1"/>
    </xf>
    <xf numFmtId="190" fontId="5" fillId="0" borderId="46" xfId="0" applyNumberFormat="1" applyFont="1" applyFill="1" applyBorder="1" applyAlignment="1">
      <alignment horizontal="right" vertical="center" shrinkToFit="1"/>
    </xf>
    <xf numFmtId="190" fontId="5" fillId="0" borderId="50" xfId="0" applyNumberFormat="1" applyFont="1" applyFill="1" applyBorder="1" applyAlignment="1">
      <alignment horizontal="right" vertical="center" shrinkToFit="1"/>
    </xf>
    <xf numFmtId="189" fontId="5" fillId="0" borderId="61" xfId="0" applyNumberFormat="1" applyFont="1" applyFill="1" applyBorder="1" applyAlignment="1">
      <alignment horizontal="right" vertical="center" shrinkToFit="1"/>
    </xf>
    <xf numFmtId="189" fontId="5" fillId="0" borderId="59" xfId="0" applyNumberFormat="1" applyFont="1" applyFill="1" applyBorder="1" applyAlignment="1">
      <alignment horizontal="right" vertical="center" shrinkToFit="1"/>
    </xf>
    <xf numFmtId="0" fontId="5" fillId="0" borderId="36" xfId="0" applyFont="1" applyFill="1" applyBorder="1" applyAlignment="1">
      <alignment horizontal="distributed" vertical="center"/>
    </xf>
    <xf numFmtId="0" fontId="5" fillId="0" borderId="20" xfId="0" applyFont="1" applyFill="1" applyBorder="1" applyAlignment="1">
      <alignment horizontal="distributed" vertical="center"/>
    </xf>
    <xf numFmtId="189" fontId="5" fillId="2" borderId="49" xfId="0" applyNumberFormat="1" applyFont="1" applyFill="1" applyBorder="1" applyAlignment="1">
      <alignment horizontal="right" vertical="center" shrinkToFit="1"/>
    </xf>
    <xf numFmtId="189" fontId="5" fillId="2" borderId="47" xfId="0" applyNumberFormat="1" applyFont="1" applyFill="1" applyBorder="1" applyAlignment="1">
      <alignment horizontal="right" vertical="center" shrinkToFit="1"/>
    </xf>
    <xf numFmtId="190" fontId="5" fillId="2" borderId="47" xfId="0" applyNumberFormat="1" applyFont="1" applyFill="1" applyBorder="1" applyAlignment="1">
      <alignment horizontal="right" vertical="center" shrinkToFit="1"/>
    </xf>
    <xf numFmtId="190" fontId="5" fillId="2" borderId="48" xfId="0" applyNumberFormat="1" applyFont="1" applyFill="1" applyBorder="1" applyAlignment="1">
      <alignment horizontal="right" vertical="center" shrinkToFit="1"/>
    </xf>
    <xf numFmtId="189" fontId="5" fillId="2" borderId="46" xfId="0" applyNumberFormat="1" applyFont="1" applyFill="1" applyBorder="1" applyAlignment="1">
      <alignment horizontal="right" vertical="center" shrinkToFit="1"/>
    </xf>
    <xf numFmtId="190" fontId="5" fillId="2" borderId="46" xfId="0" applyNumberFormat="1" applyFont="1" applyFill="1" applyBorder="1" applyAlignment="1">
      <alignment horizontal="right" vertical="center" shrinkToFit="1"/>
    </xf>
    <xf numFmtId="190" fontId="5" fillId="2" borderId="50" xfId="0" applyNumberFormat="1" applyFont="1" applyFill="1" applyBorder="1" applyAlignment="1">
      <alignment horizontal="right" vertical="center" shrinkToFit="1"/>
    </xf>
    <xf numFmtId="189" fontId="5" fillId="2" borderId="51" xfId="0" applyNumberFormat="1" applyFont="1" applyFill="1" applyBorder="1" applyAlignment="1">
      <alignment horizontal="right" vertical="center" shrinkToFit="1"/>
    </xf>
    <xf numFmtId="189" fontId="5" fillId="0" borderId="33" xfId="0" applyNumberFormat="1" applyFont="1" applyFill="1" applyBorder="1" applyAlignment="1">
      <alignment horizontal="right" vertical="center" shrinkToFit="1"/>
    </xf>
    <xf numFmtId="189" fontId="5" fillId="0" borderId="12" xfId="0" applyNumberFormat="1" applyFont="1" applyFill="1" applyBorder="1" applyAlignment="1">
      <alignment horizontal="right" vertical="center" shrinkToFit="1"/>
    </xf>
    <xf numFmtId="189" fontId="5" fillId="0" borderId="84" xfId="0" applyNumberFormat="1" applyFont="1" applyFill="1" applyBorder="1" applyAlignment="1">
      <alignment horizontal="right" vertical="center" shrinkToFit="1"/>
    </xf>
    <xf numFmtId="0" fontId="3" fillId="0" borderId="37" xfId="0" applyFont="1" applyFill="1" applyBorder="1" applyAlignment="1">
      <alignment horizontal="distributed" vertical="center"/>
    </xf>
    <xf numFmtId="0" fontId="3" fillId="0" borderId="12" xfId="0" applyFont="1" applyFill="1" applyBorder="1" applyAlignment="1">
      <alignment horizontal="distributed" vertical="center"/>
    </xf>
    <xf numFmtId="190" fontId="5" fillId="0" borderId="59" xfId="0" applyNumberFormat="1" applyFont="1" applyFill="1" applyBorder="1" applyAlignment="1">
      <alignment horizontal="right" vertical="center" shrinkToFit="1"/>
    </xf>
    <xf numFmtId="190" fontId="5" fillId="0" borderId="60" xfId="0" applyNumberFormat="1" applyFont="1" applyFill="1" applyBorder="1" applyAlignment="1">
      <alignment horizontal="right" vertical="center" shrinkToFit="1"/>
    </xf>
    <xf numFmtId="0" fontId="5" fillId="0" borderId="13" xfId="0" applyFont="1" applyFill="1" applyBorder="1" applyAlignment="1">
      <alignment horizontal="distributed" vertical="center"/>
    </xf>
    <xf numFmtId="0" fontId="5" fillId="0" borderId="11" xfId="0" applyFont="1" applyFill="1" applyBorder="1" applyAlignment="1">
      <alignment horizontal="distributed" vertical="center"/>
    </xf>
    <xf numFmtId="0" fontId="0" fillId="0" borderId="22" xfId="0" applyFont="1" applyBorder="1" applyAlignment="1">
      <alignment horizontal="distributed" vertical="center"/>
    </xf>
    <xf numFmtId="0" fontId="0" fillId="0" borderId="23" xfId="0" applyFont="1" applyBorder="1" applyAlignment="1">
      <alignment horizontal="distributed" vertical="center"/>
    </xf>
    <xf numFmtId="0" fontId="5" fillId="0" borderId="2" xfId="0" applyFont="1" applyFill="1" applyBorder="1" applyAlignment="1">
      <alignment horizontal="center" vertical="center" textRotation="255"/>
    </xf>
    <xf numFmtId="0" fontId="5" fillId="0" borderId="19" xfId="0" applyFont="1" applyFill="1" applyBorder="1" applyAlignment="1">
      <alignment horizontal="center" vertical="center" textRotation="255"/>
    </xf>
    <xf numFmtId="0" fontId="5" fillId="0" borderId="13" xfId="0" applyFont="1" applyFill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distributed" vertical="center"/>
    </xf>
    <xf numFmtId="189" fontId="5" fillId="0" borderId="74" xfId="0" applyNumberFormat="1" applyFont="1" applyFill="1" applyBorder="1" applyAlignment="1">
      <alignment horizontal="right" vertical="center" shrinkToFit="1"/>
    </xf>
    <xf numFmtId="190" fontId="5" fillId="0" borderId="74" xfId="0" applyNumberFormat="1" applyFont="1" applyFill="1" applyBorder="1" applyAlignment="1">
      <alignment horizontal="right" vertical="center" shrinkToFit="1"/>
    </xf>
    <xf numFmtId="190" fontId="5" fillId="0" borderId="75" xfId="0" applyNumberFormat="1" applyFont="1" applyFill="1" applyBorder="1" applyAlignment="1">
      <alignment horizontal="right" vertical="center" shrinkToFit="1"/>
    </xf>
    <xf numFmtId="189" fontId="5" fillId="2" borderId="4" xfId="0" applyNumberFormat="1" applyFont="1" applyFill="1" applyBorder="1" applyAlignment="1">
      <alignment horizontal="right" vertical="center" shrinkToFit="1"/>
    </xf>
    <xf numFmtId="189" fontId="5" fillId="2" borderId="8" xfId="0" applyNumberFormat="1" applyFont="1" applyFill="1" applyBorder="1" applyAlignment="1">
      <alignment horizontal="right" vertical="center" shrinkToFit="1"/>
    </xf>
    <xf numFmtId="190" fontId="5" fillId="2" borderId="32" xfId="0" applyNumberFormat="1" applyFont="1" applyFill="1" applyBorder="1" applyAlignment="1">
      <alignment horizontal="right" vertical="center" shrinkToFit="1"/>
    </xf>
    <xf numFmtId="190" fontId="5" fillId="2" borderId="14" xfId="0" applyNumberFormat="1" applyFont="1" applyFill="1" applyBorder="1" applyAlignment="1">
      <alignment horizontal="right" vertical="center" shrinkToFit="1"/>
    </xf>
    <xf numFmtId="190" fontId="5" fillId="2" borderId="15" xfId="0" applyNumberFormat="1" applyFont="1" applyFill="1" applyBorder="1" applyAlignment="1">
      <alignment horizontal="right" vertical="center" shrinkToFit="1"/>
    </xf>
    <xf numFmtId="0" fontId="5" fillId="0" borderId="5" xfId="0" applyFont="1" applyFill="1" applyBorder="1" applyAlignment="1">
      <alignment horizontal="distributed" vertical="center"/>
    </xf>
    <xf numFmtId="0" fontId="5" fillId="0" borderId="1" xfId="0" applyFont="1" applyFill="1" applyBorder="1" applyAlignment="1">
      <alignment horizontal="distributed" vertical="center"/>
    </xf>
    <xf numFmtId="189" fontId="5" fillId="0" borderId="73" xfId="0" applyNumberFormat="1" applyFont="1" applyFill="1" applyBorder="1" applyAlignment="1">
      <alignment horizontal="right" vertical="center" shrinkToFit="1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5" xfId="0" applyFont="1" applyBorder="1" applyAlignment="1">
      <alignment horizontal="distributed" justifyLastLine="1"/>
    </xf>
    <xf numFmtId="0" fontId="5" fillId="0" borderId="27" xfId="0" applyFont="1" applyBorder="1" applyAlignment="1">
      <alignment horizontal="distributed" justifyLastLine="1"/>
    </xf>
    <xf numFmtId="0" fontId="5" fillId="0" borderId="28" xfId="0" applyFont="1" applyBorder="1" applyAlignment="1">
      <alignment horizontal="distributed" vertical="center"/>
    </xf>
    <xf numFmtId="0" fontId="5" fillId="0" borderId="25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0" fontId="5" fillId="0" borderId="6" xfId="0" applyFont="1" applyFill="1" applyBorder="1" applyAlignment="1">
      <alignment horizontal="distributed" vertical="center"/>
    </xf>
    <xf numFmtId="0" fontId="5" fillId="0" borderId="7" xfId="0" applyFont="1" applyFill="1" applyBorder="1" applyAlignment="1">
      <alignment horizontal="distributed" vertical="center"/>
    </xf>
    <xf numFmtId="0" fontId="5" fillId="0" borderId="72" xfId="0" applyFont="1" applyFill="1" applyBorder="1" applyAlignment="1">
      <alignment horizontal="distributed" vertical="center"/>
    </xf>
    <xf numFmtId="189" fontId="5" fillId="0" borderId="9" xfId="0" applyNumberFormat="1" applyFont="1" applyFill="1" applyBorder="1" applyAlignment="1">
      <alignment horizontal="right" vertical="center" shrinkToFit="1"/>
    </xf>
    <xf numFmtId="190" fontId="5" fillId="0" borderId="9" xfId="0" applyNumberFormat="1" applyFont="1" applyFill="1" applyBorder="1" applyAlignment="1">
      <alignment horizontal="right" vertical="center" shrinkToFit="1"/>
    </xf>
    <xf numFmtId="190" fontId="5" fillId="0" borderId="53" xfId="0" applyNumberFormat="1" applyFont="1" applyFill="1" applyBorder="1" applyAlignment="1">
      <alignment horizontal="right" vertical="center" shrinkToFit="1"/>
    </xf>
    <xf numFmtId="189" fontId="5" fillId="0" borderId="3" xfId="0" applyNumberFormat="1" applyFont="1" applyFill="1" applyBorder="1" applyAlignment="1">
      <alignment horizontal="right" vertical="center" shrinkToFit="1"/>
    </xf>
    <xf numFmtId="0" fontId="16" fillId="0" borderId="2" xfId="0" applyFont="1" applyBorder="1" applyAlignment="1">
      <alignment horizontal="center" vertical="center" wrapText="1" shrinkToFit="1"/>
    </xf>
    <xf numFmtId="0" fontId="16" fillId="0" borderId="0" xfId="0" applyFont="1" applyBorder="1" applyAlignment="1">
      <alignment horizontal="center" vertical="center" shrinkToFit="1"/>
    </xf>
    <xf numFmtId="0" fontId="16" fillId="0" borderId="91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82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distributed" vertical="center" shrinkToFit="1"/>
    </xf>
    <xf numFmtId="0" fontId="5" fillId="0" borderId="20" xfId="0" applyFont="1" applyBorder="1" applyAlignment="1">
      <alignment horizontal="distributed" vertical="center" shrinkToFit="1"/>
    </xf>
    <xf numFmtId="0" fontId="5" fillId="0" borderId="21" xfId="0" applyFont="1" applyBorder="1" applyAlignment="1">
      <alignment horizontal="distributed" vertical="center" shrinkToFit="1"/>
    </xf>
    <xf numFmtId="0" fontId="5" fillId="0" borderId="37" xfId="0" applyFont="1" applyBorder="1" applyAlignment="1">
      <alignment horizontal="distributed" vertical="center" shrinkToFit="1"/>
    </xf>
    <xf numFmtId="0" fontId="5" fillId="0" borderId="12" xfId="0" applyFont="1" applyBorder="1" applyAlignment="1">
      <alignment horizontal="distributed" vertical="center" shrinkToFit="1"/>
    </xf>
    <xf numFmtId="0" fontId="5" fillId="0" borderId="13" xfId="0" applyFont="1" applyBorder="1" applyAlignment="1">
      <alignment horizontal="distributed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65" xfId="0" applyFont="1" applyFill="1" applyBorder="1" applyAlignment="1">
      <alignment horizontal="distributed" vertical="center"/>
    </xf>
    <xf numFmtId="0" fontId="5" fillId="0" borderId="22" xfId="0" applyFont="1" applyFill="1" applyBorder="1" applyAlignment="1">
      <alignment horizontal="distributed" vertical="center"/>
    </xf>
    <xf numFmtId="0" fontId="5" fillId="0" borderId="51" xfId="0" applyFont="1" applyFill="1" applyBorder="1" applyAlignment="1">
      <alignment horizontal="distributed" vertical="center"/>
    </xf>
    <xf numFmtId="0" fontId="5" fillId="0" borderId="46" xfId="0" applyFont="1" applyFill="1" applyBorder="1" applyAlignment="1">
      <alignment horizontal="distributed" vertical="center"/>
    </xf>
    <xf numFmtId="0" fontId="5" fillId="0" borderId="50" xfId="0" applyFont="1" applyFill="1" applyBorder="1" applyAlignment="1">
      <alignment horizontal="distributed" vertical="center"/>
    </xf>
    <xf numFmtId="182" fontId="5" fillId="0" borderId="61" xfId="0" applyNumberFormat="1" applyFont="1" applyFill="1" applyBorder="1" applyAlignment="1">
      <alignment horizontal="right" vertical="center" shrinkToFit="1"/>
    </xf>
    <xf numFmtId="182" fontId="5" fillId="0" borderId="59" xfId="0" applyNumberFormat="1" applyFont="1" applyFill="1" applyBorder="1" applyAlignment="1">
      <alignment horizontal="right" vertical="center" shrinkToFit="1"/>
    </xf>
    <xf numFmtId="183" fontId="5" fillId="0" borderId="59" xfId="0" applyNumberFormat="1" applyFont="1" applyFill="1" applyBorder="1" applyAlignment="1">
      <alignment horizontal="right" vertical="center" shrinkToFit="1"/>
    </xf>
    <xf numFmtId="183" fontId="5" fillId="0" borderId="60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190" fontId="5" fillId="0" borderId="8" xfId="0" applyNumberFormat="1" applyFont="1" applyFill="1" applyBorder="1" applyAlignment="1">
      <alignment horizontal="right" vertical="center" shrinkToFit="1"/>
    </xf>
    <xf numFmtId="190" fontId="5" fillId="0" borderId="108" xfId="0" applyNumberFormat="1" applyFont="1" applyFill="1" applyBorder="1" applyAlignment="1">
      <alignment horizontal="right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189" fontId="5" fillId="0" borderId="4" xfId="0" applyNumberFormat="1" applyFont="1" applyFill="1" applyBorder="1" applyAlignment="1">
      <alignment horizontal="right" vertical="center" shrinkToFit="1"/>
    </xf>
    <xf numFmtId="189" fontId="5" fillId="0" borderId="8" xfId="0" applyNumberFormat="1" applyFont="1" applyFill="1" applyBorder="1" applyAlignment="1">
      <alignment horizontal="right" vertical="center" shrinkToFit="1"/>
    </xf>
    <xf numFmtId="0" fontId="5" fillId="0" borderId="33" xfId="0" applyFont="1" applyFill="1" applyBorder="1" applyAlignment="1">
      <alignment horizontal="center" vertical="center" shrinkToFit="1"/>
    </xf>
    <xf numFmtId="190" fontId="5" fillId="2" borderId="55" xfId="0" applyNumberFormat="1" applyFont="1" applyFill="1" applyBorder="1" applyAlignment="1">
      <alignment horizontal="right" vertical="center" shrinkToFit="1"/>
    </xf>
    <xf numFmtId="190" fontId="5" fillId="2" borderId="58" xfId="0" applyNumberFormat="1" applyFont="1" applyFill="1" applyBorder="1" applyAlignment="1">
      <alignment horizontal="right" vertical="center" shrinkToFit="1"/>
    </xf>
    <xf numFmtId="0" fontId="5" fillId="0" borderId="38" xfId="0" applyFont="1" applyFill="1" applyBorder="1" applyAlignment="1">
      <alignment vertical="center"/>
    </xf>
    <xf numFmtId="183" fontId="5" fillId="0" borderId="62" xfId="0" applyNumberFormat="1" applyFont="1" applyFill="1" applyBorder="1" applyAlignment="1">
      <alignment horizontal="right" vertical="center" shrinkToFit="1"/>
    </xf>
    <xf numFmtId="183" fontId="5" fillId="0" borderId="63" xfId="0" applyNumberFormat="1" applyFont="1" applyFill="1" applyBorder="1" applyAlignment="1">
      <alignment horizontal="right" vertical="center" shrinkToFit="1"/>
    </xf>
    <xf numFmtId="182" fontId="5" fillId="0" borderId="64" xfId="0" applyNumberFormat="1" applyFont="1" applyFill="1" applyBorder="1" applyAlignment="1">
      <alignment horizontal="right" vertical="center" shrinkToFit="1"/>
    </xf>
    <xf numFmtId="182" fontId="5" fillId="0" borderId="62" xfId="0" applyNumberFormat="1" applyFont="1" applyFill="1" applyBorder="1" applyAlignment="1">
      <alignment horizontal="right" vertical="center" shrinkToFit="1"/>
    </xf>
    <xf numFmtId="189" fontId="5" fillId="2" borderId="70" xfId="0" applyNumberFormat="1" applyFont="1" applyFill="1" applyBorder="1" applyAlignment="1">
      <alignment horizontal="right" vertical="center" shrinkToFit="1"/>
    </xf>
    <xf numFmtId="189" fontId="5" fillId="2" borderId="55" xfId="0" applyNumberFormat="1" applyFont="1" applyFill="1" applyBorder="1" applyAlignment="1">
      <alignment horizontal="right" vertical="center" shrinkToFit="1"/>
    </xf>
    <xf numFmtId="0" fontId="5" fillId="0" borderId="4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66" xfId="0" applyFont="1" applyFill="1" applyBorder="1" applyAlignment="1">
      <alignment horizontal="distributed" vertical="center"/>
    </xf>
    <xf numFmtId="0" fontId="5" fillId="0" borderId="71" xfId="0" applyFont="1" applyFill="1" applyBorder="1" applyAlignment="1">
      <alignment horizontal="center" vertical="distributed" textRotation="255"/>
    </xf>
    <xf numFmtId="0" fontId="5" fillId="0" borderId="6" xfId="0" applyFont="1" applyFill="1" applyBorder="1" applyAlignment="1">
      <alignment horizontal="center" vertical="distributed" textRotation="255"/>
    </xf>
    <xf numFmtId="0" fontId="5" fillId="0" borderId="4" xfId="0" applyFont="1" applyFill="1" applyBorder="1" applyAlignment="1"/>
    <xf numFmtId="190" fontId="5" fillId="0" borderId="26" xfId="0" applyNumberFormat="1" applyFont="1" applyFill="1" applyBorder="1" applyAlignment="1">
      <alignment horizontal="right" vertical="center" shrinkToFit="1"/>
    </xf>
    <xf numFmtId="0" fontId="5" fillId="0" borderId="19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2" xfId="0" applyFont="1" applyBorder="1" applyAlignment="1">
      <alignment horizontal="distributed" vertical="center"/>
    </xf>
    <xf numFmtId="0" fontId="5" fillId="0" borderId="13" xfId="0" applyFont="1" applyBorder="1" applyAlignment="1">
      <alignment horizontal="distributed" vertical="center"/>
    </xf>
    <xf numFmtId="190" fontId="5" fillId="0" borderId="84" xfId="0" applyNumberFormat="1" applyFont="1" applyFill="1" applyBorder="1" applyAlignment="1">
      <alignment horizontal="right" vertical="center" shrinkToFit="1"/>
    </xf>
    <xf numFmtId="0" fontId="5" fillId="0" borderId="11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44" xfId="0" applyFont="1" applyFill="1" applyBorder="1" applyAlignment="1">
      <alignment horizontal="distributed" vertical="center"/>
    </xf>
    <xf numFmtId="0" fontId="5" fillId="0" borderId="10" xfId="0" applyFont="1" applyFill="1" applyBorder="1" applyAlignment="1">
      <alignment horizontal="distributed" vertical="center"/>
    </xf>
    <xf numFmtId="0" fontId="5" fillId="0" borderId="45" xfId="0" applyFont="1" applyFill="1" applyBorder="1" applyAlignment="1">
      <alignment horizontal="distributed" vertical="center"/>
    </xf>
    <xf numFmtId="0" fontId="5" fillId="0" borderId="56" xfId="0" applyFont="1" applyFill="1" applyBorder="1" applyAlignment="1">
      <alignment horizontal="distributed" vertical="center" justifyLastLine="1"/>
    </xf>
    <xf numFmtId="0" fontId="5" fillId="0" borderId="30" xfId="0" applyFont="1" applyFill="1" applyBorder="1" applyAlignment="1">
      <alignment horizontal="distributed" vertical="center" justifyLastLine="1"/>
    </xf>
    <xf numFmtId="0" fontId="5" fillId="0" borderId="57" xfId="0" applyFont="1" applyFill="1" applyBorder="1" applyAlignment="1">
      <alignment horizontal="distributed" vertical="center" justifyLastLine="1"/>
    </xf>
    <xf numFmtId="189" fontId="5" fillId="0" borderId="49" xfId="1" applyNumberFormat="1" applyFont="1" applyFill="1" applyBorder="1" applyAlignment="1">
      <alignment horizontal="right" vertical="center" shrinkToFit="1"/>
    </xf>
    <xf numFmtId="189" fontId="5" fillId="0" borderId="47" xfId="1" applyNumberFormat="1" applyFont="1" applyFill="1" applyBorder="1" applyAlignment="1">
      <alignment horizontal="right" vertical="center" shrinkToFit="1"/>
    </xf>
    <xf numFmtId="0" fontId="5" fillId="0" borderId="14" xfId="0" applyFont="1" applyBorder="1" applyAlignment="1">
      <alignment horizontal="distributed" vertical="center"/>
    </xf>
    <xf numFmtId="0" fontId="5" fillId="0" borderId="15" xfId="0" applyFont="1" applyBorder="1" applyAlignment="1">
      <alignment horizontal="distributed" vertical="center"/>
    </xf>
    <xf numFmtId="189" fontId="5" fillId="0" borderId="55" xfId="0" applyNumberFormat="1" applyFont="1" applyFill="1" applyBorder="1" applyAlignment="1">
      <alignment horizontal="right" vertical="center" shrinkToFit="1"/>
    </xf>
    <xf numFmtId="190" fontId="5" fillId="0" borderId="35" xfId="0" applyNumberFormat="1" applyFont="1" applyFill="1" applyBorder="1" applyAlignment="1">
      <alignment horizontal="right" vertical="center" shrinkToFit="1"/>
    </xf>
    <xf numFmtId="190" fontId="5" fillId="0" borderId="55" xfId="0" applyNumberFormat="1" applyFont="1" applyFill="1" applyBorder="1" applyAlignment="1">
      <alignment horizontal="right" vertical="center" shrinkToFit="1"/>
    </xf>
    <xf numFmtId="190" fontId="5" fillId="0" borderId="58" xfId="0" applyNumberFormat="1" applyFont="1" applyFill="1" applyBorder="1" applyAlignment="1">
      <alignment horizontal="right" vertical="center" shrinkToFit="1"/>
    </xf>
    <xf numFmtId="190" fontId="5" fillId="0" borderId="26" xfId="1" applyNumberFormat="1" applyFont="1" applyFill="1" applyBorder="1" applyAlignment="1">
      <alignment horizontal="right" vertical="center" shrinkToFit="1"/>
    </xf>
    <xf numFmtId="190" fontId="5" fillId="0" borderId="47" xfId="1" applyNumberFormat="1" applyFont="1" applyFill="1" applyBorder="1" applyAlignment="1">
      <alignment horizontal="right" vertical="center" shrinkToFit="1"/>
    </xf>
    <xf numFmtId="190" fontId="5" fillId="0" borderId="48" xfId="1" applyNumberFormat="1" applyFont="1" applyFill="1" applyBorder="1" applyAlignment="1">
      <alignment horizontal="right" vertical="center" shrinkToFit="1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65" xfId="0" applyFont="1" applyFill="1" applyBorder="1" applyAlignment="1">
      <alignment horizontal="distributed" vertical="center" justifyLastLine="1"/>
    </xf>
    <xf numFmtId="0" fontId="5" fillId="0" borderId="22" xfId="0" applyFont="1" applyFill="1" applyBorder="1" applyAlignment="1">
      <alignment horizontal="distributed" vertical="center" justifyLastLine="1"/>
    </xf>
    <xf numFmtId="0" fontId="5" fillId="0" borderId="23" xfId="0" applyFont="1" applyFill="1" applyBorder="1" applyAlignment="1">
      <alignment horizontal="distributed" vertical="center" justifyLastLine="1"/>
    </xf>
    <xf numFmtId="0" fontId="5" fillId="0" borderId="34" xfId="1" applyFont="1" applyBorder="1" applyAlignment="1">
      <alignment horizontal="distributed" vertical="center"/>
    </xf>
    <xf numFmtId="0" fontId="5" fillId="0" borderId="14" xfId="1" applyFont="1" applyBorder="1" applyAlignment="1">
      <alignment horizontal="distributed" vertical="center"/>
    </xf>
    <xf numFmtId="0" fontId="5" fillId="0" borderId="15" xfId="1" applyFont="1" applyBorder="1" applyAlignment="1">
      <alignment horizontal="distributed" vertical="center"/>
    </xf>
    <xf numFmtId="189" fontId="5" fillId="0" borderId="70" xfId="1" applyNumberFormat="1" applyFont="1" applyFill="1" applyBorder="1" applyAlignment="1">
      <alignment horizontal="right" vertical="center" shrinkToFit="1"/>
    </xf>
    <xf numFmtId="189" fontId="5" fillId="0" borderId="55" xfId="1" applyNumberFormat="1" applyFont="1" applyFill="1" applyBorder="1" applyAlignment="1">
      <alignment horizontal="right" vertical="center" shrinkToFit="1"/>
    </xf>
    <xf numFmtId="190" fontId="5" fillId="0" borderId="55" xfId="1" applyNumberFormat="1" applyFont="1" applyFill="1" applyBorder="1" applyAlignment="1">
      <alignment horizontal="right" vertical="center" shrinkToFit="1"/>
    </xf>
    <xf numFmtId="190" fontId="5" fillId="0" borderId="58" xfId="1" applyNumberFormat="1" applyFont="1" applyFill="1" applyBorder="1" applyAlignment="1">
      <alignment horizontal="right" vertical="center" shrinkToFit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5" fillId="0" borderId="65" xfId="0" applyNumberFormat="1" applyFont="1" applyFill="1" applyBorder="1" applyAlignment="1">
      <alignment horizontal="center" vertical="center"/>
    </xf>
    <xf numFmtId="176" fontId="5" fillId="0" borderId="90" xfId="0" applyNumberFormat="1" applyFont="1" applyFill="1" applyBorder="1" applyAlignment="1">
      <alignment horizontal="center" vertical="center"/>
    </xf>
    <xf numFmtId="190" fontId="5" fillId="0" borderId="32" xfId="1" applyNumberFormat="1" applyFont="1" applyFill="1" applyBorder="1" applyAlignment="1">
      <alignment horizontal="right" vertical="center" shrinkToFit="1"/>
    </xf>
    <xf numFmtId="190" fontId="5" fillId="0" borderId="14" xfId="1" applyNumberFormat="1" applyFont="1" applyFill="1" applyBorder="1" applyAlignment="1">
      <alignment horizontal="right" vertical="center" shrinkToFit="1"/>
    </xf>
    <xf numFmtId="190" fontId="5" fillId="0" borderId="15" xfId="1" applyNumberFormat="1" applyFont="1" applyFill="1" applyBorder="1" applyAlignment="1">
      <alignment horizontal="right" vertical="center" shrinkToFit="1"/>
    </xf>
    <xf numFmtId="189" fontId="5" fillId="0" borderId="70" xfId="0" applyNumberFormat="1" applyFont="1" applyFill="1" applyBorder="1" applyAlignment="1">
      <alignment horizontal="right" vertical="center" shrinkToFit="1"/>
    </xf>
    <xf numFmtId="189" fontId="5" fillId="0" borderId="64" xfId="0" applyNumberFormat="1" applyFont="1" applyFill="1" applyBorder="1" applyAlignment="1">
      <alignment horizontal="right" vertical="center" shrinkToFit="1"/>
    </xf>
    <xf numFmtId="189" fontId="5" fillId="0" borderId="62" xfId="0" applyNumberFormat="1" applyFont="1" applyFill="1" applyBorder="1" applyAlignment="1">
      <alignment horizontal="right" vertical="center" shrinkToFit="1"/>
    </xf>
    <xf numFmtId="182" fontId="0" fillId="0" borderId="0" xfId="0" applyNumberFormat="1" applyFont="1" applyFill="1" applyBorder="1" applyAlignment="1">
      <alignment horizontal="right" vertical="center" shrinkToFit="1"/>
    </xf>
    <xf numFmtId="183" fontId="0" fillId="0" borderId="0" xfId="0" applyNumberFormat="1" applyFont="1" applyFill="1" applyBorder="1" applyAlignment="1">
      <alignment horizontal="right" vertical="center" shrinkToFit="1"/>
    </xf>
    <xf numFmtId="0" fontId="5" fillId="0" borderId="34" xfId="0" applyNumberFormat="1" applyFont="1" applyFill="1" applyBorder="1" applyAlignment="1">
      <alignment horizontal="distributed" vertical="center" shrinkToFit="1"/>
    </xf>
    <xf numFmtId="0" fontId="5" fillId="0" borderId="14" xfId="0" applyNumberFormat="1" applyFont="1" applyFill="1" applyBorder="1" applyAlignment="1">
      <alignment horizontal="distributed" vertical="center" shrinkToFit="1"/>
    </xf>
    <xf numFmtId="0" fontId="5" fillId="0" borderId="15" xfId="0" applyNumberFormat="1" applyFont="1" applyFill="1" applyBorder="1" applyAlignment="1">
      <alignment horizontal="distributed" vertical="center" shrinkToFit="1"/>
    </xf>
    <xf numFmtId="184" fontId="0" fillId="0" borderId="0" xfId="0" applyNumberFormat="1" applyFont="1" applyFill="1" applyBorder="1" applyAlignment="1">
      <alignment horizontal="right" vertical="center" shrinkToFit="1"/>
    </xf>
    <xf numFmtId="189" fontId="5" fillId="0" borderId="33" xfId="1" applyNumberFormat="1" applyFont="1" applyFill="1" applyBorder="1" applyAlignment="1">
      <alignment horizontal="right" vertical="center" shrinkToFit="1"/>
    </xf>
    <xf numFmtId="189" fontId="5" fillId="0" borderId="12" xfId="1" applyNumberFormat="1" applyFont="1" applyBorder="1" applyAlignment="1">
      <alignment horizontal="right" vertical="center" shrinkToFit="1"/>
    </xf>
    <xf numFmtId="189" fontId="5" fillId="0" borderId="84" xfId="1" applyNumberFormat="1" applyFont="1" applyBorder="1" applyAlignment="1">
      <alignment horizontal="right" vertical="center" shrinkToFit="1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3" xfId="0" applyNumberFormat="1" applyFont="1" applyFill="1" applyBorder="1" applyAlignment="1">
      <alignment horizontal="distributed" vertical="center" shrinkToFit="1"/>
    </xf>
    <xf numFmtId="0" fontId="5" fillId="0" borderId="12" xfId="0" applyNumberFormat="1" applyFont="1" applyFill="1" applyBorder="1" applyAlignment="1">
      <alignment horizontal="distributed" vertical="center" shrinkToFit="1"/>
    </xf>
    <xf numFmtId="0" fontId="5" fillId="0" borderId="13" xfId="0" applyNumberFormat="1" applyFont="1" applyFill="1" applyBorder="1" applyAlignment="1">
      <alignment horizontal="distributed" vertical="center" shrinkToFit="1"/>
    </xf>
    <xf numFmtId="189" fontId="5" fillId="0" borderId="37" xfId="0" applyNumberFormat="1" applyFont="1" applyFill="1" applyBorder="1" applyAlignment="1">
      <alignment horizontal="right" vertical="center" shrinkToFit="1"/>
    </xf>
    <xf numFmtId="189" fontId="5" fillId="0" borderId="12" xfId="0" applyNumberFormat="1" applyFont="1" applyBorder="1" applyAlignment="1">
      <alignment horizontal="right" vertical="center" shrinkToFit="1"/>
    </xf>
    <xf numFmtId="190" fontId="5" fillId="0" borderId="33" xfId="0" applyNumberFormat="1" applyFont="1" applyFill="1" applyBorder="1" applyAlignment="1">
      <alignment horizontal="right" vertical="center" shrinkToFit="1"/>
    </xf>
    <xf numFmtId="190" fontId="5" fillId="0" borderId="12" xfId="0" applyNumberFormat="1" applyFont="1" applyBorder="1" applyAlignment="1">
      <alignment horizontal="right" vertical="center" shrinkToFit="1"/>
    </xf>
    <xf numFmtId="190" fontId="5" fillId="0" borderId="37" xfId="0" applyNumberFormat="1" applyFont="1" applyBorder="1" applyAlignment="1">
      <alignment horizontal="right" vertical="center" shrinkToFit="1"/>
    </xf>
    <xf numFmtId="190" fontId="5" fillId="0" borderId="84" xfId="0" applyNumberFormat="1" applyFont="1" applyBorder="1" applyAlignment="1">
      <alignment horizontal="right" vertical="center" shrinkToFit="1"/>
    </xf>
    <xf numFmtId="190" fontId="5" fillId="0" borderId="12" xfId="0" applyNumberFormat="1" applyFont="1" applyFill="1" applyBorder="1" applyAlignment="1">
      <alignment horizontal="right" vertical="center" shrinkToFit="1"/>
    </xf>
    <xf numFmtId="190" fontId="5" fillId="0" borderId="29" xfId="0" applyNumberFormat="1" applyFont="1" applyFill="1" applyBorder="1" applyAlignment="1">
      <alignment horizontal="right" vertical="center" shrinkToFit="1"/>
    </xf>
    <xf numFmtId="190" fontId="5" fillId="0" borderId="30" xfId="0" applyNumberFormat="1" applyFont="1" applyBorder="1" applyAlignment="1">
      <alignment horizontal="right" vertical="center" shrinkToFit="1"/>
    </xf>
    <xf numFmtId="189" fontId="5" fillId="0" borderId="34" xfId="0" applyNumberFormat="1" applyFont="1" applyFill="1" applyBorder="1" applyAlignment="1">
      <alignment horizontal="right" vertical="center"/>
    </xf>
    <xf numFmtId="189" fontId="5" fillId="0" borderId="14" xfId="0" applyNumberFormat="1" applyFont="1" applyFill="1" applyBorder="1" applyAlignment="1">
      <alignment horizontal="right" vertical="center"/>
    </xf>
    <xf numFmtId="189" fontId="5" fillId="0" borderId="35" xfId="0" applyNumberFormat="1" applyFont="1" applyFill="1" applyBorder="1" applyAlignment="1">
      <alignment horizontal="right" vertical="center"/>
    </xf>
    <xf numFmtId="189" fontId="5" fillId="0" borderId="109" xfId="0" applyNumberFormat="1" applyFont="1" applyFill="1" applyBorder="1" applyAlignment="1">
      <alignment horizontal="right" vertical="center" shrinkToFit="1"/>
    </xf>
    <xf numFmtId="190" fontId="5" fillId="0" borderId="109" xfId="0" applyNumberFormat="1" applyFont="1" applyFill="1" applyBorder="1" applyAlignment="1">
      <alignment horizontal="right" vertical="center" shrinkToFit="1"/>
    </xf>
    <xf numFmtId="190" fontId="5" fillId="0" borderId="110" xfId="0" applyNumberFormat="1" applyFont="1" applyFill="1" applyBorder="1" applyAlignment="1">
      <alignment horizontal="right" vertical="center" shrinkToFit="1"/>
    </xf>
    <xf numFmtId="190" fontId="5" fillId="0" borderId="34" xfId="0" applyNumberFormat="1" applyFont="1" applyFill="1" applyBorder="1" applyAlignment="1">
      <alignment horizontal="right" vertical="center"/>
    </xf>
    <xf numFmtId="190" fontId="5" fillId="0" borderId="14" xfId="0" applyNumberFormat="1" applyFont="1" applyFill="1" applyBorder="1" applyAlignment="1">
      <alignment horizontal="right" vertical="center"/>
    </xf>
    <xf numFmtId="190" fontId="5" fillId="0" borderId="35" xfId="0" applyNumberFormat="1" applyFont="1" applyFill="1" applyBorder="1" applyAlignment="1">
      <alignment horizontal="right" vertical="center"/>
    </xf>
    <xf numFmtId="189" fontId="5" fillId="3" borderId="37" xfId="0" applyNumberFormat="1" applyFont="1" applyFill="1" applyBorder="1" applyAlignment="1">
      <alignment horizontal="right" vertical="center" shrinkToFit="1"/>
    </xf>
    <xf numFmtId="189" fontId="5" fillId="3" borderId="12" xfId="0" applyNumberFormat="1" applyFont="1" applyFill="1" applyBorder="1" applyAlignment="1">
      <alignment horizontal="right" vertical="center" shrinkToFit="1"/>
    </xf>
    <xf numFmtId="189" fontId="5" fillId="3" borderId="84" xfId="0" applyNumberFormat="1" applyFont="1" applyFill="1" applyBorder="1" applyAlignment="1">
      <alignment horizontal="right" vertical="center" shrinkToFit="1"/>
    </xf>
    <xf numFmtId="189" fontId="5" fillId="3" borderId="32" xfId="0" applyNumberFormat="1" applyFont="1" applyFill="1" applyBorder="1" applyAlignment="1">
      <alignment horizontal="right" vertical="center" shrinkToFit="1"/>
    </xf>
    <xf numFmtId="189" fontId="5" fillId="3" borderId="14" xfId="0" applyNumberFormat="1" applyFont="1" applyFill="1" applyBorder="1" applyAlignment="1">
      <alignment horizontal="right" vertical="center" shrinkToFit="1"/>
    </xf>
    <xf numFmtId="189" fontId="5" fillId="3" borderId="35" xfId="0" applyNumberFormat="1" applyFont="1" applyFill="1" applyBorder="1" applyAlignment="1">
      <alignment horizontal="right" vertical="center" shrinkToFit="1"/>
    </xf>
    <xf numFmtId="181" fontId="5" fillId="0" borderId="106" xfId="0" applyNumberFormat="1" applyFont="1" applyFill="1" applyBorder="1" applyAlignment="1">
      <alignment horizontal="right" vertical="center" shrinkToFit="1"/>
    </xf>
    <xf numFmtId="181" fontId="5" fillId="0" borderId="103" xfId="0" applyNumberFormat="1" applyFont="1" applyFill="1" applyBorder="1" applyAlignment="1">
      <alignment horizontal="right" vertical="center" shrinkToFit="1"/>
    </xf>
    <xf numFmtId="181" fontId="5" fillId="0" borderId="104" xfId="0" applyNumberFormat="1" applyFont="1" applyFill="1" applyBorder="1" applyAlignment="1">
      <alignment horizontal="right" vertical="center" shrinkToFit="1"/>
    </xf>
    <xf numFmtId="190" fontId="5" fillId="0" borderId="32" xfId="0" applyNumberFormat="1" applyFont="1" applyBorder="1" applyAlignment="1">
      <alignment horizontal="right" vertical="center" shrinkToFit="1"/>
    </xf>
    <xf numFmtId="190" fontId="5" fillId="0" borderId="14" xfId="0" applyNumberFormat="1" applyFont="1" applyBorder="1" applyAlignment="1">
      <alignment horizontal="right" vertical="center" shrinkToFit="1"/>
    </xf>
    <xf numFmtId="190" fontId="5" fillId="0" borderId="35" xfId="0" applyNumberFormat="1" applyFont="1" applyBorder="1" applyAlignment="1">
      <alignment horizontal="right" vertical="center" shrinkToFit="1"/>
    </xf>
    <xf numFmtId="189" fontId="5" fillId="0" borderId="34" xfId="1" applyNumberFormat="1" applyFont="1" applyFill="1" applyBorder="1" applyAlignment="1">
      <alignment horizontal="right" vertical="center" shrinkToFit="1"/>
    </xf>
    <xf numFmtId="189" fontId="5" fillId="0" borderId="14" xfId="1" applyNumberFormat="1" applyFont="1" applyBorder="1" applyAlignment="1">
      <alignment horizontal="right" vertical="center" shrinkToFit="1"/>
    </xf>
    <xf numFmtId="189" fontId="5" fillId="0" borderId="35" xfId="1" applyNumberFormat="1" applyFont="1" applyBorder="1" applyAlignment="1">
      <alignment horizontal="right" vertical="center" shrinkToFit="1"/>
    </xf>
    <xf numFmtId="189" fontId="5" fillId="0" borderId="32" xfId="1" applyNumberFormat="1" applyFont="1" applyBorder="1" applyAlignment="1">
      <alignment horizontal="right" vertical="center" shrinkToFit="1"/>
    </xf>
    <xf numFmtId="190" fontId="5" fillId="0" borderId="14" xfId="1" applyNumberFormat="1" applyFont="1" applyBorder="1" applyAlignment="1">
      <alignment horizontal="right" vertical="center" shrinkToFit="1"/>
    </xf>
    <xf numFmtId="190" fontId="5" fillId="0" borderId="15" xfId="1" applyNumberFormat="1" applyFont="1" applyBorder="1" applyAlignment="1">
      <alignment horizontal="right" vertical="center" shrinkToFit="1"/>
    </xf>
    <xf numFmtId="189" fontId="5" fillId="0" borderId="37" xfId="1" applyNumberFormat="1" applyFont="1" applyBorder="1" applyAlignment="1">
      <alignment horizontal="right" vertical="center" shrinkToFit="1"/>
    </xf>
    <xf numFmtId="190" fontId="5" fillId="0" borderId="12" xfId="1" applyNumberFormat="1" applyFont="1" applyBorder="1" applyAlignment="1">
      <alignment horizontal="right" vertical="center" shrinkToFit="1"/>
    </xf>
    <xf numFmtId="190" fontId="5" fillId="0" borderId="13" xfId="1" applyNumberFormat="1" applyFont="1" applyBorder="1" applyAlignment="1">
      <alignment horizontal="right" vertical="center" shrinkToFit="1"/>
    </xf>
    <xf numFmtId="176" fontId="5" fillId="0" borderId="29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176" fontId="5" fillId="0" borderId="56" xfId="0" applyNumberFormat="1" applyFont="1" applyFill="1" applyBorder="1" applyAlignment="1">
      <alignment horizontal="center" vertical="center"/>
    </xf>
    <xf numFmtId="189" fontId="5" fillId="3" borderId="33" xfId="0" applyNumberFormat="1" applyFont="1" applyFill="1" applyBorder="1" applyAlignment="1">
      <alignment horizontal="right" vertical="center" shrinkToFit="1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102" xfId="1" applyFont="1" applyBorder="1" applyAlignment="1">
      <alignment horizontal="right" vertical="center"/>
    </xf>
    <xf numFmtId="0" fontId="5" fillId="0" borderId="103" xfId="1" applyFont="1" applyBorder="1" applyAlignment="1">
      <alignment horizontal="right" vertical="center"/>
    </xf>
    <xf numFmtId="0" fontId="5" fillId="0" borderId="104" xfId="1" applyFont="1" applyBorder="1" applyAlignment="1">
      <alignment horizontal="right" vertical="center"/>
    </xf>
    <xf numFmtId="181" fontId="5" fillId="0" borderId="102" xfId="0" applyNumberFormat="1" applyFont="1" applyFill="1" applyBorder="1" applyAlignment="1">
      <alignment horizontal="right" vertical="center" shrinkToFit="1"/>
    </xf>
    <xf numFmtId="181" fontId="5" fillId="0" borderId="105" xfId="0" applyNumberFormat="1" applyFont="1" applyFill="1" applyBorder="1" applyAlignment="1">
      <alignment horizontal="right" vertical="center" shrinkToFit="1"/>
    </xf>
    <xf numFmtId="190" fontId="5" fillId="0" borderId="13" xfId="0" applyNumberFormat="1" applyFont="1" applyFill="1" applyBorder="1" applyAlignment="1">
      <alignment horizontal="right" vertical="center" shrinkToFit="1"/>
    </xf>
    <xf numFmtId="0" fontId="5" fillId="0" borderId="35" xfId="0" applyFont="1" applyFill="1" applyBorder="1" applyAlignment="1">
      <alignment horizontal="distributed" vertical="center" justifyLastLine="1"/>
    </xf>
    <xf numFmtId="190" fontId="5" fillId="0" borderId="56" xfId="0" applyNumberFormat="1" applyFont="1" applyBorder="1" applyAlignment="1">
      <alignment horizontal="right" vertical="center" shrinkToFit="1"/>
    </xf>
    <xf numFmtId="190" fontId="5" fillId="0" borderId="31" xfId="0" applyNumberFormat="1" applyFont="1" applyBorder="1" applyAlignment="1">
      <alignment horizontal="right" vertical="center" shrinkToFit="1"/>
    </xf>
    <xf numFmtId="176" fontId="5" fillId="0" borderId="28" xfId="0" applyNumberFormat="1" applyFont="1" applyFill="1" applyBorder="1" applyAlignment="1">
      <alignment horizontal="distributed" vertical="center" wrapText="1" justifyLastLine="1"/>
    </xf>
    <xf numFmtId="176" fontId="5" fillId="0" borderId="25" xfId="0" applyNumberFormat="1" applyFont="1" applyFill="1" applyBorder="1" applyAlignment="1">
      <alignment horizontal="distributed" vertical="center" wrapText="1" justifyLastLine="1"/>
    </xf>
    <xf numFmtId="176" fontId="5" fillId="0" borderId="26" xfId="0" applyNumberFormat="1" applyFont="1" applyFill="1" applyBorder="1" applyAlignment="1">
      <alignment horizontal="distributed" vertical="center" wrapText="1" justifyLastLine="1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25" xfId="0" applyNumberFormat="1" applyFont="1" applyFill="1" applyBorder="1" applyAlignment="1">
      <alignment horizontal="center" vertical="center"/>
    </xf>
    <xf numFmtId="176" fontId="5" fillId="0" borderId="26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distributed" vertical="center" justifyLastLine="1"/>
    </xf>
    <xf numFmtId="176" fontId="5" fillId="0" borderId="25" xfId="0" applyNumberFormat="1" applyFont="1" applyFill="1" applyBorder="1" applyAlignment="1">
      <alignment horizontal="distributed" vertical="center" justifyLastLine="1"/>
    </xf>
    <xf numFmtId="176" fontId="5" fillId="0" borderId="26" xfId="0" applyNumberFormat="1" applyFont="1" applyFill="1" applyBorder="1" applyAlignment="1">
      <alignment horizontal="distributed" vertical="center" justifyLastLine="1"/>
    </xf>
    <xf numFmtId="190" fontId="5" fillId="0" borderId="36" xfId="0" applyNumberFormat="1" applyFont="1" applyFill="1" applyBorder="1" applyAlignment="1">
      <alignment horizontal="right" vertical="center"/>
    </xf>
    <xf numFmtId="190" fontId="5" fillId="0" borderId="20" xfId="0" applyNumberFormat="1" applyFont="1" applyFill="1" applyBorder="1" applyAlignment="1">
      <alignment horizontal="right" vertical="center"/>
    </xf>
    <xf numFmtId="190" fontId="5" fillId="0" borderId="21" xfId="0" applyNumberFormat="1" applyFont="1" applyFill="1" applyBorder="1" applyAlignment="1">
      <alignment horizontal="right" vertical="center"/>
    </xf>
    <xf numFmtId="176" fontId="5" fillId="0" borderId="27" xfId="0" applyNumberFormat="1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 vertical="center" justifyLastLine="1"/>
    </xf>
    <xf numFmtId="0" fontId="5" fillId="0" borderId="30" xfId="0" applyFont="1" applyFill="1" applyBorder="1" applyAlignment="1">
      <alignment horizontal="center" vertical="center" justifyLastLine="1"/>
    </xf>
    <xf numFmtId="0" fontId="5" fillId="0" borderId="57" xfId="0" applyFont="1" applyFill="1" applyBorder="1" applyAlignment="1">
      <alignment horizontal="center" vertical="center" justifyLastLine="1"/>
    </xf>
    <xf numFmtId="189" fontId="5" fillId="0" borderId="36" xfId="0" applyNumberFormat="1" applyFont="1" applyFill="1" applyBorder="1" applyAlignment="1">
      <alignment horizontal="right" vertical="center"/>
    </xf>
    <xf numFmtId="189" fontId="5" fillId="0" borderId="20" xfId="0" applyNumberFormat="1" applyFont="1" applyFill="1" applyBorder="1" applyAlignment="1">
      <alignment horizontal="right" vertical="center"/>
    </xf>
    <xf numFmtId="189" fontId="5" fillId="0" borderId="82" xfId="0" applyNumberFormat="1" applyFont="1" applyFill="1" applyBorder="1" applyAlignment="1">
      <alignment horizontal="right" vertical="center"/>
    </xf>
    <xf numFmtId="182" fontId="0" fillId="0" borderId="0" xfId="0" applyNumberFormat="1" applyFont="1" applyBorder="1" applyAlignment="1">
      <alignment horizontal="right" vertical="center" shrinkToFit="1"/>
    </xf>
    <xf numFmtId="183" fontId="0" fillId="0" borderId="0" xfId="0" applyNumberFormat="1" applyFont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distributed" vertical="center" shrinkToFit="1"/>
    </xf>
    <xf numFmtId="0" fontId="0" fillId="0" borderId="0" xfId="0" applyFont="1" applyFill="1" applyBorder="1" applyAlignment="1">
      <alignment horizontal="distributed" vertical="center"/>
    </xf>
    <xf numFmtId="176" fontId="5" fillId="0" borderId="24" xfId="0" applyNumberFormat="1" applyFont="1" applyFill="1" applyBorder="1" applyAlignment="1">
      <alignment horizontal="distributed" vertical="center" justifyLastLine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8" xfId="0" applyNumberFormat="1" applyFont="1" applyFill="1" applyBorder="1" applyAlignment="1">
      <alignment horizontal="distributed" vertical="center" shrinkToFit="1"/>
    </xf>
    <xf numFmtId="0" fontId="5" fillId="0" borderId="25" xfId="0" applyNumberFormat="1" applyFont="1" applyFill="1" applyBorder="1" applyAlignment="1">
      <alignment horizontal="distributed" vertical="center" shrinkToFit="1"/>
    </xf>
    <xf numFmtId="0" fontId="5" fillId="0" borderId="27" xfId="0" applyNumberFormat="1" applyFont="1" applyFill="1" applyBorder="1" applyAlignment="1">
      <alignment horizontal="distributed" vertical="center" shrinkToFit="1"/>
    </xf>
    <xf numFmtId="0" fontId="5" fillId="0" borderId="23" xfId="0" applyFont="1" applyFill="1" applyBorder="1" applyAlignment="1">
      <alignment horizontal="distributed" vertical="center"/>
    </xf>
    <xf numFmtId="0" fontId="5" fillId="0" borderId="38" xfId="0" applyFont="1" applyBorder="1" applyAlignment="1">
      <alignment horizontal="center" vertical="center" justifyLastLine="1"/>
    </xf>
    <xf numFmtId="0" fontId="5" fillId="0" borderId="39" xfId="0" applyFont="1" applyBorder="1" applyAlignment="1">
      <alignment horizontal="center" vertical="center" justifyLastLine="1"/>
    </xf>
    <xf numFmtId="0" fontId="5" fillId="0" borderId="40" xfId="0" applyFont="1" applyBorder="1" applyAlignment="1">
      <alignment horizontal="center" vertical="center" justifyLastLine="1"/>
    </xf>
    <xf numFmtId="0" fontId="5" fillId="0" borderId="41" xfId="0" applyFont="1" applyBorder="1" applyAlignment="1">
      <alignment horizontal="center" vertical="center" justifyLastLine="1"/>
    </xf>
    <xf numFmtId="0" fontId="5" fillId="0" borderId="42" xfId="0" applyFont="1" applyBorder="1" applyAlignment="1">
      <alignment horizontal="center" vertical="center" justifyLastLine="1"/>
    </xf>
    <xf numFmtId="0" fontId="5" fillId="0" borderId="43" xfId="0" applyFont="1" applyBorder="1" applyAlignment="1">
      <alignment horizontal="center" vertical="center" justifyLastLine="1"/>
    </xf>
    <xf numFmtId="0" fontId="5" fillId="0" borderId="28" xfId="0" applyFont="1" applyBorder="1" applyAlignment="1">
      <alignment horizontal="distributed" vertical="center" justifyLastLine="1"/>
    </xf>
    <xf numFmtId="0" fontId="5" fillId="0" borderId="34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189" fontId="5" fillId="0" borderId="37" xfId="0" applyNumberFormat="1" applyFont="1" applyBorder="1" applyAlignment="1">
      <alignment horizontal="right" vertical="center" shrinkToFit="1"/>
    </xf>
    <xf numFmtId="189" fontId="5" fillId="0" borderId="84" xfId="0" applyNumberFormat="1" applyFont="1" applyBorder="1" applyAlignment="1">
      <alignment horizontal="right" vertical="center" shrinkToFit="1"/>
    </xf>
    <xf numFmtId="190" fontId="5" fillId="0" borderId="13" xfId="0" applyNumberFormat="1" applyFont="1" applyBorder="1" applyAlignment="1">
      <alignment horizontal="right" vertical="center" shrinkToFit="1"/>
    </xf>
    <xf numFmtId="190" fontId="5" fillId="0" borderId="37" xfId="0" applyNumberFormat="1" applyFont="1" applyFill="1" applyBorder="1" applyAlignment="1">
      <alignment horizontal="right" vertical="center" shrinkToFit="1"/>
    </xf>
    <xf numFmtId="0" fontId="0" fillId="0" borderId="1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5" fillId="0" borderId="19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distributed" vertical="center"/>
    </xf>
    <xf numFmtId="189" fontId="5" fillId="2" borderId="32" xfId="0" applyNumberFormat="1" applyFont="1" applyFill="1" applyBorder="1" applyAlignment="1">
      <alignment horizontal="right" vertical="center" shrinkToFit="1"/>
    </xf>
    <xf numFmtId="189" fontId="5" fillId="2" borderId="14" xfId="0" applyNumberFormat="1" applyFont="1" applyFill="1" applyBorder="1" applyAlignment="1">
      <alignment horizontal="right" vertical="center" shrinkToFit="1"/>
    </xf>
    <xf numFmtId="189" fontId="5" fillId="2" borderId="35" xfId="0" applyNumberFormat="1" applyFont="1" applyFill="1" applyBorder="1" applyAlignment="1">
      <alignment horizontal="right" vertical="center" shrinkToFit="1"/>
    </xf>
    <xf numFmtId="189" fontId="5" fillId="2" borderId="34" xfId="0" applyNumberFormat="1" applyFont="1" applyFill="1" applyBorder="1" applyAlignment="1">
      <alignment horizontal="right" vertical="center" shrinkToFit="1"/>
    </xf>
    <xf numFmtId="0" fontId="6" fillId="0" borderId="38" xfId="0" applyFont="1" applyFill="1" applyBorder="1" applyAlignment="1">
      <alignment vertical="center"/>
    </xf>
    <xf numFmtId="0" fontId="5" fillId="0" borderId="40" xfId="0" applyFont="1" applyFill="1" applyBorder="1" applyAlignment="1">
      <alignment vertical="center"/>
    </xf>
    <xf numFmtId="0" fontId="5" fillId="0" borderId="43" xfId="0" applyFont="1" applyFill="1" applyBorder="1" applyAlignment="1">
      <alignment vertical="center"/>
    </xf>
    <xf numFmtId="0" fontId="5" fillId="0" borderId="66" xfId="0" applyFont="1" applyFill="1" applyBorder="1" applyAlignment="1">
      <alignment horizontal="distributed" vertical="center" justifyLastLine="1"/>
    </xf>
    <xf numFmtId="0" fontId="5" fillId="0" borderId="1" xfId="0" applyFont="1" applyFill="1" applyBorder="1" applyAlignment="1">
      <alignment horizontal="distributed" vertical="center" justifyLastLine="1"/>
    </xf>
    <xf numFmtId="0" fontId="5" fillId="0" borderId="76" xfId="0" applyFont="1" applyFill="1" applyBorder="1" applyAlignment="1">
      <alignment horizontal="distributed" vertical="center" justifyLastLine="1"/>
    </xf>
    <xf numFmtId="190" fontId="5" fillId="0" borderId="25" xfId="0" applyNumberFormat="1" applyFont="1" applyBorder="1" applyAlignment="1">
      <alignment horizontal="right" vertical="center" shrinkToFit="1"/>
    </xf>
    <xf numFmtId="190" fontId="5" fillId="0" borderId="27" xfId="0" applyNumberFormat="1" applyFont="1" applyBorder="1" applyAlignment="1">
      <alignment horizontal="right" vertical="center" shrinkToFit="1"/>
    </xf>
    <xf numFmtId="189" fontId="5" fillId="2" borderId="28" xfId="0" applyNumberFormat="1" applyFont="1" applyFill="1" applyBorder="1" applyAlignment="1">
      <alignment horizontal="right" vertical="center" shrinkToFit="1"/>
    </xf>
    <xf numFmtId="189" fontId="5" fillId="2" borderId="25" xfId="0" applyNumberFormat="1" applyFont="1" applyFill="1" applyBorder="1" applyAlignment="1">
      <alignment horizontal="right" vertical="center" shrinkToFit="1"/>
    </xf>
    <xf numFmtId="189" fontId="5" fillId="2" borderId="24" xfId="0" applyNumberFormat="1" applyFont="1" applyFill="1" applyBorder="1" applyAlignment="1">
      <alignment horizontal="right" vertical="center" shrinkToFit="1"/>
    </xf>
    <xf numFmtId="189" fontId="5" fillId="2" borderId="26" xfId="0" applyNumberFormat="1" applyFont="1" applyFill="1" applyBorder="1" applyAlignment="1">
      <alignment horizontal="right" vertical="center" shrinkToFit="1"/>
    </xf>
    <xf numFmtId="190" fontId="5" fillId="2" borderId="25" xfId="0" applyNumberFormat="1" applyFont="1" applyFill="1" applyBorder="1" applyAlignment="1">
      <alignment horizontal="right" vertical="center" shrinkToFit="1"/>
    </xf>
    <xf numFmtId="190" fontId="5" fillId="2" borderId="27" xfId="0" applyNumberFormat="1" applyFont="1" applyFill="1" applyBorder="1" applyAlignment="1">
      <alignment horizontal="right" vertical="center" shrinkToFit="1"/>
    </xf>
    <xf numFmtId="0" fontId="5" fillId="0" borderId="44" xfId="0" applyFont="1" applyFill="1" applyBorder="1" applyAlignment="1">
      <alignment horizontal="center" vertical="distributed" textRotation="255" justifyLastLine="1"/>
    </xf>
    <xf numFmtId="0" fontId="5" fillId="0" borderId="81" xfId="0" applyFont="1" applyFill="1" applyBorder="1" applyAlignment="1">
      <alignment horizontal="center" vertical="distributed" textRotation="255" justifyLastLine="1"/>
    </xf>
    <xf numFmtId="0" fontId="5" fillId="0" borderId="2" xfId="0" applyFont="1" applyFill="1" applyBorder="1" applyAlignment="1">
      <alignment horizontal="center" vertical="distributed" textRotation="255" justifyLastLine="1"/>
    </xf>
    <xf numFmtId="0" fontId="5" fillId="0" borderId="91" xfId="0" applyFont="1" applyFill="1" applyBorder="1" applyAlignment="1">
      <alignment horizontal="center" vertical="distributed" textRotation="255" justifyLastLine="1"/>
    </xf>
    <xf numFmtId="0" fontId="5" fillId="0" borderId="19" xfId="0" applyFont="1" applyFill="1" applyBorder="1" applyAlignment="1">
      <alignment horizontal="center" vertical="distributed" textRotation="255" justifyLastLine="1"/>
    </xf>
    <xf numFmtId="0" fontId="5" fillId="0" borderId="82" xfId="0" applyFont="1" applyFill="1" applyBorder="1" applyAlignment="1">
      <alignment horizontal="center" vertical="distributed" textRotation="255" justifyLastLine="1"/>
    </xf>
    <xf numFmtId="190" fontId="5" fillId="2" borderId="12" xfId="0" applyNumberFormat="1" applyFont="1" applyFill="1" applyBorder="1" applyAlignment="1">
      <alignment horizontal="right" vertical="center" shrinkToFit="1"/>
    </xf>
    <xf numFmtId="190" fontId="5" fillId="2" borderId="13" xfId="0" applyNumberFormat="1" applyFont="1" applyFill="1" applyBorder="1" applyAlignment="1">
      <alignment horizontal="right" vertical="center" shrinkToFit="1"/>
    </xf>
    <xf numFmtId="0" fontId="5" fillId="0" borderId="37" xfId="0" applyFont="1" applyFill="1" applyBorder="1" applyAlignment="1">
      <alignment horizontal="distributed" vertical="center" shrinkToFit="1"/>
    </xf>
    <xf numFmtId="0" fontId="5" fillId="0" borderId="12" xfId="0" applyFont="1" applyFill="1" applyBorder="1" applyAlignment="1">
      <alignment horizontal="distributed" vertical="center" shrinkToFit="1"/>
    </xf>
    <xf numFmtId="0" fontId="5" fillId="0" borderId="13" xfId="0" applyFont="1" applyFill="1" applyBorder="1" applyAlignment="1">
      <alignment horizontal="distributed" vertical="center" shrinkToFit="1"/>
    </xf>
    <xf numFmtId="0" fontId="3" fillId="0" borderId="11" xfId="0" applyFont="1" applyFill="1" applyBorder="1" applyAlignment="1">
      <alignment horizontal="center" vertical="center" textRotation="255" wrapText="1"/>
    </xf>
    <xf numFmtId="0" fontId="3" fillId="0" borderId="90" xfId="0" applyFont="1" applyFill="1" applyBorder="1" applyAlignment="1">
      <alignment horizontal="center" vertical="center" textRotation="255" wrapText="1"/>
    </xf>
    <xf numFmtId="0" fontId="3" fillId="0" borderId="2" xfId="0" applyFont="1" applyFill="1" applyBorder="1" applyAlignment="1">
      <alignment horizontal="center" vertical="center" textRotation="255" wrapText="1"/>
    </xf>
    <xf numFmtId="0" fontId="3" fillId="0" borderId="91" xfId="0" applyFont="1" applyFill="1" applyBorder="1" applyAlignment="1">
      <alignment horizontal="center" vertical="center" textRotation="255" wrapText="1"/>
    </xf>
    <xf numFmtId="0" fontId="5" fillId="0" borderId="65" xfId="0" applyFont="1" applyFill="1" applyBorder="1" applyAlignment="1">
      <alignment horizontal="distributed" vertical="center" shrinkToFit="1"/>
    </xf>
    <xf numFmtId="0" fontId="5" fillId="0" borderId="22" xfId="0" applyFont="1" applyFill="1" applyBorder="1" applyAlignment="1">
      <alignment horizontal="distributed" vertical="center" shrinkToFit="1"/>
    </xf>
    <xf numFmtId="0" fontId="5" fillId="0" borderId="23" xfId="0" applyFont="1" applyFill="1" applyBorder="1" applyAlignment="1">
      <alignment horizontal="distributed" vertical="center" shrinkToFit="1"/>
    </xf>
    <xf numFmtId="189" fontId="5" fillId="2" borderId="33" xfId="0" applyNumberFormat="1" applyFont="1" applyFill="1" applyBorder="1" applyAlignment="1">
      <alignment horizontal="right" vertical="center" shrinkToFit="1"/>
    </xf>
    <xf numFmtId="189" fontId="5" fillId="2" borderId="12" xfId="0" applyNumberFormat="1" applyFont="1" applyFill="1" applyBorder="1" applyAlignment="1">
      <alignment horizontal="right" vertical="center" shrinkToFit="1"/>
    </xf>
    <xf numFmtId="189" fontId="5" fillId="2" borderId="37" xfId="0" applyNumberFormat="1" applyFont="1" applyFill="1" applyBorder="1" applyAlignment="1">
      <alignment horizontal="right" vertical="center" shrinkToFit="1"/>
    </xf>
    <xf numFmtId="189" fontId="5" fillId="2" borderId="84" xfId="0" applyNumberFormat="1" applyFont="1" applyFill="1" applyBorder="1" applyAlignment="1">
      <alignment horizontal="right" vertical="center" shrinkToFit="1"/>
    </xf>
    <xf numFmtId="190" fontId="5" fillId="3" borderId="46" xfId="0" applyNumberFormat="1" applyFont="1" applyFill="1" applyBorder="1" applyAlignment="1">
      <alignment horizontal="right" vertical="center" shrinkToFit="1"/>
    </xf>
    <xf numFmtId="190" fontId="5" fillId="3" borderId="50" xfId="0" applyNumberFormat="1" applyFont="1" applyFill="1" applyBorder="1" applyAlignment="1">
      <alignment horizontal="right" vertical="center" shrinkToFit="1"/>
    </xf>
    <xf numFmtId="190" fontId="5" fillId="3" borderId="33" xfId="0" applyNumberFormat="1" applyFont="1" applyFill="1" applyBorder="1" applyAlignment="1">
      <alignment horizontal="right" vertical="center" shrinkToFit="1"/>
    </xf>
    <xf numFmtId="190" fontId="5" fillId="3" borderId="12" xfId="0" applyNumberFormat="1" applyFont="1" applyFill="1" applyBorder="1" applyAlignment="1">
      <alignment horizontal="right" vertical="center" shrinkToFit="1"/>
    </xf>
    <xf numFmtId="190" fontId="5" fillId="3" borderId="37" xfId="0" applyNumberFormat="1" applyFont="1" applyFill="1" applyBorder="1" applyAlignment="1">
      <alignment horizontal="right" vertical="center" shrinkToFit="1"/>
    </xf>
    <xf numFmtId="190" fontId="5" fillId="3" borderId="84" xfId="0" applyNumberFormat="1" applyFont="1" applyFill="1" applyBorder="1" applyAlignment="1">
      <alignment horizontal="right" vertical="center" shrinkToFit="1"/>
    </xf>
    <xf numFmtId="0" fontId="5" fillId="0" borderId="24" xfId="0" applyFont="1" applyFill="1" applyBorder="1" applyAlignment="1">
      <alignment horizontal="distributed" vertical="center" shrinkToFit="1"/>
    </xf>
    <xf numFmtId="0" fontId="5" fillId="0" borderId="25" xfId="0" applyFont="1" applyFill="1" applyBorder="1" applyAlignment="1">
      <alignment horizontal="distributed" vertical="center" shrinkToFit="1"/>
    </xf>
    <xf numFmtId="0" fontId="5" fillId="0" borderId="27" xfId="0" applyFont="1" applyFill="1" applyBorder="1" applyAlignment="1">
      <alignment horizontal="distributed" vertical="center" shrinkToFit="1"/>
    </xf>
    <xf numFmtId="190" fontId="5" fillId="3" borderId="13" xfId="0" applyNumberFormat="1" applyFont="1" applyFill="1" applyBorder="1" applyAlignment="1">
      <alignment horizontal="right" vertical="center" shrinkToFit="1"/>
    </xf>
    <xf numFmtId="190" fontId="5" fillId="3" borderId="14" xfId="0" applyNumberFormat="1" applyFont="1" applyFill="1" applyBorder="1" applyAlignment="1">
      <alignment horizontal="right" vertical="center" shrinkToFit="1"/>
    </xf>
    <xf numFmtId="190" fontId="5" fillId="3" borderId="15" xfId="0" applyNumberFormat="1" applyFont="1" applyFill="1" applyBorder="1" applyAlignment="1">
      <alignment horizontal="right" vertical="center" shrinkToFit="1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176" fontId="5" fillId="0" borderId="29" xfId="1" applyNumberFormat="1" applyFont="1" applyFill="1" applyBorder="1" applyAlignment="1">
      <alignment horizontal="center" vertical="center"/>
    </xf>
    <xf numFmtId="176" fontId="5" fillId="0" borderId="30" xfId="1" applyNumberFormat="1" applyFont="1" applyFill="1" applyBorder="1" applyAlignment="1">
      <alignment horizontal="center" vertical="center"/>
    </xf>
    <xf numFmtId="176" fontId="5" fillId="0" borderId="31" xfId="1" applyNumberFormat="1" applyFont="1" applyFill="1" applyBorder="1" applyAlignment="1">
      <alignment horizontal="center" vertical="center"/>
    </xf>
    <xf numFmtId="176" fontId="5" fillId="0" borderId="56" xfId="1" applyNumberFormat="1" applyFont="1" applyFill="1" applyBorder="1" applyAlignment="1">
      <alignment horizontal="center" vertical="center"/>
    </xf>
    <xf numFmtId="0" fontId="5" fillId="0" borderId="56" xfId="1" applyFont="1" applyFill="1" applyBorder="1" applyAlignment="1">
      <alignment horizontal="distributed" vertical="center" justifyLastLine="1"/>
    </xf>
    <xf numFmtId="0" fontId="5" fillId="0" borderId="30" xfId="1" applyFont="1" applyFill="1" applyBorder="1" applyAlignment="1">
      <alignment horizontal="distributed" vertical="center" justifyLastLine="1"/>
    </xf>
    <xf numFmtId="0" fontId="5" fillId="0" borderId="57" xfId="1" applyFont="1" applyFill="1" applyBorder="1" applyAlignment="1">
      <alignment horizontal="distributed" vertical="center" justifyLastLine="1"/>
    </xf>
    <xf numFmtId="189" fontId="5" fillId="0" borderId="32" xfId="0" applyNumberFormat="1" applyFont="1" applyFill="1" applyBorder="1" applyAlignment="1">
      <alignment horizontal="right" vertical="center" shrinkToFit="1"/>
    </xf>
    <xf numFmtId="189" fontId="5" fillId="0" borderId="14" xfId="0" applyNumberFormat="1" applyFont="1" applyFill="1" applyBorder="1" applyAlignment="1">
      <alignment horizontal="right" vertical="center" shrinkToFit="1"/>
    </xf>
    <xf numFmtId="189" fontId="5" fillId="0" borderId="35" xfId="0" applyNumberFormat="1" applyFont="1" applyFill="1" applyBorder="1" applyAlignment="1">
      <alignment horizontal="right" vertical="center" shrinkToFit="1"/>
    </xf>
    <xf numFmtId="190" fontId="5" fillId="0" borderId="14" xfId="0" applyNumberFormat="1" applyFont="1" applyFill="1" applyBorder="1" applyAlignment="1">
      <alignment horizontal="right" vertical="center" shrinkToFit="1"/>
    </xf>
    <xf numFmtId="189" fontId="5" fillId="0" borderId="34" xfId="0" applyNumberFormat="1" applyFont="1" applyFill="1" applyBorder="1" applyAlignment="1">
      <alignment horizontal="right" vertical="center" shrinkToFit="1"/>
    </xf>
    <xf numFmtId="190" fontId="5" fillId="0" borderId="15" xfId="0" applyNumberFormat="1" applyFont="1" applyFill="1" applyBorder="1" applyAlignment="1">
      <alignment horizontal="right" vertical="center" shrinkToFit="1"/>
    </xf>
    <xf numFmtId="189" fontId="5" fillId="3" borderId="34" xfId="0" applyNumberFormat="1" applyFont="1" applyFill="1" applyBorder="1" applyAlignment="1">
      <alignment horizontal="right" vertical="center" shrinkToFit="1"/>
    </xf>
    <xf numFmtId="0" fontId="5" fillId="0" borderId="70" xfId="0" applyFont="1" applyFill="1" applyBorder="1" applyAlignment="1">
      <alignment horizontal="distributed" vertical="center"/>
    </xf>
    <xf numFmtId="0" fontId="5" fillId="0" borderId="55" xfId="0" applyFont="1" applyFill="1" applyBorder="1" applyAlignment="1">
      <alignment horizontal="distributed" vertical="center"/>
    </xf>
    <xf numFmtId="0" fontId="5" fillId="0" borderId="58" xfId="0" applyFont="1" applyFill="1" applyBorder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53" xfId="0" applyFont="1" applyBorder="1" applyAlignment="1">
      <alignment horizontal="distributed" vertical="center"/>
    </xf>
    <xf numFmtId="0" fontId="5" fillId="0" borderId="71" xfId="0" applyFont="1" applyBorder="1" applyAlignment="1">
      <alignment horizontal="distributed" vertical="center"/>
    </xf>
    <xf numFmtId="0" fontId="5" fillId="0" borderId="83" xfId="0" applyFont="1" applyBorder="1" applyAlignment="1">
      <alignment horizontal="distributed" vertical="center"/>
    </xf>
    <xf numFmtId="0" fontId="5" fillId="0" borderId="65" xfId="0" applyFont="1" applyBorder="1" applyAlignment="1">
      <alignment horizontal="distributed" vertical="center"/>
    </xf>
    <xf numFmtId="0" fontId="5" fillId="0" borderId="85" xfId="0" applyFont="1" applyBorder="1" applyAlignment="1">
      <alignment horizontal="distributed" vertical="center"/>
    </xf>
    <xf numFmtId="190" fontId="5" fillId="3" borderId="32" xfId="0" applyNumberFormat="1" applyFont="1" applyFill="1" applyBorder="1" applyAlignment="1">
      <alignment horizontal="right" vertical="center" shrinkToFit="1"/>
    </xf>
    <xf numFmtId="190" fontId="5" fillId="3" borderId="35" xfId="0" applyNumberFormat="1" applyFont="1" applyFill="1" applyBorder="1" applyAlignment="1">
      <alignment horizontal="right" vertical="center" shrinkToFit="1"/>
    </xf>
    <xf numFmtId="190" fontId="5" fillId="3" borderId="55" xfId="0" applyNumberFormat="1" applyFont="1" applyFill="1" applyBorder="1" applyAlignment="1">
      <alignment horizontal="right" vertical="center" shrinkToFit="1"/>
    </xf>
    <xf numFmtId="190" fontId="5" fillId="3" borderId="58" xfId="0" applyNumberFormat="1" applyFont="1" applyFill="1" applyBorder="1" applyAlignment="1">
      <alignment horizontal="right" vertical="center" shrinkToFit="1"/>
    </xf>
    <xf numFmtId="190" fontId="5" fillId="3" borderId="34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90" fontId="5" fillId="0" borderId="34" xfId="0" applyNumberFormat="1" applyFont="1" applyFill="1" applyBorder="1" applyAlignment="1">
      <alignment horizontal="right" vertical="center" shrinkToFit="1"/>
    </xf>
    <xf numFmtId="0" fontId="5" fillId="0" borderId="3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189" fontId="5" fillId="0" borderId="32" xfId="0" applyNumberFormat="1" applyFont="1" applyFill="1" applyBorder="1" applyAlignment="1">
      <alignment horizontal="right" vertical="center"/>
    </xf>
    <xf numFmtId="190" fontId="5" fillId="0" borderId="32" xfId="0" applyNumberFormat="1" applyFont="1" applyFill="1" applyBorder="1" applyAlignment="1">
      <alignment horizontal="right" vertical="center"/>
    </xf>
    <xf numFmtId="190" fontId="5" fillId="0" borderId="15" xfId="0" applyNumberFormat="1" applyFont="1" applyFill="1" applyBorder="1" applyAlignment="1">
      <alignment horizontal="right" vertical="center"/>
    </xf>
    <xf numFmtId="0" fontId="5" fillId="0" borderId="26" xfId="0" applyFont="1" applyBorder="1" applyAlignment="1">
      <alignment horizontal="distributed" vertical="center"/>
    </xf>
    <xf numFmtId="0" fontId="5" fillId="0" borderId="33" xfId="0" applyFont="1" applyBorder="1" applyAlignment="1">
      <alignment horizontal="distributed" vertical="center"/>
    </xf>
    <xf numFmtId="0" fontId="5" fillId="0" borderId="84" xfId="0" applyFont="1" applyBorder="1" applyAlignment="1">
      <alignment horizontal="distributed" vertical="center"/>
    </xf>
    <xf numFmtId="189" fontId="5" fillId="0" borderId="14" xfId="0" applyNumberFormat="1" applyFont="1" applyBorder="1" applyAlignment="1">
      <alignment horizontal="right" vertical="center" shrinkToFit="1"/>
    </xf>
    <xf numFmtId="189" fontId="5" fillId="0" borderId="35" xfId="0" applyNumberFormat="1" applyFont="1" applyBorder="1" applyAlignment="1">
      <alignment horizontal="right" vertical="center" shrinkToFit="1"/>
    </xf>
    <xf numFmtId="189" fontId="5" fillId="0" borderId="25" xfId="0" applyNumberFormat="1" applyFont="1" applyBorder="1" applyAlignment="1">
      <alignment horizontal="right" vertical="center" shrinkToFit="1"/>
    </xf>
    <xf numFmtId="189" fontId="5" fillId="0" borderId="24" xfId="0" applyNumberFormat="1" applyFont="1" applyBorder="1" applyAlignment="1">
      <alignment horizontal="right" vertical="center" shrinkToFit="1"/>
    </xf>
    <xf numFmtId="189" fontId="5" fillId="0" borderId="26" xfId="0" applyNumberFormat="1" applyFont="1" applyBorder="1" applyAlignment="1">
      <alignment horizontal="right" vertical="center" shrinkToFit="1"/>
    </xf>
    <xf numFmtId="0" fontId="5" fillId="0" borderId="34" xfId="0" applyFont="1" applyFill="1" applyBorder="1" applyAlignment="1">
      <alignment horizontal="distributed" vertical="center"/>
    </xf>
    <xf numFmtId="0" fontId="5" fillId="0" borderId="14" xfId="0" applyFont="1" applyFill="1" applyBorder="1" applyAlignment="1">
      <alignment horizontal="distributed" vertical="center"/>
    </xf>
    <xf numFmtId="0" fontId="5" fillId="0" borderId="15" xfId="0" applyFont="1" applyFill="1" applyBorder="1" applyAlignment="1">
      <alignment horizontal="distributed" vertical="center"/>
    </xf>
    <xf numFmtId="0" fontId="5" fillId="0" borderId="32" xfId="0" applyFont="1" applyFill="1" applyBorder="1" applyAlignment="1">
      <alignment horizontal="center" vertical="center" justifyLastLine="1"/>
    </xf>
    <xf numFmtId="0" fontId="5" fillId="0" borderId="14" xfId="0" applyFont="1" applyFill="1" applyBorder="1" applyAlignment="1">
      <alignment horizontal="center" vertical="center" justifyLastLine="1"/>
    </xf>
    <xf numFmtId="0" fontId="5" fillId="0" borderId="15" xfId="0" applyFont="1" applyFill="1" applyBorder="1" applyAlignment="1">
      <alignment horizontal="center" vertical="center" justifyLastLine="1"/>
    </xf>
    <xf numFmtId="190" fontId="5" fillId="2" borderId="37" xfId="0" applyNumberFormat="1" applyFont="1" applyFill="1" applyBorder="1" applyAlignment="1">
      <alignment horizontal="right" vertical="center" shrinkToFit="1"/>
    </xf>
    <xf numFmtId="49" fontId="0" fillId="0" borderId="0" xfId="0" applyNumberFormat="1" applyAlignment="1">
      <alignment vertical="center"/>
    </xf>
    <xf numFmtId="191" fontId="5" fillId="2" borderId="51" xfId="0" applyNumberFormat="1" applyFont="1" applyFill="1" applyBorder="1" applyAlignment="1">
      <alignment horizontal="right" vertical="center" shrinkToFit="1"/>
    </xf>
    <xf numFmtId="191" fontId="5" fillId="2" borderId="46" xfId="0" applyNumberFormat="1" applyFont="1" applyFill="1" applyBorder="1" applyAlignment="1">
      <alignment horizontal="right" vertical="center" shrinkToFit="1"/>
    </xf>
    <xf numFmtId="191" fontId="5" fillId="0" borderId="51" xfId="0" applyNumberFormat="1" applyFont="1" applyFill="1" applyBorder="1" applyAlignment="1">
      <alignment horizontal="right" vertical="center" shrinkToFit="1"/>
    </xf>
    <xf numFmtId="191" fontId="5" fillId="0" borderId="46" xfId="0" applyNumberFormat="1" applyFont="1" applyFill="1" applyBorder="1" applyAlignment="1">
      <alignment horizontal="right" vertical="center" shrinkToFit="1"/>
    </xf>
    <xf numFmtId="191" fontId="5" fillId="0" borderId="54" xfId="0" applyNumberFormat="1" applyFont="1" applyFill="1" applyBorder="1" applyAlignment="1">
      <alignment horizontal="right" vertical="center" shrinkToFit="1"/>
    </xf>
    <xf numFmtId="191" fontId="5" fillId="0" borderId="52" xfId="0" applyNumberFormat="1" applyFont="1" applyFill="1" applyBorder="1" applyAlignment="1">
      <alignment horizontal="right" vertical="center" shrinkToFit="1"/>
    </xf>
    <xf numFmtId="190" fontId="5" fillId="0" borderId="52" xfId="0" applyNumberFormat="1" applyFont="1" applyFill="1" applyBorder="1" applyAlignment="1">
      <alignment horizontal="right" vertical="center" shrinkToFit="1"/>
    </xf>
    <xf numFmtId="190" fontId="5" fillId="0" borderId="112" xfId="0" applyNumberFormat="1" applyFont="1" applyFill="1" applyBorder="1" applyAlignment="1">
      <alignment horizontal="right" vertical="center" shrinkToFit="1"/>
    </xf>
    <xf numFmtId="191" fontId="5" fillId="2" borderId="54" xfId="0" applyNumberFormat="1" applyFont="1" applyFill="1" applyBorder="1" applyAlignment="1">
      <alignment horizontal="right" vertical="center" shrinkToFit="1"/>
    </xf>
    <xf numFmtId="191" fontId="5" fillId="2" borderId="52" xfId="0" applyNumberFormat="1" applyFont="1" applyFill="1" applyBorder="1" applyAlignment="1">
      <alignment horizontal="right" vertical="center" shrinkToFit="1"/>
    </xf>
    <xf numFmtId="190" fontId="5" fillId="2" borderId="52" xfId="0" applyNumberFormat="1" applyFont="1" applyFill="1" applyBorder="1" applyAlignment="1">
      <alignment horizontal="right" vertical="center" shrinkToFit="1"/>
    </xf>
    <xf numFmtId="190" fontId="5" fillId="2" borderId="112" xfId="0" applyNumberFormat="1" applyFont="1" applyFill="1" applyBorder="1" applyAlignment="1">
      <alignment horizontal="right" vertical="center" shrinkToFit="1"/>
    </xf>
    <xf numFmtId="191" fontId="5" fillId="3" borderId="51" xfId="0" applyNumberFormat="1" applyFont="1" applyFill="1" applyBorder="1" applyAlignment="1">
      <alignment horizontal="right" vertical="center" shrinkToFit="1"/>
    </xf>
    <xf numFmtId="191" fontId="5" fillId="3" borderId="46" xfId="0" applyNumberFormat="1" applyFont="1" applyFill="1" applyBorder="1" applyAlignment="1">
      <alignment horizontal="right" vertical="center" shrinkToFit="1"/>
    </xf>
    <xf numFmtId="190" fontId="5" fillId="0" borderId="114" xfId="0" applyNumberFormat="1" applyFont="1" applyFill="1" applyBorder="1" applyAlignment="1">
      <alignment horizontal="right" vertical="center" shrinkToFit="1"/>
    </xf>
    <xf numFmtId="190" fontId="5" fillId="0" borderId="115" xfId="0" applyNumberFormat="1" applyFont="1" applyFill="1" applyBorder="1" applyAlignment="1">
      <alignment horizontal="right" vertical="center" shrinkToFit="1"/>
    </xf>
    <xf numFmtId="191" fontId="5" fillId="0" borderId="9" xfId="0" applyNumberFormat="1" applyFont="1" applyFill="1" applyBorder="1" applyAlignment="1">
      <alignment horizontal="right" vertical="center" shrinkToFit="1"/>
    </xf>
    <xf numFmtId="191" fontId="5" fillId="2" borderId="3" xfId="0" applyNumberFormat="1" applyFont="1" applyFill="1" applyBorder="1" applyAlignment="1">
      <alignment horizontal="right" vertical="center" shrinkToFit="1"/>
    </xf>
    <xf numFmtId="191" fontId="5" fillId="2" borderId="9" xfId="0" applyNumberFormat="1" applyFont="1" applyFill="1" applyBorder="1" applyAlignment="1">
      <alignment horizontal="right" vertical="center" shrinkToFit="1"/>
    </xf>
    <xf numFmtId="190" fontId="5" fillId="2" borderId="9" xfId="0" applyNumberFormat="1" applyFont="1" applyFill="1" applyBorder="1" applyAlignment="1">
      <alignment horizontal="right" vertical="center" shrinkToFit="1"/>
    </xf>
    <xf numFmtId="190" fontId="5" fillId="2" borderId="53" xfId="0" applyNumberFormat="1" applyFont="1" applyFill="1" applyBorder="1" applyAlignment="1">
      <alignment horizontal="right" vertical="center" shrinkToFit="1"/>
    </xf>
    <xf numFmtId="191" fontId="5" fillId="0" borderId="3" xfId="0" applyNumberFormat="1" applyFont="1" applyFill="1" applyBorder="1" applyAlignment="1">
      <alignment horizontal="right" vertical="center" shrinkToFit="1"/>
    </xf>
    <xf numFmtId="0" fontId="5" fillId="0" borderId="6" xfId="0" applyFont="1" applyFill="1" applyBorder="1" applyAlignment="1">
      <alignment horizontal="center" vertical="distributed" textRotation="255" justifyLastLine="1"/>
    </xf>
    <xf numFmtId="0" fontId="3" fillId="0" borderId="6" xfId="0" applyFont="1" applyFill="1" applyBorder="1" applyAlignment="1">
      <alignment horizontal="center" vertical="distributed" textRotation="255" justifyLastLine="1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191" fontId="5" fillId="0" borderId="113" xfId="0" applyNumberFormat="1" applyFont="1" applyFill="1" applyBorder="1" applyAlignment="1">
      <alignment horizontal="right" vertical="center" shrinkToFit="1"/>
    </xf>
    <xf numFmtId="191" fontId="5" fillId="0" borderId="114" xfId="0" applyNumberFormat="1" applyFont="1" applyFill="1" applyBorder="1" applyAlignment="1">
      <alignment horizontal="right" vertical="center" shrinkToFit="1"/>
    </xf>
    <xf numFmtId="0" fontId="5" fillId="0" borderId="0" xfId="0" applyFont="1" applyFill="1" applyAlignment="1">
      <alignment vertical="center"/>
    </xf>
    <xf numFmtId="0" fontId="5" fillId="0" borderId="67" xfId="0" applyFont="1" applyFill="1" applyBorder="1" applyAlignment="1">
      <alignment vertical="center"/>
    </xf>
    <xf numFmtId="0" fontId="5" fillId="0" borderId="68" xfId="0" applyFont="1" applyFill="1" applyBorder="1" applyAlignment="1">
      <alignment vertical="center"/>
    </xf>
    <xf numFmtId="0" fontId="5" fillId="0" borderId="69" xfId="0" applyFont="1" applyFill="1" applyBorder="1" applyAlignment="1">
      <alignment vertical="center"/>
    </xf>
    <xf numFmtId="0" fontId="5" fillId="0" borderId="33" xfId="0" applyFont="1" applyFill="1" applyBorder="1" applyAlignment="1">
      <alignment horizontal="distributed" vertical="center" justifyLastLine="1"/>
    </xf>
    <xf numFmtId="0" fontId="5" fillId="0" borderId="12" xfId="0" applyFont="1" applyBorder="1" applyAlignment="1">
      <alignment horizontal="distributed" vertical="center" justifyLastLine="1"/>
    </xf>
    <xf numFmtId="0" fontId="5" fillId="0" borderId="13" xfId="0" applyFont="1" applyBorder="1" applyAlignment="1">
      <alignment horizontal="distributed" vertical="center" justifyLastLine="1"/>
    </xf>
    <xf numFmtId="191" fontId="5" fillId="3" borderId="70" xfId="0" applyNumberFormat="1" applyFont="1" applyFill="1" applyBorder="1" applyAlignment="1">
      <alignment horizontal="right" vertical="center" shrinkToFit="1"/>
    </xf>
    <xf numFmtId="191" fontId="5" fillId="3" borderId="55" xfId="0" applyNumberFormat="1" applyFont="1" applyFill="1" applyBorder="1" applyAlignment="1">
      <alignment horizontal="right" vertical="center" shrinkToFit="1"/>
    </xf>
    <xf numFmtId="0" fontId="5" fillId="0" borderId="44" xfId="0" applyFont="1" applyFill="1" applyBorder="1" applyAlignment="1">
      <alignment horizontal="distributed" vertical="center" wrapText="1" justifyLastLine="1"/>
    </xf>
    <xf numFmtId="0" fontId="5" fillId="0" borderId="10" xfId="0" applyFont="1" applyFill="1" applyBorder="1" applyAlignment="1">
      <alignment horizontal="distributed" vertical="center" wrapText="1" justifyLastLine="1"/>
    </xf>
    <xf numFmtId="0" fontId="5" fillId="0" borderId="45" xfId="0" applyFont="1" applyFill="1" applyBorder="1" applyAlignment="1">
      <alignment horizontal="distributed" vertical="center" wrapText="1" justifyLastLine="1"/>
    </xf>
    <xf numFmtId="0" fontId="5" fillId="0" borderId="19" xfId="0" applyFont="1" applyFill="1" applyBorder="1" applyAlignment="1">
      <alignment horizontal="distributed" vertical="center" wrapText="1" justifyLastLine="1"/>
    </xf>
    <xf numFmtId="0" fontId="5" fillId="0" borderId="20" xfId="0" applyFont="1" applyFill="1" applyBorder="1" applyAlignment="1">
      <alignment horizontal="distributed" vertical="center" wrapText="1" justifyLastLine="1"/>
    </xf>
    <xf numFmtId="0" fontId="5" fillId="0" borderId="21" xfId="0" applyFont="1" applyFill="1" applyBorder="1" applyAlignment="1">
      <alignment horizontal="distributed" vertical="center" wrapText="1" justifyLastLine="1"/>
    </xf>
    <xf numFmtId="191" fontId="5" fillId="0" borderId="49" xfId="0" applyNumberFormat="1" applyFont="1" applyFill="1" applyBorder="1" applyAlignment="1">
      <alignment horizontal="right" vertical="center" shrinkToFit="1"/>
    </xf>
    <xf numFmtId="191" fontId="5" fillId="0" borderId="47" xfId="0" applyNumberFormat="1" applyFont="1" applyFill="1" applyBorder="1" applyAlignment="1">
      <alignment horizontal="right" vertical="center" shrinkToFit="1"/>
    </xf>
    <xf numFmtId="0" fontId="5" fillId="0" borderId="32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 justifyLastLine="1"/>
    </xf>
    <xf numFmtId="0" fontId="5" fillId="0" borderId="19" xfId="0" applyFont="1" applyFill="1" applyBorder="1" applyAlignment="1">
      <alignment horizontal="distributed" vertical="center" justifyLastLine="1"/>
    </xf>
    <xf numFmtId="0" fontId="5" fillId="0" borderId="20" xfId="0" applyFont="1" applyFill="1" applyBorder="1" applyAlignment="1">
      <alignment horizontal="distributed" vertical="center" justifyLastLine="1"/>
    </xf>
    <xf numFmtId="189" fontId="5" fillId="3" borderId="34" xfId="1" applyNumberFormat="1" applyFont="1" applyFill="1" applyBorder="1" applyAlignment="1">
      <alignment horizontal="right" vertical="center" shrinkToFit="1"/>
    </xf>
    <xf numFmtId="189" fontId="5" fillId="3" borderId="14" xfId="1" applyNumberFormat="1" applyFont="1" applyFill="1" applyBorder="1" applyAlignment="1">
      <alignment horizontal="right" vertical="center" shrinkToFit="1"/>
    </xf>
    <xf numFmtId="189" fontId="5" fillId="3" borderId="35" xfId="1" applyNumberFormat="1" applyFont="1" applyFill="1" applyBorder="1" applyAlignment="1">
      <alignment horizontal="right" vertical="center" shrinkToFit="1"/>
    </xf>
    <xf numFmtId="189" fontId="5" fillId="3" borderId="32" xfId="1" applyNumberFormat="1" applyFont="1" applyFill="1" applyBorder="1" applyAlignment="1">
      <alignment horizontal="right" vertical="center" shrinkToFit="1"/>
    </xf>
    <xf numFmtId="190" fontId="5" fillId="3" borderId="14" xfId="1" applyNumberFormat="1" applyFont="1" applyFill="1" applyBorder="1" applyAlignment="1">
      <alignment horizontal="right" vertical="center" shrinkToFit="1"/>
    </xf>
    <xf numFmtId="190" fontId="5" fillId="3" borderId="15" xfId="1" applyNumberFormat="1" applyFont="1" applyFill="1" applyBorder="1" applyAlignment="1">
      <alignment horizontal="right" vertical="center" shrinkToFit="1"/>
    </xf>
    <xf numFmtId="190" fontId="5" fillId="13" borderId="47" xfId="0" applyNumberFormat="1" applyFont="1" applyFill="1" applyBorder="1" applyAlignment="1">
      <alignment horizontal="right" vertical="center" shrinkToFit="1"/>
    </xf>
    <xf numFmtId="190" fontId="5" fillId="13" borderId="48" xfId="0" applyNumberFormat="1" applyFont="1" applyFill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0" fontId="5" fillId="0" borderId="72" xfId="0" applyFont="1" applyBorder="1" applyAlignment="1">
      <alignment horizontal="distributed" vertical="center" justifyLastLine="1"/>
    </xf>
    <xf numFmtId="0" fontId="5" fillId="0" borderId="0" xfId="0" applyFont="1" applyBorder="1" applyAlignment="1">
      <alignment horizontal="distributed" vertical="center" justifyLastLine="1"/>
    </xf>
    <xf numFmtId="0" fontId="5" fillId="0" borderId="92" xfId="0" applyFont="1" applyBorder="1" applyAlignment="1">
      <alignment horizontal="distributed" vertical="center" justifyLastLine="1"/>
    </xf>
    <xf numFmtId="191" fontId="5" fillId="13" borderId="49" xfId="0" applyNumberFormat="1" applyFont="1" applyFill="1" applyBorder="1" applyAlignment="1">
      <alignment horizontal="right" vertical="center" shrinkToFit="1"/>
    </xf>
    <xf numFmtId="191" fontId="5" fillId="13" borderId="47" xfId="0" applyNumberFormat="1" applyFont="1" applyFill="1" applyBorder="1" applyAlignment="1">
      <alignment horizontal="right" vertical="center" shrinkToFit="1"/>
    </xf>
    <xf numFmtId="0" fontId="5" fillId="0" borderId="37" xfId="0" applyFont="1" applyBorder="1" applyAlignment="1">
      <alignment horizontal="distributed" vertical="center"/>
    </xf>
    <xf numFmtId="0" fontId="5" fillId="0" borderId="92" xfId="0" applyFont="1" applyFill="1" applyBorder="1" applyAlignment="1">
      <alignment horizontal="distributed" vertical="center"/>
    </xf>
    <xf numFmtId="190" fontId="5" fillId="0" borderId="28" xfId="0" applyNumberFormat="1" applyFont="1" applyFill="1" applyBorder="1" applyAlignment="1">
      <alignment horizontal="right" vertical="center" shrinkToFit="1"/>
    </xf>
    <xf numFmtId="190" fontId="5" fillId="0" borderId="24" xfId="0" applyNumberFormat="1" applyFont="1" applyBorder="1" applyAlignment="1">
      <alignment horizontal="right" vertical="center" shrinkToFit="1"/>
    </xf>
    <xf numFmtId="190" fontId="5" fillId="0" borderId="26" xfId="0" applyNumberFormat="1" applyFont="1" applyBorder="1" applyAlignment="1">
      <alignment horizontal="right" vertical="center" shrinkToFit="1"/>
    </xf>
    <xf numFmtId="0" fontId="0" fillId="0" borderId="3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191" fontId="5" fillId="13" borderId="46" xfId="0" applyNumberFormat="1" applyFont="1" applyFill="1" applyBorder="1" applyAlignment="1">
      <alignment horizontal="right" vertical="center" shrinkToFit="1"/>
    </xf>
    <xf numFmtId="190" fontId="5" fillId="13" borderId="46" xfId="0" applyNumberFormat="1" applyFont="1" applyFill="1" applyBorder="1" applyAlignment="1">
      <alignment horizontal="right" vertical="center" shrinkToFit="1"/>
    </xf>
    <xf numFmtId="190" fontId="5" fillId="13" borderId="50" xfId="0" applyNumberFormat="1" applyFont="1" applyFill="1" applyBorder="1" applyAlignment="1">
      <alignment horizontal="right" vertical="center" shrinkToFit="1"/>
    </xf>
    <xf numFmtId="0" fontId="5" fillId="0" borderId="65" xfId="0" applyFont="1" applyBorder="1" applyAlignment="1">
      <alignment horizontal="distributed" vertical="center" justifyLastLine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191" fontId="5" fillId="13" borderId="51" xfId="0" applyNumberFormat="1" applyFont="1" applyFill="1" applyBorder="1" applyAlignment="1">
      <alignment horizontal="right" vertical="center" shrinkToFit="1"/>
    </xf>
    <xf numFmtId="0" fontId="5" fillId="0" borderId="32" xfId="0" applyFont="1" applyBorder="1" applyAlignment="1">
      <alignment horizontal="distributed" vertical="center"/>
    </xf>
    <xf numFmtId="191" fontId="5" fillId="13" borderId="70" xfId="0" applyNumberFormat="1" applyFont="1" applyFill="1" applyBorder="1" applyAlignment="1">
      <alignment horizontal="right" vertical="center" shrinkToFit="1"/>
    </xf>
    <xf numFmtId="191" fontId="5" fillId="13" borderId="55" xfId="0" applyNumberFormat="1" applyFont="1" applyFill="1" applyBorder="1" applyAlignment="1">
      <alignment horizontal="right" vertical="center" shrinkToFit="1"/>
    </xf>
    <xf numFmtId="190" fontId="5" fillId="13" borderId="55" xfId="0" applyNumberFormat="1" applyFont="1" applyFill="1" applyBorder="1" applyAlignment="1">
      <alignment horizontal="right" vertical="center" shrinkToFit="1"/>
    </xf>
    <xf numFmtId="190" fontId="5" fillId="13" borderId="58" xfId="0" applyNumberFormat="1" applyFont="1" applyFill="1" applyBorder="1" applyAlignment="1">
      <alignment horizontal="right" vertical="center" shrinkToFit="1"/>
    </xf>
    <xf numFmtId="0" fontId="5" fillId="0" borderId="14" xfId="1" applyFont="1" applyFill="1" applyBorder="1" applyAlignment="1">
      <alignment horizontal="distributed" vertical="distributed" shrinkToFit="1"/>
    </xf>
    <xf numFmtId="0" fontId="5" fillId="0" borderId="15" xfId="1" applyFont="1" applyFill="1" applyBorder="1" applyAlignment="1">
      <alignment horizontal="distributed" vertical="distributed" shrinkToFit="1"/>
    </xf>
    <xf numFmtId="189" fontId="5" fillId="3" borderId="70" xfId="0" applyNumberFormat="1" applyFont="1" applyFill="1" applyBorder="1" applyAlignment="1">
      <alignment horizontal="right" vertical="center" shrinkToFit="1"/>
    </xf>
    <xf numFmtId="189" fontId="5" fillId="3" borderId="55" xfId="0" applyNumberFormat="1" applyFont="1" applyFill="1" applyBorder="1" applyAlignment="1">
      <alignment horizontal="right" vertical="center" shrinkToFit="1"/>
    </xf>
    <xf numFmtId="0" fontId="5" fillId="0" borderId="12" xfId="1" applyFont="1" applyFill="1" applyBorder="1" applyAlignment="1">
      <alignment horizontal="distributed" vertical="distributed" shrinkToFit="1"/>
    </xf>
    <xf numFmtId="0" fontId="5" fillId="0" borderId="13" xfId="1" applyFont="1" applyFill="1" applyBorder="1" applyAlignment="1">
      <alignment horizontal="distributed" vertical="distributed" shrinkToFit="1"/>
    </xf>
    <xf numFmtId="189" fontId="5" fillId="3" borderId="51" xfId="0" applyNumberFormat="1" applyFont="1" applyFill="1" applyBorder="1" applyAlignment="1">
      <alignment horizontal="right" vertical="center" shrinkToFit="1"/>
    </xf>
    <xf numFmtId="189" fontId="5" fillId="3" borderId="46" xfId="0" applyNumberFormat="1" applyFont="1" applyFill="1" applyBorder="1" applyAlignment="1">
      <alignment horizontal="right" vertical="center" shrinkToFit="1"/>
    </xf>
    <xf numFmtId="0" fontId="5" fillId="0" borderId="28" xfId="1" applyFont="1" applyFill="1" applyBorder="1" applyAlignment="1">
      <alignment horizontal="distributed" vertical="center" justifyLastLine="1"/>
    </xf>
    <xf numFmtId="0" fontId="5" fillId="0" borderId="25" xfId="1" applyFont="1" applyFill="1" applyBorder="1" applyAlignment="1">
      <alignment horizontal="distributed" justifyLastLine="1"/>
    </xf>
    <xf numFmtId="0" fontId="5" fillId="0" borderId="27" xfId="1" applyFont="1" applyFill="1" applyBorder="1" applyAlignment="1">
      <alignment horizontal="distributed" justifyLastLine="1"/>
    </xf>
    <xf numFmtId="176" fontId="5" fillId="0" borderId="34" xfId="1" applyNumberFormat="1" applyFont="1" applyFill="1" applyBorder="1" applyAlignment="1">
      <alignment horizontal="center" vertical="center"/>
    </xf>
    <xf numFmtId="176" fontId="5" fillId="0" borderId="14" xfId="1" applyNumberFormat="1" applyFont="1" applyFill="1" applyBorder="1" applyAlignment="1">
      <alignment horizontal="center" vertical="center"/>
    </xf>
    <xf numFmtId="176" fontId="5" fillId="0" borderId="32" xfId="1" applyNumberFormat="1" applyFont="1" applyFill="1" applyBorder="1" applyAlignment="1">
      <alignment horizontal="center" vertical="center"/>
    </xf>
    <xf numFmtId="176" fontId="5" fillId="0" borderId="35" xfId="1" applyNumberFormat="1" applyFont="1" applyFill="1" applyBorder="1" applyAlignment="1">
      <alignment horizontal="center" vertical="center"/>
    </xf>
    <xf numFmtId="0" fontId="5" fillId="0" borderId="32" xfId="1" applyFont="1" applyFill="1" applyBorder="1" applyAlignment="1">
      <alignment horizontal="distributed" vertical="center" justifyLastLine="1"/>
    </xf>
    <xf numFmtId="0" fontId="5" fillId="0" borderId="14" xfId="1" applyFont="1" applyFill="1" applyBorder="1" applyAlignment="1">
      <alignment horizontal="distributed" vertical="center" justifyLastLine="1"/>
    </xf>
    <xf numFmtId="0" fontId="5" fillId="0" borderId="15" xfId="1" applyFont="1" applyFill="1" applyBorder="1" applyAlignment="1">
      <alignment horizontal="distributed" vertical="center" justifyLastLine="1"/>
    </xf>
    <xf numFmtId="0" fontId="5" fillId="0" borderId="52" xfId="0" applyFont="1" applyBorder="1" applyAlignment="1">
      <alignment horizontal="center" vertical="distributed" textRotation="255" justifyLastLine="1"/>
    </xf>
    <xf numFmtId="0" fontId="5" fillId="0" borderId="7" xfId="0" applyFont="1" applyBorder="1" applyAlignment="1">
      <alignment horizontal="center" vertical="distributed" textRotation="255" justifyLastLine="1"/>
    </xf>
    <xf numFmtId="0" fontId="5" fillId="0" borderId="9" xfId="0" applyFont="1" applyBorder="1" applyAlignment="1">
      <alignment horizontal="center" vertical="distributed" textRotation="255" justifyLastLine="1"/>
    </xf>
    <xf numFmtId="0" fontId="5" fillId="0" borderId="54" xfId="0" applyFont="1" applyBorder="1" applyAlignment="1">
      <alignment horizontal="center" vertical="distributed" textRotation="255" justifyLastLine="1" shrinkToFit="1"/>
    </xf>
    <xf numFmtId="0" fontId="5" fillId="0" borderId="6" xfId="0" applyFont="1" applyBorder="1" applyAlignment="1">
      <alignment horizontal="center" vertical="distributed" textRotation="255" justifyLastLine="1" shrinkToFit="1"/>
    </xf>
    <xf numFmtId="0" fontId="5" fillId="0" borderId="3" xfId="0" applyFont="1" applyBorder="1" applyAlignment="1">
      <alignment horizontal="center" vertical="distributed" textRotation="255" justifyLastLine="1" shrinkToFit="1"/>
    </xf>
    <xf numFmtId="0" fontId="5" fillId="0" borderId="54" xfId="1" applyFont="1" applyFill="1" applyBorder="1" applyAlignment="1">
      <alignment horizontal="center" vertical="distributed" textRotation="255" justifyLastLine="1"/>
    </xf>
    <xf numFmtId="0" fontId="5" fillId="0" borderId="6" xfId="1" applyFont="1" applyFill="1" applyBorder="1" applyAlignment="1">
      <alignment horizontal="center" vertical="distributed" textRotation="255" justifyLastLine="1"/>
    </xf>
    <xf numFmtId="0" fontId="5" fillId="0" borderId="4" xfId="1" applyFont="1" applyFill="1" applyBorder="1" applyAlignment="1">
      <alignment horizontal="center" vertical="distributed" textRotation="255" justifyLastLine="1"/>
    </xf>
    <xf numFmtId="0" fontId="5" fillId="0" borderId="38" xfId="1" applyFont="1" applyFill="1" applyBorder="1" applyAlignment="1">
      <alignment vertical="center"/>
    </xf>
    <xf numFmtId="0" fontId="5" fillId="0" borderId="39" xfId="1" applyFont="1" applyFill="1" applyBorder="1" applyAlignment="1">
      <alignment vertical="center"/>
    </xf>
    <xf numFmtId="0" fontId="5" fillId="0" borderId="40" xfId="1" applyFont="1" applyFill="1" applyBorder="1" applyAlignment="1">
      <alignment vertical="center"/>
    </xf>
    <xf numFmtId="0" fontId="5" fillId="0" borderId="41" xfId="1" applyFont="1" applyFill="1" applyBorder="1" applyAlignment="1">
      <alignment vertical="center"/>
    </xf>
    <xf numFmtId="0" fontId="5" fillId="0" borderId="42" xfId="1" applyFont="1" applyFill="1" applyBorder="1" applyAlignment="1">
      <alignment vertical="center"/>
    </xf>
    <xf numFmtId="0" fontId="5" fillId="0" borderId="43" xfId="1" applyFont="1" applyFill="1" applyBorder="1" applyAlignment="1">
      <alignment vertical="center"/>
    </xf>
    <xf numFmtId="189" fontId="5" fillId="13" borderId="51" xfId="0" applyNumberFormat="1" applyFont="1" applyFill="1" applyBorder="1" applyAlignment="1">
      <alignment horizontal="right" vertical="center" shrinkToFit="1"/>
    </xf>
    <xf numFmtId="189" fontId="5" fillId="13" borderId="46" xfId="0" applyNumberFormat="1" applyFont="1" applyFill="1" applyBorder="1" applyAlignment="1">
      <alignment horizontal="right" vertical="center" shrinkToFit="1"/>
    </xf>
    <xf numFmtId="0" fontId="5" fillId="0" borderId="54" xfId="1" applyFont="1" applyFill="1" applyBorder="1" applyAlignment="1">
      <alignment horizontal="center" vertical="distributed" textRotation="255" justifyLastLine="1" shrinkToFit="1"/>
    </xf>
    <xf numFmtId="0" fontId="5" fillId="0" borderId="6" xfId="1" applyFont="1" applyFill="1" applyBorder="1" applyAlignment="1">
      <alignment horizontal="center" vertical="distributed" textRotation="255" justifyLastLine="1" shrinkToFit="1"/>
    </xf>
    <xf numFmtId="0" fontId="5" fillId="0" borderId="4" xfId="1" applyFont="1" applyFill="1" applyBorder="1" applyAlignment="1">
      <alignment horizontal="center" vertical="distributed" textRotation="255" justifyLastLine="1" shrinkToFit="1"/>
    </xf>
    <xf numFmtId="0" fontId="5" fillId="0" borderId="52" xfId="1" applyFont="1" applyFill="1" applyBorder="1" applyAlignment="1">
      <alignment horizontal="center" vertical="distributed" textRotation="255" justifyLastLine="1" shrinkToFit="1"/>
    </xf>
    <xf numFmtId="0" fontId="5" fillId="0" borderId="7" xfId="1" applyFont="1" applyFill="1" applyBorder="1" applyAlignment="1">
      <alignment horizontal="center" vertical="distributed" textRotation="255" justifyLastLine="1" shrinkToFit="1"/>
    </xf>
    <xf numFmtId="0" fontId="5" fillId="0" borderId="9" xfId="1" applyFont="1" applyFill="1" applyBorder="1" applyAlignment="1">
      <alignment horizontal="center" vertical="distributed" textRotation="255" justifyLastLine="1" shrinkToFit="1"/>
    </xf>
    <xf numFmtId="0" fontId="5" fillId="0" borderId="25" xfId="1" applyFont="1" applyFill="1" applyBorder="1" applyAlignment="1">
      <alignment horizontal="distributed" vertical="distributed" shrinkToFit="1"/>
    </xf>
    <xf numFmtId="0" fontId="5" fillId="0" borderId="27" xfId="1" applyFont="1" applyFill="1" applyBorder="1" applyAlignment="1">
      <alignment horizontal="distributed" vertical="distributed" shrinkToFit="1"/>
    </xf>
    <xf numFmtId="0" fontId="5" fillId="0" borderId="83" xfId="1" applyFont="1" applyFill="1" applyBorder="1" applyAlignment="1">
      <alignment horizontal="center" vertical="distributed" textRotation="255" justifyLastLine="1" shrinkToFit="1"/>
    </xf>
    <xf numFmtId="0" fontId="5" fillId="0" borderId="71" xfId="0" applyFont="1" applyBorder="1" applyAlignment="1">
      <alignment horizontal="center" vertical="center" textRotation="255" shrinkToFit="1"/>
    </xf>
    <xf numFmtId="0" fontId="1" fillId="0" borderId="6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textRotation="255" shrinkToFit="1"/>
    </xf>
    <xf numFmtId="0" fontId="5" fillId="0" borderId="32" xfId="0" applyFont="1" applyBorder="1" applyAlignment="1">
      <alignment horizontal="distributed" vertical="center" shrinkToFit="1"/>
    </xf>
    <xf numFmtId="0" fontId="5" fillId="0" borderId="14" xfId="0" applyFont="1" applyBorder="1" applyAlignment="1">
      <alignment horizontal="distributed" vertical="center" shrinkToFit="1"/>
    </xf>
    <xf numFmtId="0" fontId="5" fillId="0" borderId="15" xfId="0" applyFont="1" applyBorder="1" applyAlignment="1">
      <alignment horizontal="distributed" vertical="center" shrinkToFit="1"/>
    </xf>
    <xf numFmtId="189" fontId="5" fillId="13" borderId="70" xfId="0" applyNumberFormat="1" applyFont="1" applyFill="1" applyBorder="1" applyAlignment="1">
      <alignment horizontal="right" vertical="center" shrinkToFit="1"/>
    </xf>
    <xf numFmtId="189" fontId="5" fillId="13" borderId="55" xfId="0" applyNumberFormat="1" applyFont="1" applyFill="1" applyBorder="1" applyAlignment="1">
      <alignment horizontal="right" vertical="center" shrinkToFit="1"/>
    </xf>
    <xf numFmtId="0" fontId="5" fillId="0" borderId="83" xfId="0" applyFont="1" applyBorder="1" applyAlignment="1">
      <alignment horizontal="center" vertical="distributed" textRotation="255" justifyLastLine="1"/>
    </xf>
    <xf numFmtId="0" fontId="1" fillId="0" borderId="7" xfId="0" applyFont="1" applyBorder="1" applyAlignment="1">
      <alignment horizontal="center" vertical="distributed" textRotation="255" justifyLastLine="1"/>
    </xf>
    <xf numFmtId="0" fontId="1" fillId="0" borderId="9" xfId="0" applyFont="1" applyBorder="1" applyAlignment="1">
      <alignment horizontal="center" vertical="distributed" textRotation="255" justifyLastLine="1"/>
    </xf>
    <xf numFmtId="0" fontId="5" fillId="0" borderId="24" xfId="0" applyFont="1" applyBorder="1" applyAlignment="1">
      <alignment horizontal="distributed" vertical="center"/>
    </xf>
    <xf numFmtId="0" fontId="5" fillId="0" borderId="44" xfId="0" applyFont="1" applyFill="1" applyBorder="1" applyAlignment="1">
      <alignment horizontal="distributed" vertical="center" justifyLastLine="1"/>
    </xf>
    <xf numFmtId="0" fontId="5" fillId="0" borderId="10" xfId="0" applyFont="1" applyFill="1" applyBorder="1" applyAlignment="1">
      <alignment horizontal="distributed" vertical="center" justifyLastLine="1"/>
    </xf>
    <xf numFmtId="0" fontId="5" fillId="0" borderId="45" xfId="0" applyFont="1" applyFill="1" applyBorder="1" applyAlignment="1">
      <alignment horizontal="distributed" vertical="center" justifyLastLine="1"/>
    </xf>
    <xf numFmtId="0" fontId="5" fillId="0" borderId="5" xfId="0" applyFont="1" applyFill="1" applyBorder="1" applyAlignment="1">
      <alignment horizontal="distributed" vertical="center" justifyLastLine="1"/>
    </xf>
    <xf numFmtId="0" fontId="5" fillId="0" borderId="102" xfId="0" applyFont="1" applyFill="1" applyBorder="1" applyAlignment="1">
      <alignment horizontal="distributed" vertical="center" justifyLastLine="1"/>
    </xf>
    <xf numFmtId="0" fontId="5" fillId="0" borderId="103" xfId="0" applyFont="1" applyBorder="1" applyAlignment="1">
      <alignment horizontal="distributed" justifyLastLine="1"/>
    </xf>
    <xf numFmtId="0" fontId="5" fillId="0" borderId="104" xfId="0" applyFont="1" applyBorder="1" applyAlignment="1">
      <alignment horizontal="distributed" justifyLastLine="1"/>
    </xf>
    <xf numFmtId="189" fontId="5" fillId="0" borderId="52" xfId="0" applyNumberFormat="1" applyFont="1" applyFill="1" applyBorder="1" applyAlignment="1">
      <alignment horizontal="right" vertical="center" shrinkToFit="1"/>
    </xf>
    <xf numFmtId="0" fontId="1" fillId="0" borderId="61" xfId="0" applyNumberFormat="1" applyFont="1" applyFill="1" applyBorder="1" applyAlignment="1">
      <alignment horizontal="right" vertical="center" shrinkToFit="1"/>
    </xf>
    <xf numFmtId="179" fontId="1" fillId="0" borderId="59" xfId="0" applyNumberFormat="1" applyFont="1" applyFill="1" applyBorder="1" applyAlignment="1">
      <alignment horizontal="right" vertical="center" shrinkToFit="1"/>
    </xf>
    <xf numFmtId="179" fontId="1" fillId="0" borderId="88" xfId="0" applyNumberFormat="1" applyFont="1" applyFill="1" applyBorder="1" applyAlignment="1">
      <alignment horizontal="right" vertical="center" shrinkToFit="1"/>
    </xf>
    <xf numFmtId="0" fontId="1" fillId="0" borderId="59" xfId="0" applyNumberFormat="1" applyFont="1" applyFill="1" applyBorder="1" applyAlignment="1">
      <alignment horizontal="right" vertical="center" shrinkToFit="1"/>
    </xf>
    <xf numFmtId="0" fontId="1" fillId="0" borderId="89" xfId="0" applyNumberFormat="1" applyFont="1" applyFill="1" applyBorder="1" applyAlignment="1">
      <alignment horizontal="right" vertical="center" shrinkToFit="1"/>
    </xf>
    <xf numFmtId="49" fontId="1" fillId="0" borderId="59" xfId="0" applyNumberFormat="1" applyFont="1" applyFill="1" applyBorder="1" applyAlignment="1">
      <alignment horizontal="right" vertical="center" shrinkToFit="1"/>
    </xf>
    <xf numFmtId="49" fontId="1" fillId="0" borderId="88" xfId="0" applyNumberFormat="1" applyFont="1" applyFill="1" applyBorder="1" applyAlignment="1">
      <alignment horizontal="right" vertical="center" shrinkToFit="1"/>
    </xf>
    <xf numFmtId="0" fontId="5" fillId="0" borderId="54" xfId="0" applyFont="1" applyFill="1" applyBorder="1" applyAlignment="1">
      <alignment horizontal="center" vertical="distributed" textRotation="255" wrapText="1" justifyLastLine="1"/>
    </xf>
    <xf numFmtId="0" fontId="1" fillId="0" borderId="6" xfId="0" applyFont="1" applyBorder="1" applyAlignment="1">
      <alignment horizontal="center" vertical="distributed" textRotation="255" wrapText="1" justifyLastLine="1"/>
    </xf>
    <xf numFmtId="0" fontId="1" fillId="0" borderId="4" xfId="0" applyFont="1" applyBorder="1" applyAlignment="1">
      <alignment horizontal="center" vertical="distributed" textRotation="255" wrapText="1" justifyLastLine="1"/>
    </xf>
    <xf numFmtId="0" fontId="1" fillId="0" borderId="94" xfId="0" applyNumberFormat="1" applyFont="1" applyFill="1" applyBorder="1" applyAlignment="1">
      <alignment horizontal="right" vertical="center" shrinkToFit="1"/>
    </xf>
    <xf numFmtId="179" fontId="1" fillId="0" borderId="95" xfId="0" applyNumberFormat="1" applyFont="1" applyFill="1" applyBorder="1" applyAlignment="1">
      <alignment horizontal="right" vertical="center" shrinkToFit="1"/>
    </xf>
    <xf numFmtId="179" fontId="1" fillId="0" borderId="96" xfId="0" applyNumberFormat="1" applyFont="1" applyFill="1" applyBorder="1" applyAlignment="1">
      <alignment horizontal="right" vertical="center" shrinkToFit="1"/>
    </xf>
    <xf numFmtId="0" fontId="1" fillId="0" borderId="95" xfId="0" applyNumberFormat="1" applyFont="1" applyFill="1" applyBorder="1" applyAlignment="1">
      <alignment horizontal="right" vertical="center" shrinkToFit="1"/>
    </xf>
    <xf numFmtId="0" fontId="1" fillId="0" borderId="98" xfId="0" applyNumberFormat="1" applyFont="1" applyFill="1" applyBorder="1" applyAlignment="1">
      <alignment horizontal="right" vertical="center" shrinkToFit="1"/>
    </xf>
    <xf numFmtId="49" fontId="1" fillId="0" borderId="95" xfId="0" applyNumberFormat="1" applyFont="1" applyFill="1" applyBorder="1" applyAlignment="1">
      <alignment horizontal="right" vertical="center" shrinkToFit="1"/>
    </xf>
    <xf numFmtId="49" fontId="1" fillId="0" borderId="96" xfId="0" applyNumberFormat="1" applyFont="1" applyFill="1" applyBorder="1" applyAlignment="1">
      <alignment horizontal="right" vertical="center" shrinkToFit="1"/>
    </xf>
    <xf numFmtId="189" fontId="5" fillId="0" borderId="54" xfId="0" applyNumberFormat="1" applyFont="1" applyFill="1" applyBorder="1" applyAlignment="1">
      <alignment horizontal="right" vertical="center" shrinkToFit="1"/>
    </xf>
    <xf numFmtId="0" fontId="5" fillId="0" borderId="44" xfId="1" applyFont="1" applyFill="1" applyBorder="1" applyAlignment="1">
      <alignment horizontal="distributed" vertical="center" wrapText="1" justifyLastLine="1"/>
    </xf>
    <xf numFmtId="0" fontId="5" fillId="0" borderId="10" xfId="1" applyFont="1" applyFill="1" applyBorder="1" applyAlignment="1">
      <alignment horizontal="distributed" vertical="center" justifyLastLine="1"/>
    </xf>
    <xf numFmtId="0" fontId="5" fillId="0" borderId="45" xfId="1" applyFont="1" applyFill="1" applyBorder="1" applyAlignment="1">
      <alignment horizontal="distributed" vertical="center" justifyLastLine="1"/>
    </xf>
    <xf numFmtId="0" fontId="5" fillId="0" borderId="5" xfId="1" applyFont="1" applyFill="1" applyBorder="1" applyAlignment="1">
      <alignment horizontal="distributed" vertical="center" justifyLastLine="1"/>
    </xf>
    <xf numFmtId="0" fontId="5" fillId="0" borderId="1" xfId="1" applyFont="1" applyFill="1" applyBorder="1" applyAlignment="1">
      <alignment horizontal="distributed" vertical="center" justifyLastLine="1"/>
    </xf>
    <xf numFmtId="0" fontId="5" fillId="0" borderId="76" xfId="1" applyFont="1" applyFill="1" applyBorder="1" applyAlignment="1">
      <alignment horizontal="distributed" vertical="center" justifyLastLine="1"/>
    </xf>
    <xf numFmtId="0" fontId="1" fillId="0" borderId="97" xfId="0" applyNumberFormat="1" applyFont="1" applyFill="1" applyBorder="1" applyAlignment="1">
      <alignment horizontal="right" vertical="center" shrinkToFit="1"/>
    </xf>
    <xf numFmtId="179" fontId="1" fillId="0" borderId="97" xfId="0" applyNumberFormat="1" applyFont="1" applyFill="1" applyBorder="1" applyAlignment="1">
      <alignment horizontal="right" vertical="center" shrinkToFit="1"/>
    </xf>
    <xf numFmtId="0" fontId="1" fillId="0" borderId="101" xfId="0" applyNumberFormat="1" applyFont="1" applyFill="1" applyBorder="1" applyAlignment="1">
      <alignment horizontal="right" vertical="center" shrinkToFit="1"/>
    </xf>
    <xf numFmtId="49" fontId="1" fillId="0" borderId="97" xfId="0" applyNumberFormat="1" applyFont="1" applyFill="1" applyBorder="1" applyAlignment="1">
      <alignment horizontal="right" vertical="center" shrinkToFit="1"/>
    </xf>
    <xf numFmtId="49" fontId="1" fillId="0" borderId="100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99" xfId="0" applyNumberFormat="1" applyFont="1" applyFill="1" applyBorder="1" applyAlignment="1">
      <alignment horizontal="right" vertical="center" shrinkToFit="1"/>
    </xf>
    <xf numFmtId="179" fontId="1" fillId="0" borderId="100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distributed" textRotation="255" justifyLastLine="1"/>
    </xf>
    <xf numFmtId="0" fontId="1" fillId="0" borderId="6" xfId="0" applyFont="1" applyBorder="1" applyAlignment="1">
      <alignment horizontal="center" vertical="distributed" textRotation="255" justifyLastLine="1"/>
    </xf>
    <xf numFmtId="0" fontId="1" fillId="0" borderId="3" xfId="0" applyFont="1" applyBorder="1" applyAlignment="1">
      <alignment horizontal="center" vertical="distributed" textRotation="255" justifyLastLine="1"/>
    </xf>
    <xf numFmtId="0" fontId="5" fillId="0" borderId="0" xfId="0" applyFont="1" applyBorder="1" applyAlignment="1">
      <alignment horizontal="distributed" vertical="center"/>
    </xf>
    <xf numFmtId="0" fontId="5" fillId="0" borderId="92" xfId="0" applyFont="1" applyBorder="1" applyAlignment="1">
      <alignment horizontal="distributed" vertical="center"/>
    </xf>
    <xf numFmtId="185" fontId="1" fillId="0" borderId="59" xfId="0" applyNumberFormat="1" applyFont="1" applyFill="1" applyBorder="1" applyAlignment="1">
      <alignment horizontal="right" vertical="center" shrinkToFit="1"/>
    </xf>
    <xf numFmtId="0" fontId="5" fillId="0" borderId="71" xfId="0" applyFont="1" applyBorder="1" applyAlignment="1">
      <alignment horizontal="center" vertical="distributed" textRotation="255" justifyLastLine="1"/>
    </xf>
    <xf numFmtId="0" fontId="1" fillId="0" borderId="4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 shrinkToFit="1"/>
    </xf>
    <xf numFmtId="183" fontId="1" fillId="0" borderId="59" xfId="0" applyNumberFormat="1" applyFont="1" applyFill="1" applyBorder="1" applyAlignment="1">
      <alignment horizontal="right" vertical="center" shrinkToFit="1"/>
    </xf>
    <xf numFmtId="183" fontId="1" fillId="0" borderId="60" xfId="0" applyNumberFormat="1" applyFont="1" applyFill="1" applyBorder="1" applyAlignment="1">
      <alignment horizontal="right" vertical="center" shrinkToFi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81" fontId="1" fillId="0" borderId="64" xfId="0" applyNumberFormat="1" applyFont="1" applyFill="1" applyBorder="1" applyAlignment="1">
      <alignment horizontal="right" vertical="center" shrinkToFit="1"/>
    </xf>
    <xf numFmtId="181" fontId="1" fillId="0" borderId="62" xfId="0" applyNumberFormat="1" applyFont="1" applyFill="1" applyBorder="1" applyAlignment="1">
      <alignment horizontal="right" vertical="center" shrinkToFit="1"/>
    </xf>
    <xf numFmtId="181" fontId="1" fillId="0" borderId="86" xfId="0" applyNumberFormat="1" applyFont="1" applyFill="1" applyBorder="1" applyAlignment="1">
      <alignment horizontal="right" vertical="center" shrinkToFit="1"/>
    </xf>
    <xf numFmtId="0" fontId="5" fillId="0" borderId="54" xfId="0" applyFont="1" applyFill="1" applyBorder="1" applyAlignment="1">
      <alignment horizontal="center" vertical="center" textRotation="255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4" xfId="0" applyFont="1" applyFill="1" applyBorder="1" applyAlignment="1">
      <alignment horizontal="center" vertical="center" textRotation="255"/>
    </xf>
    <xf numFmtId="0" fontId="5" fillId="0" borderId="16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29" xfId="0" applyFont="1" applyFill="1" applyBorder="1" applyAlignment="1">
      <alignment horizontal="distributed" vertical="center" justifyLastLine="1"/>
    </xf>
    <xf numFmtId="0" fontId="5" fillId="0" borderId="30" xfId="0" applyFont="1" applyBorder="1" applyAlignment="1">
      <alignment horizontal="distributed" vertical="center" justifyLastLine="1"/>
    </xf>
    <xf numFmtId="0" fontId="5" fillId="0" borderId="57" xfId="0" applyFont="1" applyBorder="1" applyAlignment="1">
      <alignment horizontal="distributed" vertical="center" justifyLastLine="1"/>
    </xf>
    <xf numFmtId="181" fontId="1" fillId="0" borderId="61" xfId="0" applyNumberFormat="1" applyFont="1" applyFill="1" applyBorder="1" applyAlignment="1">
      <alignment horizontal="right" vertical="center" shrinkToFit="1"/>
    </xf>
    <xf numFmtId="181" fontId="1" fillId="0" borderId="59" xfId="0" applyNumberFormat="1" applyFont="1" applyFill="1" applyBorder="1" applyAlignment="1">
      <alignment horizontal="right" vertical="center" shrinkToFit="1"/>
    </xf>
    <xf numFmtId="181" fontId="1" fillId="0" borderId="88" xfId="0" applyNumberFormat="1" applyFont="1" applyFill="1" applyBorder="1" applyAlignment="1">
      <alignment horizontal="right" vertical="center" shrinkToFit="1"/>
    </xf>
    <xf numFmtId="181" fontId="1" fillId="0" borderId="89" xfId="0" applyNumberFormat="1" applyFont="1" applyFill="1" applyBorder="1" applyAlignment="1">
      <alignment horizontal="right" vertical="center" shrinkToFit="1"/>
    </xf>
    <xf numFmtId="186" fontId="3" fillId="0" borderId="61" xfId="0" applyNumberFormat="1" applyFont="1" applyFill="1" applyBorder="1" applyAlignment="1">
      <alignment horizontal="center" vertical="center" shrinkToFit="1"/>
    </xf>
    <xf numFmtId="186" fontId="3" fillId="0" borderId="59" xfId="0" applyNumberFormat="1" applyFont="1" applyFill="1" applyBorder="1" applyAlignment="1">
      <alignment horizontal="center" vertical="center" shrinkToFit="1"/>
    </xf>
    <xf numFmtId="182" fontId="1" fillId="0" borderId="59" xfId="0" applyNumberFormat="1" applyFont="1" applyFill="1" applyBorder="1" applyAlignment="1">
      <alignment horizontal="right" vertical="center" shrinkToFit="1"/>
    </xf>
    <xf numFmtId="181" fontId="1" fillId="0" borderId="87" xfId="0" applyNumberFormat="1" applyFont="1" applyFill="1" applyBorder="1" applyAlignment="1">
      <alignment horizontal="right" vertical="center" shrinkToFit="1"/>
    </xf>
    <xf numFmtId="0" fontId="3" fillId="0" borderId="9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81" xfId="0" applyFont="1" applyFill="1" applyBorder="1" applyAlignment="1">
      <alignment horizontal="left" vertical="center"/>
    </xf>
    <xf numFmtId="0" fontId="3" fillId="0" borderId="7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91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82" xfId="0" applyFont="1" applyFill="1" applyBorder="1" applyAlignment="1">
      <alignment horizontal="left" vertical="center"/>
    </xf>
    <xf numFmtId="186" fontId="3" fillId="0" borderId="64" xfId="0" applyNumberFormat="1" applyFont="1" applyFill="1" applyBorder="1" applyAlignment="1">
      <alignment horizontal="center" vertical="center" shrinkToFit="1"/>
    </xf>
    <xf numFmtId="186" fontId="3" fillId="0" borderId="62" xfId="0" applyNumberFormat="1" applyFont="1" applyFill="1" applyBorder="1" applyAlignment="1">
      <alignment horizontal="center" vertical="center" shrinkToFit="1"/>
    </xf>
    <xf numFmtId="182" fontId="1" fillId="0" borderId="62" xfId="0" applyNumberFormat="1" applyFont="1" applyFill="1" applyBorder="1" applyAlignment="1">
      <alignment horizontal="right" vertical="center" shrinkToFit="1"/>
    </xf>
    <xf numFmtId="183" fontId="1" fillId="0" borderId="62" xfId="0" applyNumberFormat="1" applyFont="1" applyFill="1" applyBorder="1" applyAlignment="1">
      <alignment horizontal="right" vertical="center" shrinkToFit="1"/>
    </xf>
    <xf numFmtId="183" fontId="1" fillId="0" borderId="63" xfId="0" applyNumberFormat="1" applyFont="1" applyFill="1" applyBorder="1" applyAlignment="1">
      <alignment horizontal="right" vertical="center" shrinkToFit="1"/>
    </xf>
    <xf numFmtId="0" fontId="1" fillId="0" borderId="12" xfId="0" applyFont="1" applyBorder="1" applyAlignment="1">
      <alignment horizontal="distributed" vertical="center"/>
    </xf>
    <xf numFmtId="0" fontId="1" fillId="0" borderId="13" xfId="0" applyFont="1" applyBorder="1" applyAlignment="1">
      <alignment horizontal="distributed" vertical="center"/>
    </xf>
    <xf numFmtId="185" fontId="1" fillId="0" borderId="62" xfId="0" applyNumberFormat="1" applyFont="1" applyFill="1" applyBorder="1" applyAlignment="1">
      <alignment horizontal="right" vertical="center" shrinkToFit="1"/>
    </xf>
    <xf numFmtId="0" fontId="5" fillId="0" borderId="83" xfId="0" applyFont="1" applyBorder="1" applyAlignment="1">
      <alignment horizontal="center" vertical="distributed" textRotation="255" wrapText="1" justifyLastLine="1"/>
    </xf>
    <xf numFmtId="0" fontId="5" fillId="0" borderId="7" xfId="0" applyFont="1" applyBorder="1" applyAlignment="1">
      <alignment horizontal="center" vertical="distributed" textRotation="255" wrapText="1" justifyLastLine="1"/>
    </xf>
    <xf numFmtId="0" fontId="5" fillId="0" borderId="9" xfId="0" applyFont="1" applyBorder="1" applyAlignment="1">
      <alignment horizontal="center" vertical="distributed" textRotation="255" wrapText="1" justifyLastLine="1"/>
    </xf>
    <xf numFmtId="0" fontId="0" fillId="0" borderId="12" xfId="0" applyFont="1" applyBorder="1" applyAlignment="1">
      <alignment horizontal="distributed" vertical="center"/>
    </xf>
    <xf numFmtId="0" fontId="0" fillId="0" borderId="13" xfId="0" applyFont="1" applyBorder="1" applyAlignment="1">
      <alignment horizontal="distributed" vertical="center"/>
    </xf>
    <xf numFmtId="0" fontId="3" fillId="0" borderId="22" xfId="1" applyFont="1" applyFill="1" applyBorder="1" applyAlignment="1">
      <alignment vertical="center" wrapText="1"/>
    </xf>
    <xf numFmtId="0" fontId="3" fillId="0" borderId="90" xfId="1" applyFont="1" applyFill="1" applyBorder="1" applyAlignment="1">
      <alignment vertical="center" wrapText="1"/>
    </xf>
    <xf numFmtId="0" fontId="3" fillId="0" borderId="20" xfId="1" applyFont="1" applyFill="1" applyBorder="1" applyAlignment="1">
      <alignment vertical="center" wrapText="1"/>
    </xf>
    <xf numFmtId="0" fontId="3" fillId="0" borderId="82" xfId="1" applyFont="1" applyFill="1" applyBorder="1" applyAlignment="1">
      <alignment vertical="center" wrapText="1"/>
    </xf>
    <xf numFmtId="0" fontId="5" fillId="0" borderId="37" xfId="1" applyFont="1" applyFill="1" applyBorder="1" applyAlignment="1">
      <alignment horizontal="distributed" vertical="center" shrinkToFit="1"/>
    </xf>
    <xf numFmtId="0" fontId="5" fillId="0" borderId="12" xfId="1" applyFont="1" applyFill="1" applyBorder="1" applyAlignment="1">
      <alignment horizontal="distributed" vertical="center" shrinkToFit="1"/>
    </xf>
    <xf numFmtId="0" fontId="5" fillId="0" borderId="13" xfId="1" applyFont="1" applyFill="1" applyBorder="1" applyAlignment="1">
      <alignment horizontal="distributed" vertical="center" shrinkToFit="1"/>
    </xf>
    <xf numFmtId="0" fontId="5" fillId="0" borderId="16" xfId="0" applyFont="1" applyFill="1" applyBorder="1" applyAlignment="1">
      <alignment horizontal="distributed" vertical="center"/>
    </xf>
    <xf numFmtId="0" fontId="5" fillId="0" borderId="17" xfId="0" applyFont="1" applyFill="1" applyBorder="1" applyAlignment="1">
      <alignment horizontal="distributed" vertical="center"/>
    </xf>
    <xf numFmtId="0" fontId="5" fillId="0" borderId="18" xfId="0" applyFont="1" applyFill="1" applyBorder="1" applyAlignment="1">
      <alignment horizontal="distributed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3" fillId="0" borderId="71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4" xfId="0" applyFont="1" applyBorder="1" applyAlignment="1">
      <alignment horizontal="center" vertical="center" textRotation="255" shrinkToFit="1"/>
    </xf>
    <xf numFmtId="181" fontId="1" fillId="0" borderId="102" xfId="0" applyNumberFormat="1" applyFont="1" applyFill="1" applyBorder="1" applyAlignment="1">
      <alignment horizontal="right" vertical="center" shrinkToFit="1"/>
    </xf>
    <xf numFmtId="181" fontId="1" fillId="0" borderId="103" xfId="0" applyNumberFormat="1" applyFont="1" applyFill="1" applyBorder="1" applyAlignment="1">
      <alignment horizontal="right" vertical="center" shrinkToFit="1"/>
    </xf>
    <xf numFmtId="181" fontId="1" fillId="0" borderId="105" xfId="0" applyNumberFormat="1" applyFont="1" applyFill="1" applyBorder="1" applyAlignment="1">
      <alignment horizontal="right" vertical="center" shrinkToFit="1"/>
    </xf>
    <xf numFmtId="181" fontId="1" fillId="0" borderId="106" xfId="0" applyNumberFormat="1" applyFont="1" applyFill="1" applyBorder="1" applyAlignment="1">
      <alignment horizontal="right" vertical="center" shrinkToFit="1"/>
    </xf>
    <xf numFmtId="181" fontId="1" fillId="0" borderId="104" xfId="0" applyNumberFormat="1" applyFont="1" applyFill="1" applyBorder="1" applyAlignment="1">
      <alignment horizontal="right" vertical="center" shrinkToFit="1"/>
    </xf>
  </cellXfs>
  <cellStyles count="6">
    <cellStyle name="標準" xfId="0" builtinId="0"/>
    <cellStyle name="標準 2" xfId="1"/>
    <cellStyle name="標準 3" xfId="2"/>
    <cellStyle name="標準 4" xfId="4"/>
    <cellStyle name="標準 4 2" xfId="5"/>
    <cellStyle name="標準_BDA1S0T05201" xfId="3"/>
  </cellStyles>
  <dxfs count="0"/>
  <tableStyles count="0" defaultTableStyle="TableStyleMedium2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U83"/>
  <sheetViews>
    <sheetView showGridLines="0" tabSelected="1" view="pageBreakPreview" zoomScaleNormal="100" zoomScaleSheetLayoutView="100" workbookViewId="0">
      <selection activeCell="AQ4" sqref="AQ4"/>
    </sheetView>
  </sheetViews>
  <sheetFormatPr defaultColWidth="2.7109375" defaultRowHeight="13.7" customHeight="1"/>
  <cols>
    <col min="1" max="85" width="2.7109375" style="80" customWidth="1"/>
    <col min="86" max="103" width="2.7109375" style="77" customWidth="1"/>
    <col min="104" max="16384" width="2.7109375" style="80"/>
  </cols>
  <sheetData>
    <row r="1" spans="1:125" ht="13.7" customHeight="1">
      <c r="A1" s="146"/>
      <c r="B1" s="147">
        <f>AB4</f>
        <v>0</v>
      </c>
      <c r="C1" s="147"/>
      <c r="D1" s="147"/>
      <c r="E1" s="23" t="s">
        <v>277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31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C1" s="53"/>
      <c r="CE1" s="159"/>
      <c r="CF1" s="160"/>
      <c r="CG1" s="160"/>
      <c r="CH1" s="16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</row>
    <row r="2" spans="1:125" ht="13.7" customHeight="1" thickBot="1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23"/>
      <c r="BI2" s="53"/>
      <c r="BJ2" s="53"/>
      <c r="BK2" s="53"/>
      <c r="CC2" s="53"/>
      <c r="CE2" s="159"/>
      <c r="CF2" s="160"/>
      <c r="CG2" s="160"/>
      <c r="CH2" s="16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</row>
    <row r="3" spans="1:125" ht="13.7" customHeight="1">
      <c r="B3" s="173"/>
      <c r="C3" s="174"/>
      <c r="D3" s="174"/>
      <c r="E3" s="174"/>
      <c r="F3" s="175"/>
      <c r="G3" s="176" t="s">
        <v>260</v>
      </c>
      <c r="H3" s="177"/>
      <c r="I3" s="178"/>
      <c r="J3" s="179" t="s">
        <v>261</v>
      </c>
      <c r="K3" s="180"/>
      <c r="L3" s="180"/>
      <c r="M3" s="180"/>
      <c r="N3" s="180"/>
      <c r="O3" s="180"/>
      <c r="P3" s="181"/>
      <c r="Q3" s="176" t="s">
        <v>262</v>
      </c>
      <c r="R3" s="177"/>
      <c r="S3" s="177"/>
      <c r="T3" s="177"/>
      <c r="U3" s="177"/>
      <c r="V3" s="179" t="s">
        <v>263</v>
      </c>
      <c r="W3" s="180"/>
      <c r="X3" s="180"/>
      <c r="Y3" s="180"/>
      <c r="Z3" s="182"/>
      <c r="AA3" s="93"/>
      <c r="AB3" s="172" t="s">
        <v>269</v>
      </c>
      <c r="AC3" s="149"/>
      <c r="AD3" s="149"/>
      <c r="AE3" s="149"/>
      <c r="AF3" s="149"/>
      <c r="AG3" s="148" t="s">
        <v>258</v>
      </c>
      <c r="AH3" s="149"/>
      <c r="AI3" s="149"/>
      <c r="AJ3" s="149"/>
      <c r="AK3" s="154"/>
      <c r="AL3" s="148" t="s">
        <v>270</v>
      </c>
      <c r="AM3" s="149"/>
      <c r="AN3" s="149"/>
      <c r="AO3" s="149"/>
      <c r="AP3" s="149"/>
      <c r="AQ3" s="148" t="s">
        <v>271</v>
      </c>
      <c r="AR3" s="149"/>
      <c r="AS3" s="149"/>
      <c r="AT3" s="149"/>
      <c r="AU3" s="149"/>
      <c r="AV3" s="148" t="s">
        <v>272</v>
      </c>
      <c r="AW3" s="149"/>
      <c r="AX3" s="149"/>
      <c r="AY3" s="149"/>
      <c r="AZ3" s="149"/>
      <c r="BA3" s="148" t="s">
        <v>1</v>
      </c>
      <c r="BB3" s="149"/>
      <c r="BC3" s="149"/>
      <c r="BD3" s="149"/>
      <c r="BE3" s="149"/>
      <c r="BF3" s="148" t="s">
        <v>273</v>
      </c>
      <c r="BG3" s="149"/>
      <c r="BH3" s="149"/>
      <c r="BI3" s="149"/>
      <c r="BJ3" s="149"/>
      <c r="BK3" s="148" t="s">
        <v>259</v>
      </c>
      <c r="BL3" s="149"/>
      <c r="BM3" s="149"/>
      <c r="BN3" s="149"/>
      <c r="BO3" s="149"/>
      <c r="BP3" s="148" t="s">
        <v>274</v>
      </c>
      <c r="BQ3" s="149"/>
      <c r="BR3" s="149"/>
      <c r="BS3" s="149"/>
      <c r="BT3" s="154"/>
      <c r="BU3" s="148" t="s">
        <v>275</v>
      </c>
      <c r="BV3" s="149"/>
      <c r="BW3" s="149"/>
      <c r="BX3" s="149"/>
      <c r="BY3" s="149"/>
      <c r="BZ3" s="148" t="s">
        <v>276</v>
      </c>
      <c r="CA3" s="149"/>
      <c r="CB3" s="149"/>
      <c r="CC3" s="149"/>
      <c r="CD3" s="155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</row>
    <row r="4" spans="1:125" ht="13.7" customHeight="1" thickBot="1">
      <c r="B4" s="183" t="s">
        <v>268</v>
      </c>
      <c r="C4" s="184"/>
      <c r="D4" s="184"/>
      <c r="E4" s="184"/>
      <c r="F4" s="185"/>
      <c r="G4" s="186"/>
      <c r="H4" s="187"/>
      <c r="I4" s="188"/>
      <c r="J4" s="186"/>
      <c r="K4" s="187"/>
      <c r="L4" s="187"/>
      <c r="M4" s="187"/>
      <c r="N4" s="187"/>
      <c r="O4" s="187"/>
      <c r="P4" s="188"/>
      <c r="Q4" s="189"/>
      <c r="R4" s="190"/>
      <c r="S4" s="190"/>
      <c r="T4" s="190"/>
      <c r="U4" s="190"/>
      <c r="V4" s="191"/>
      <c r="W4" s="192"/>
      <c r="X4" s="192"/>
      <c r="Y4" s="192"/>
      <c r="Z4" s="193"/>
      <c r="AA4" s="93"/>
      <c r="AB4" s="150"/>
      <c r="AC4" s="151"/>
      <c r="AD4" s="151"/>
      <c r="AE4" s="151"/>
      <c r="AF4" s="152"/>
      <c r="AG4" s="125"/>
      <c r="AH4" s="156" t="str">
        <f>IF(AG4&lt;&gt;"",DGET(リスト!A2:B71,"都道府県番号",リスト!B73:B74),"")</f>
        <v/>
      </c>
      <c r="AI4" s="156"/>
      <c r="AJ4" s="156"/>
      <c r="AK4" s="157"/>
      <c r="AL4" s="126"/>
      <c r="AM4" s="156" t="str">
        <f>IF(AL4&gt;0,DGET(リスト!AE2:AF4,"経営種類",リスト!AF6:AF7),"")</f>
        <v/>
      </c>
      <c r="AN4" s="156"/>
      <c r="AO4" s="156"/>
      <c r="AP4" s="157"/>
      <c r="AQ4" s="125"/>
      <c r="AR4" s="156" t="str">
        <f>IF(AQ4&gt;0,DGET(リスト!D2:E13,"生産費区分",リスト!E15:E16),"")</f>
        <v/>
      </c>
      <c r="AS4" s="156"/>
      <c r="AT4" s="156"/>
      <c r="AU4" s="157"/>
      <c r="AV4" s="125"/>
      <c r="AW4" s="156" t="str">
        <f>IF(AV4&lt;&gt;"",IF(OR(AQ4=77,AQ4=78,AQ4=79),DGET(リスト!J20:K24,"規模階層",リスト!K16:K17),IF(AQ4=76,DGET(リスト!J27:K35,"規模階層",リスト!K16:K17),IF(AQ4=84,DGET(リスト!J38:K42,"規模階層",リスト!K16:K17),IF(AQ4=75,DGET(リスト!M3:N7,"規模階層",リスト!K16:K17),IF(AQ4=86,DGET(リスト!M10:N15,"規模階層",リスト!K16:K17),IF(AQ4=85,DGET(リスト!M18:N22,"規模階層",リスト!K16:K17),"")))))),"")</f>
        <v/>
      </c>
      <c r="AX4" s="156"/>
      <c r="AY4" s="156"/>
      <c r="AZ4" s="157"/>
      <c r="BA4" s="126"/>
      <c r="BB4" s="156" t="str">
        <f>IF(BA4&lt;&gt;"",DGET(リスト!V2:W7,"平均値種類",リスト!W9:W10),"")</f>
        <v/>
      </c>
      <c r="BC4" s="156"/>
      <c r="BD4" s="156"/>
      <c r="BE4" s="157"/>
      <c r="BF4" s="127"/>
      <c r="BG4" s="156" t="str">
        <f>IF(BF4&gt;0,DGET(リスト!Y2:Z4,"加重・総和の別",リスト!Z6:Z7),"")</f>
        <v/>
      </c>
      <c r="BH4" s="156"/>
      <c r="BI4" s="156"/>
      <c r="BJ4" s="157"/>
      <c r="BK4" s="127"/>
      <c r="BL4" s="156" t="str">
        <f>IF(BK4&gt;0,DGET(リスト!G2:H8,"集計区分",リスト!H10:H11),"")</f>
        <v/>
      </c>
      <c r="BM4" s="156"/>
      <c r="BN4" s="156"/>
      <c r="BO4" s="157"/>
      <c r="BP4" s="128"/>
      <c r="BQ4" s="156" t="str">
        <f>IF(BP4&lt;&gt;"",DGET(リスト!S2:T6,"田畑区分",リスト!T8:T9),"")</f>
        <v/>
      </c>
      <c r="BR4" s="156"/>
      <c r="BS4" s="156"/>
      <c r="BT4" s="157"/>
      <c r="BU4" s="127"/>
      <c r="BV4" s="156" t="str">
        <f>IF(BU4&lt;&gt;"",DGET(リスト!P2:Q7,"ビール麦販売区分",リスト!Q9:Q10),"")</f>
        <v/>
      </c>
      <c r="BW4" s="156"/>
      <c r="BX4" s="156"/>
      <c r="BY4" s="157"/>
      <c r="BZ4" s="127"/>
      <c r="CA4" s="156" t="str">
        <f>IF(BZ4&lt;&gt;"",DGET(リスト!AB2:AC6,"てんさい栽培区分",リスト!AC8:AC9),"")</f>
        <v/>
      </c>
      <c r="CB4" s="156"/>
      <c r="CC4" s="156"/>
      <c r="CD4" s="158"/>
      <c r="CE4" s="73"/>
      <c r="CF4" s="73"/>
      <c r="CG4" s="73"/>
      <c r="CH4" s="73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</row>
    <row r="5" spans="1:125" ht="13.7" customHeight="1" thickBot="1">
      <c r="B5" s="161" t="s">
        <v>264</v>
      </c>
      <c r="C5" s="162"/>
      <c r="D5" s="162"/>
      <c r="E5" s="162"/>
      <c r="F5" s="163"/>
      <c r="G5" s="164"/>
      <c r="H5" s="165"/>
      <c r="I5" s="166"/>
      <c r="J5" s="164"/>
      <c r="K5" s="165"/>
      <c r="L5" s="165"/>
      <c r="M5" s="165"/>
      <c r="N5" s="165"/>
      <c r="O5" s="165"/>
      <c r="P5" s="166"/>
      <c r="Q5" s="167"/>
      <c r="R5" s="168"/>
      <c r="S5" s="168"/>
      <c r="T5" s="168"/>
      <c r="U5" s="168"/>
      <c r="V5" s="169"/>
      <c r="W5" s="170"/>
      <c r="X5" s="170"/>
      <c r="Y5" s="170"/>
      <c r="Z5" s="171"/>
      <c r="AA5" s="73"/>
      <c r="AB5" s="73"/>
      <c r="AC5" s="93"/>
      <c r="AD5" s="93"/>
      <c r="AE5" s="93"/>
      <c r="AF5" s="93"/>
      <c r="AG5" s="93"/>
      <c r="AH5" s="9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53"/>
      <c r="BG5" s="53"/>
      <c r="BH5" s="53"/>
      <c r="BI5" s="53"/>
      <c r="BJ5" s="53"/>
      <c r="BK5" s="5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</row>
    <row r="6" spans="1:125" ht="13.7" customHeight="1">
      <c r="B6" s="53"/>
      <c r="C6" s="53"/>
      <c r="D6" s="73"/>
      <c r="E6" s="73"/>
      <c r="F6" s="73"/>
      <c r="G6" s="73"/>
      <c r="H6" s="73"/>
      <c r="I6" s="73"/>
      <c r="J6" s="73"/>
      <c r="K6" s="8"/>
      <c r="L6" s="45"/>
      <c r="M6" s="45"/>
      <c r="N6" s="45"/>
      <c r="O6" s="45"/>
      <c r="P6" s="53"/>
      <c r="Q6" s="53"/>
      <c r="R6" s="73"/>
      <c r="S6" s="8"/>
      <c r="T6" s="46"/>
      <c r="U6" s="46"/>
      <c r="V6" s="46"/>
      <c r="W6" s="73"/>
      <c r="X6" s="73"/>
      <c r="Y6" s="73"/>
      <c r="Z6" s="73"/>
      <c r="AA6" s="73"/>
      <c r="AB6" s="73"/>
      <c r="AC6" s="82"/>
      <c r="AD6" s="82"/>
      <c r="AE6" s="82"/>
      <c r="AF6" s="82"/>
      <c r="AG6" s="82"/>
      <c r="AH6" s="82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53"/>
      <c r="BG6" s="53"/>
      <c r="BH6" s="53"/>
      <c r="BI6" s="53"/>
      <c r="BJ6" s="53"/>
      <c r="BK6" s="5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Z6" s="77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</row>
    <row r="7" spans="1:125" ht="13.7" customHeight="1" thickBot="1">
      <c r="A7" s="53"/>
      <c r="B7" s="53" t="s">
        <v>2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8" t="s">
        <v>3</v>
      </c>
      <c r="BA7" s="53"/>
      <c r="BB7" s="53"/>
      <c r="BC7" s="53"/>
      <c r="BD7" s="53" t="s">
        <v>177</v>
      </c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8" t="s">
        <v>4</v>
      </c>
      <c r="CH7" s="75"/>
      <c r="CI7" s="75"/>
      <c r="CJ7" s="75"/>
      <c r="CK7" s="75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53"/>
      <c r="CY7" s="80"/>
    </row>
    <row r="8" spans="1:125" ht="13.7" customHeight="1">
      <c r="B8" s="218"/>
      <c r="C8" s="219"/>
      <c r="D8" s="219"/>
      <c r="E8" s="219"/>
      <c r="F8" s="219"/>
      <c r="G8" s="220"/>
      <c r="H8" s="220"/>
      <c r="I8" s="194" t="s">
        <v>8</v>
      </c>
      <c r="J8" s="195"/>
      <c r="K8" s="195"/>
      <c r="L8" s="195"/>
      <c r="M8" s="195"/>
      <c r="N8" s="195"/>
      <c r="O8" s="195"/>
      <c r="P8" s="195"/>
      <c r="Q8" s="195"/>
      <c r="R8" s="195"/>
      <c r="S8" s="196"/>
      <c r="T8" s="194" t="s">
        <v>214</v>
      </c>
      <c r="U8" s="195"/>
      <c r="V8" s="195"/>
      <c r="W8" s="195"/>
      <c r="X8" s="195"/>
      <c r="Y8" s="195"/>
      <c r="Z8" s="195"/>
      <c r="AA8" s="195"/>
      <c r="AB8" s="195"/>
      <c r="AC8" s="195"/>
      <c r="AD8" s="196"/>
      <c r="AE8" s="194" t="s">
        <v>9</v>
      </c>
      <c r="AF8" s="195"/>
      <c r="AG8" s="195"/>
      <c r="AH8" s="195"/>
      <c r="AI8" s="195"/>
      <c r="AJ8" s="195"/>
      <c r="AK8" s="195"/>
      <c r="AL8" s="195"/>
      <c r="AM8" s="195"/>
      <c r="AN8" s="195"/>
      <c r="AO8" s="196"/>
      <c r="AP8" s="194" t="s">
        <v>10</v>
      </c>
      <c r="AQ8" s="195"/>
      <c r="AR8" s="195"/>
      <c r="AS8" s="195"/>
      <c r="AT8" s="195"/>
      <c r="AU8" s="195"/>
      <c r="AV8" s="195"/>
      <c r="AW8" s="195"/>
      <c r="AX8" s="195"/>
      <c r="AY8" s="195"/>
      <c r="AZ8" s="196"/>
      <c r="BA8" s="3"/>
      <c r="BB8" s="38"/>
      <c r="BC8" s="38"/>
      <c r="BD8" s="205"/>
      <c r="BE8" s="206"/>
      <c r="BF8" s="206"/>
      <c r="BG8" s="206"/>
      <c r="BH8" s="206"/>
      <c r="BI8" s="206"/>
      <c r="BJ8" s="206"/>
      <c r="BK8" s="206"/>
      <c r="BL8" s="194" t="s">
        <v>76</v>
      </c>
      <c r="BM8" s="195"/>
      <c r="BN8" s="195"/>
      <c r="BO8" s="195"/>
      <c r="BP8" s="195"/>
      <c r="BQ8" s="195"/>
      <c r="BR8" s="195"/>
      <c r="BS8" s="195"/>
      <c r="BT8" s="195"/>
      <c r="BU8" s="195"/>
      <c r="BV8" s="196"/>
      <c r="BW8" s="194" t="s">
        <v>77</v>
      </c>
      <c r="BX8" s="195"/>
      <c r="BY8" s="195"/>
      <c r="BZ8" s="195"/>
      <c r="CA8" s="195"/>
      <c r="CB8" s="195"/>
      <c r="CC8" s="195"/>
      <c r="CD8" s="195"/>
      <c r="CE8" s="195"/>
      <c r="CF8" s="195"/>
      <c r="CG8" s="196"/>
      <c r="CL8" s="197"/>
      <c r="CM8" s="197"/>
      <c r="CN8" s="197"/>
      <c r="CO8" s="197"/>
      <c r="CP8" s="197"/>
      <c r="CQ8" s="197"/>
      <c r="CR8" s="197"/>
      <c r="CS8" s="197"/>
      <c r="CT8" s="197"/>
      <c r="CU8" s="197"/>
      <c r="CV8" s="197"/>
      <c r="CW8" s="197"/>
      <c r="CX8" s="38"/>
      <c r="CY8" s="80"/>
    </row>
    <row r="9" spans="1:125" ht="13.7" customHeight="1" thickBot="1">
      <c r="B9" s="221"/>
      <c r="C9" s="222"/>
      <c r="D9" s="222"/>
      <c r="E9" s="222"/>
      <c r="F9" s="222"/>
      <c r="G9" s="223"/>
      <c r="H9" s="223"/>
      <c r="I9" s="198">
        <f>IF($B$1&lt;&gt;"",$B$1,"")</f>
        <v>0</v>
      </c>
      <c r="J9" s="199"/>
      <c r="K9" s="199"/>
      <c r="L9" s="199"/>
      <c r="M9" s="200">
        <f>IF($B$1&lt;&gt;"",$B$1-1,"")</f>
        <v>-1</v>
      </c>
      <c r="N9" s="199"/>
      <c r="O9" s="199"/>
      <c r="P9" s="201"/>
      <c r="Q9" s="202" t="s">
        <v>150</v>
      </c>
      <c r="R9" s="203"/>
      <c r="S9" s="204"/>
      <c r="T9" s="198">
        <f>IF($B$1&lt;&gt;"",$B$1,"")</f>
        <v>0</v>
      </c>
      <c r="U9" s="199"/>
      <c r="V9" s="199"/>
      <c r="W9" s="199"/>
      <c r="X9" s="200">
        <f>IF($B$1&lt;&gt;"",$B$1-1,"")</f>
        <v>-1</v>
      </c>
      <c r="Y9" s="199"/>
      <c r="Z9" s="199"/>
      <c r="AA9" s="201"/>
      <c r="AB9" s="202" t="s">
        <v>150</v>
      </c>
      <c r="AC9" s="203"/>
      <c r="AD9" s="204"/>
      <c r="AE9" s="198">
        <f>IF($B$1&lt;&gt;"",$B$1,"")</f>
        <v>0</v>
      </c>
      <c r="AF9" s="199"/>
      <c r="AG9" s="199"/>
      <c r="AH9" s="199"/>
      <c r="AI9" s="200">
        <f>IF($B$1&lt;&gt;"",$B$1-1,"")</f>
        <v>-1</v>
      </c>
      <c r="AJ9" s="199"/>
      <c r="AK9" s="199"/>
      <c r="AL9" s="201"/>
      <c r="AM9" s="202" t="s">
        <v>150</v>
      </c>
      <c r="AN9" s="203"/>
      <c r="AO9" s="204"/>
      <c r="AP9" s="198">
        <f>IF($B$1&lt;&gt;"",$B$1,"")</f>
        <v>0</v>
      </c>
      <c r="AQ9" s="199"/>
      <c r="AR9" s="199"/>
      <c r="AS9" s="199"/>
      <c r="AT9" s="200">
        <f>IF($B$1&lt;&gt;"",$B$1-1,"")</f>
        <v>-1</v>
      </c>
      <c r="AU9" s="199"/>
      <c r="AV9" s="199"/>
      <c r="AW9" s="201"/>
      <c r="AX9" s="202" t="s">
        <v>150</v>
      </c>
      <c r="AY9" s="203"/>
      <c r="AZ9" s="204"/>
      <c r="BA9" s="3"/>
      <c r="BB9" s="38"/>
      <c r="BC9" s="38"/>
      <c r="BD9" s="207"/>
      <c r="BE9" s="208"/>
      <c r="BF9" s="208"/>
      <c r="BG9" s="208"/>
      <c r="BH9" s="208"/>
      <c r="BI9" s="208"/>
      <c r="BJ9" s="208"/>
      <c r="BK9" s="208"/>
      <c r="BL9" s="198">
        <f>IF($B$1&lt;&gt;"",$B$1,"")</f>
        <v>0</v>
      </c>
      <c r="BM9" s="199"/>
      <c r="BN9" s="199"/>
      <c r="BO9" s="199"/>
      <c r="BP9" s="200">
        <f>IF($B$1&lt;&gt;"",$B$1-1,"")</f>
        <v>-1</v>
      </c>
      <c r="BQ9" s="199"/>
      <c r="BR9" s="199"/>
      <c r="BS9" s="201"/>
      <c r="BT9" s="202" t="s">
        <v>150</v>
      </c>
      <c r="BU9" s="203"/>
      <c r="BV9" s="204"/>
      <c r="BW9" s="198">
        <f>IF($B$1&lt;&gt;"",$B$1,"")</f>
        <v>0</v>
      </c>
      <c r="BX9" s="199"/>
      <c r="BY9" s="199"/>
      <c r="BZ9" s="199"/>
      <c r="CA9" s="200">
        <f>IF($B$1&lt;&gt;"",$B$1-1,"")</f>
        <v>-1</v>
      </c>
      <c r="CB9" s="199"/>
      <c r="CC9" s="199"/>
      <c r="CD9" s="201"/>
      <c r="CE9" s="202" t="s">
        <v>150</v>
      </c>
      <c r="CF9" s="203"/>
      <c r="CG9" s="204"/>
      <c r="CX9" s="38"/>
      <c r="CY9" s="80"/>
    </row>
    <row r="10" spans="1:125" ht="13.7" customHeight="1">
      <c r="B10" s="209" t="s">
        <v>11</v>
      </c>
      <c r="C10" s="210"/>
      <c r="D10" s="210"/>
      <c r="E10" s="210"/>
      <c r="F10" s="210"/>
      <c r="G10" s="210"/>
      <c r="H10" s="210"/>
      <c r="I10" s="211"/>
      <c r="J10" s="212"/>
      <c r="K10" s="212"/>
      <c r="L10" s="213"/>
      <c r="M10" s="214"/>
      <c r="N10" s="214"/>
      <c r="O10" s="214"/>
      <c r="P10" s="214"/>
      <c r="Q10" s="215" t="str">
        <f t="shared" ref="Q10:Q26" si="0">IF(I10="-", "-", IF(M10="-", "-", IF(ABS(M10)=0, "-", ROUND(100*(I10-M10)/ABS(M10), 1))))</f>
        <v>-</v>
      </c>
      <c r="R10" s="215" t="str">
        <f t="shared" ref="R10:S26" si="1">IF(N10="-", "-", IF(P10="-", "-", IF(ABS(P10)=0, "-", ROUND(100*(N10-P10)/ABS(P10), 1))))</f>
        <v>-</v>
      </c>
      <c r="S10" s="216" t="str">
        <f t="shared" si="1"/>
        <v>-</v>
      </c>
      <c r="T10" s="217"/>
      <c r="U10" s="214"/>
      <c r="V10" s="214"/>
      <c r="W10" s="214"/>
      <c r="X10" s="214"/>
      <c r="Y10" s="214"/>
      <c r="Z10" s="214"/>
      <c r="AA10" s="214"/>
      <c r="AB10" s="215" t="str">
        <f>IF(T10="-", "-", IF(X10="-", "-", IF(ABS(X10)=0, "-", ROUND(100*(T10-X10)/ABS(X10), 1))))</f>
        <v>-</v>
      </c>
      <c r="AC10" s="215" t="str">
        <f t="shared" ref="AC10:AD12" si="2">IF(Y10="-", "-", IF(AA10="-", "-", IF(ABS(AA10)=0, "-", ROUND(100*(Y10-AA10)/ABS(AA10), 1))))</f>
        <v>-</v>
      </c>
      <c r="AD10" s="216" t="str">
        <f t="shared" si="2"/>
        <v>-</v>
      </c>
      <c r="AE10" s="217"/>
      <c r="AF10" s="214"/>
      <c r="AG10" s="214"/>
      <c r="AH10" s="214"/>
      <c r="AI10" s="214"/>
      <c r="AJ10" s="214"/>
      <c r="AK10" s="214"/>
      <c r="AL10" s="214"/>
      <c r="AM10" s="215" t="str">
        <f>IF(AE10="-", "-", IF(AI10="-", "-", IF(ABS(AI10)=0, "-", ROUND(100*(AE10-AI10)/ABS(AI10), 1))))</f>
        <v>-</v>
      </c>
      <c r="AN10" s="215" t="str">
        <f>IF(AJ10="-", "-", IF(AL10="-", "-", IF(ABS(AL10)=0, "-", ROUND(100*(AJ10-AL10)/ABS(AL10), 1))))</f>
        <v>-</v>
      </c>
      <c r="AO10" s="216" t="str">
        <f>IF(AK10="-", "-", IF(AM10="-", "-", IF(ABS(AM10)=0, "-", ROUND(100*(AK10-AM10)/ABS(AM10), 1))))</f>
        <v>-</v>
      </c>
      <c r="AP10" s="234"/>
      <c r="AQ10" s="235"/>
      <c r="AR10" s="235"/>
      <c r="AS10" s="235"/>
      <c r="AT10" s="235"/>
      <c r="AU10" s="235"/>
      <c r="AV10" s="235"/>
      <c r="AW10" s="235"/>
      <c r="AX10" s="236" t="str">
        <f t="shared" ref="AX10:AX34" si="3">IF(AP10="-", "-", IF(AT10="-", "-", IF(ABS(AT10)=0, "-", ROUND(100*(AP10-AT10)/ABS(AT10), 1))))</f>
        <v>-</v>
      </c>
      <c r="AY10" s="236" t="str">
        <f t="shared" ref="AY10:AY34" si="4">IF(AU10="-", "-", IF(AW10="-", "-", IF(ABS(AW10)=0, "-", ROUND(100*(AU10-AW10)/ABS(AW10), 1))))</f>
        <v>-</v>
      </c>
      <c r="AZ10" s="237" t="str">
        <f t="shared" ref="AZ10:AZ34" si="5">IF(AV10="-", "-", IF(AX10="-", "-", IF(ABS(AX10)=0, "-", ROUND(100*(AV10-AX10)/ABS(AX10), 1))))</f>
        <v>-</v>
      </c>
      <c r="BA10" s="14"/>
      <c r="BB10" s="13"/>
      <c r="BC10" s="13"/>
      <c r="BD10" s="253" t="s">
        <v>71</v>
      </c>
      <c r="BE10" s="232" t="s">
        <v>176</v>
      </c>
      <c r="BF10" s="233"/>
      <c r="BG10" s="233"/>
      <c r="BH10" s="233"/>
      <c r="BI10" s="233"/>
      <c r="BJ10" s="233"/>
      <c r="BK10" s="233"/>
      <c r="BL10" s="217"/>
      <c r="BM10" s="214"/>
      <c r="BN10" s="214"/>
      <c r="BO10" s="214"/>
      <c r="BP10" s="214"/>
      <c r="BQ10" s="214"/>
      <c r="BR10" s="214"/>
      <c r="BS10" s="214"/>
      <c r="BT10" s="215" t="str">
        <f>IF(BL10="-", "-", IF(BP10="-", "-", IF(ABS(BP10)=0, "-", ROUND(100*(BL10-BP10)/ABS(BP10), 1))))</f>
        <v>-</v>
      </c>
      <c r="BU10" s="215" t="str">
        <f t="shared" ref="BU10:BV13" si="6">IF(BQ10="-", "-", IF(BS10="-", "-", IF(ABS(BS10)=0, "-", ROUND(100*(BQ10-BS10)/ABS(BS10), 1))))</f>
        <v>-</v>
      </c>
      <c r="BV10" s="216" t="str">
        <f t="shared" si="6"/>
        <v>-</v>
      </c>
      <c r="BW10" s="217"/>
      <c r="BX10" s="214"/>
      <c r="BY10" s="214"/>
      <c r="BZ10" s="214"/>
      <c r="CA10" s="214"/>
      <c r="CB10" s="214"/>
      <c r="CC10" s="214"/>
      <c r="CD10" s="214"/>
      <c r="CE10" s="215" t="str">
        <f t="shared" ref="CE10:CE15" si="7">IF(BW10="-", "-", IF(CA10="-", "-", IF(ABS(CA10)=0, "-", ROUND(100*(BW10-CA10)/ABS(CA10), 1))))</f>
        <v>-</v>
      </c>
      <c r="CF10" s="215" t="str">
        <f t="shared" ref="CF10:CG15" si="8">IF(CB10="-", "-", IF(CD10="-", "-", IF(ABS(CD10)=0, "-", ROUND(100*(CB10-CD10)/ABS(CD10), 1))))</f>
        <v>-</v>
      </c>
      <c r="CG10" s="216" t="str">
        <f t="shared" si="8"/>
        <v>-</v>
      </c>
      <c r="CX10" s="13"/>
      <c r="CY10" s="80"/>
    </row>
    <row r="11" spans="1:125" ht="13.7" customHeight="1">
      <c r="B11" s="15"/>
      <c r="C11" s="224" t="s">
        <v>13</v>
      </c>
      <c r="D11" s="225"/>
      <c r="E11" s="225"/>
      <c r="F11" s="225"/>
      <c r="G11" s="225"/>
      <c r="H11" s="225"/>
      <c r="I11" s="226"/>
      <c r="J11" s="227"/>
      <c r="K11" s="227"/>
      <c r="L11" s="227"/>
      <c r="M11" s="227"/>
      <c r="N11" s="227"/>
      <c r="O11" s="227"/>
      <c r="P11" s="227"/>
      <c r="Q11" s="228" t="str">
        <f t="shared" si="0"/>
        <v>-</v>
      </c>
      <c r="R11" s="228" t="str">
        <f t="shared" si="1"/>
        <v>-</v>
      </c>
      <c r="S11" s="229" t="str">
        <f t="shared" si="1"/>
        <v>-</v>
      </c>
      <c r="T11" s="226"/>
      <c r="U11" s="227"/>
      <c r="V11" s="227"/>
      <c r="W11" s="227"/>
      <c r="X11" s="227"/>
      <c r="Y11" s="227"/>
      <c r="Z11" s="227"/>
      <c r="AA11" s="227"/>
      <c r="AB11" s="228" t="str">
        <f>IF(T11="-", "-", IF(X11="-", "-", IF(ABS(X11)=0, "-", ROUND(100*(T11-X11)/ABS(X11), 1))))</f>
        <v>-</v>
      </c>
      <c r="AC11" s="228" t="str">
        <f t="shared" si="2"/>
        <v>-</v>
      </c>
      <c r="AD11" s="229" t="str">
        <f t="shared" si="2"/>
        <v>-</v>
      </c>
      <c r="AE11" s="230"/>
      <c r="AF11" s="231"/>
      <c r="AG11" s="231"/>
      <c r="AH11" s="231"/>
      <c r="AI11" s="231"/>
      <c r="AJ11" s="231"/>
      <c r="AK11" s="231"/>
      <c r="AL11" s="231"/>
      <c r="AM11" s="247"/>
      <c r="AN11" s="247"/>
      <c r="AO11" s="248"/>
      <c r="AP11" s="241"/>
      <c r="AQ11" s="238"/>
      <c r="AR11" s="238"/>
      <c r="AS11" s="238"/>
      <c r="AT11" s="238"/>
      <c r="AU11" s="238"/>
      <c r="AV11" s="238"/>
      <c r="AW11" s="238"/>
      <c r="AX11" s="239" t="str">
        <f t="shared" si="3"/>
        <v>-</v>
      </c>
      <c r="AY11" s="239" t="str">
        <f t="shared" si="4"/>
        <v>-</v>
      </c>
      <c r="AZ11" s="240" t="str">
        <f t="shared" si="5"/>
        <v>-</v>
      </c>
      <c r="BA11" s="14"/>
      <c r="BB11" s="13"/>
      <c r="BC11" s="13"/>
      <c r="BD11" s="253"/>
      <c r="BE11" s="224" t="s">
        <v>175</v>
      </c>
      <c r="BF11" s="225"/>
      <c r="BG11" s="225"/>
      <c r="BH11" s="225"/>
      <c r="BI11" s="225"/>
      <c r="BJ11" s="225"/>
      <c r="BK11" s="225"/>
      <c r="BL11" s="226"/>
      <c r="BM11" s="227"/>
      <c r="BN11" s="227"/>
      <c r="BO11" s="227"/>
      <c r="BP11" s="227"/>
      <c r="BQ11" s="227"/>
      <c r="BR11" s="227"/>
      <c r="BS11" s="227"/>
      <c r="BT11" s="228" t="str">
        <f>IF(BL11="-", "-", IF(BP11="-", "-", IF(ABS(BP11)=0, "-", ROUND(100*(BL11-BP11)/ABS(BP11), 1))))</f>
        <v>-</v>
      </c>
      <c r="BU11" s="228" t="str">
        <f t="shared" si="6"/>
        <v>-</v>
      </c>
      <c r="BV11" s="229" t="str">
        <f t="shared" si="6"/>
        <v>-</v>
      </c>
      <c r="BW11" s="226"/>
      <c r="BX11" s="227"/>
      <c r="BY11" s="227"/>
      <c r="BZ11" s="227"/>
      <c r="CA11" s="227"/>
      <c r="CB11" s="227"/>
      <c r="CC11" s="227"/>
      <c r="CD11" s="227"/>
      <c r="CE11" s="228" t="str">
        <f t="shared" si="7"/>
        <v>-</v>
      </c>
      <c r="CF11" s="228" t="str">
        <f t="shared" si="8"/>
        <v>-</v>
      </c>
      <c r="CG11" s="229" t="str">
        <f t="shared" si="8"/>
        <v>-</v>
      </c>
      <c r="CX11" s="13"/>
      <c r="CY11" s="80"/>
    </row>
    <row r="12" spans="1:125" ht="13.7" customHeight="1">
      <c r="B12" s="21"/>
      <c r="C12" s="245" t="s">
        <v>14</v>
      </c>
      <c r="D12" s="246"/>
      <c r="E12" s="225"/>
      <c r="F12" s="225"/>
      <c r="G12" s="225"/>
      <c r="H12" s="225"/>
      <c r="I12" s="242"/>
      <c r="J12" s="243"/>
      <c r="K12" s="243"/>
      <c r="L12" s="244"/>
      <c r="M12" s="227"/>
      <c r="N12" s="227"/>
      <c r="O12" s="227"/>
      <c r="P12" s="227"/>
      <c r="Q12" s="228" t="str">
        <f t="shared" si="0"/>
        <v>-</v>
      </c>
      <c r="R12" s="228" t="str">
        <f t="shared" si="1"/>
        <v>-</v>
      </c>
      <c r="S12" s="229" t="str">
        <f t="shared" si="1"/>
        <v>-</v>
      </c>
      <c r="T12" s="226"/>
      <c r="U12" s="227"/>
      <c r="V12" s="227"/>
      <c r="W12" s="227"/>
      <c r="X12" s="227"/>
      <c r="Y12" s="227"/>
      <c r="Z12" s="227"/>
      <c r="AA12" s="227"/>
      <c r="AB12" s="228" t="str">
        <f>IF(T12="-", "-", IF(X12="-", "-", IF(ABS(X12)=0, "-", ROUND(100*(T12-X12)/ABS(X12), 1))))</f>
        <v>-</v>
      </c>
      <c r="AC12" s="228" t="str">
        <f t="shared" si="2"/>
        <v>-</v>
      </c>
      <c r="AD12" s="229" t="str">
        <f t="shared" si="2"/>
        <v>-</v>
      </c>
      <c r="AE12" s="230"/>
      <c r="AF12" s="231"/>
      <c r="AG12" s="231"/>
      <c r="AH12" s="231"/>
      <c r="AI12" s="231"/>
      <c r="AJ12" s="231"/>
      <c r="AK12" s="231"/>
      <c r="AL12" s="231"/>
      <c r="AM12" s="247"/>
      <c r="AN12" s="247"/>
      <c r="AO12" s="248"/>
      <c r="AP12" s="241"/>
      <c r="AQ12" s="238"/>
      <c r="AR12" s="238"/>
      <c r="AS12" s="238"/>
      <c r="AT12" s="238"/>
      <c r="AU12" s="238"/>
      <c r="AV12" s="238"/>
      <c r="AW12" s="238"/>
      <c r="AX12" s="239" t="str">
        <f t="shared" si="3"/>
        <v>-</v>
      </c>
      <c r="AY12" s="239" t="str">
        <f t="shared" si="4"/>
        <v>-</v>
      </c>
      <c r="AZ12" s="240" t="str">
        <f t="shared" si="5"/>
        <v>-</v>
      </c>
      <c r="BA12" s="14"/>
      <c r="BB12" s="13"/>
      <c r="BC12" s="13"/>
      <c r="BD12" s="254"/>
      <c r="BE12" s="224" t="s">
        <v>10</v>
      </c>
      <c r="BF12" s="225"/>
      <c r="BG12" s="225"/>
      <c r="BH12" s="225"/>
      <c r="BI12" s="225"/>
      <c r="BJ12" s="225"/>
      <c r="BK12" s="249"/>
      <c r="BL12" s="241"/>
      <c r="BM12" s="238"/>
      <c r="BN12" s="238"/>
      <c r="BO12" s="238"/>
      <c r="BP12" s="238"/>
      <c r="BQ12" s="238"/>
      <c r="BR12" s="238"/>
      <c r="BS12" s="238"/>
      <c r="BT12" s="239" t="str">
        <f>IF(BL12="-", "-", IF(BP12="-", "-", IF(ABS(BP12)=0, "-", ROUND(100*(BL12-BP12)/ABS(BP12), 1))))</f>
        <v>-</v>
      </c>
      <c r="BU12" s="239" t="str">
        <f t="shared" si="6"/>
        <v>-</v>
      </c>
      <c r="BV12" s="240" t="str">
        <f t="shared" si="6"/>
        <v>-</v>
      </c>
      <c r="BW12" s="241"/>
      <c r="BX12" s="238"/>
      <c r="BY12" s="238"/>
      <c r="BZ12" s="238"/>
      <c r="CA12" s="238"/>
      <c r="CB12" s="238"/>
      <c r="CC12" s="238"/>
      <c r="CD12" s="238"/>
      <c r="CE12" s="239" t="str">
        <f t="shared" si="7"/>
        <v>-</v>
      </c>
      <c r="CF12" s="239" t="str">
        <f t="shared" si="8"/>
        <v>-</v>
      </c>
      <c r="CG12" s="240" t="str">
        <f t="shared" si="8"/>
        <v>-</v>
      </c>
      <c r="CX12" s="13"/>
      <c r="CY12" s="80"/>
    </row>
    <row r="13" spans="1:125" ht="13.7" customHeight="1">
      <c r="B13" s="21"/>
      <c r="C13" s="245" t="s">
        <v>15</v>
      </c>
      <c r="D13" s="246"/>
      <c r="E13" s="225"/>
      <c r="F13" s="225"/>
      <c r="G13" s="225"/>
      <c r="H13" s="225"/>
      <c r="I13" s="226"/>
      <c r="J13" s="227"/>
      <c r="K13" s="227"/>
      <c r="L13" s="227"/>
      <c r="M13" s="227"/>
      <c r="N13" s="227"/>
      <c r="O13" s="227"/>
      <c r="P13" s="227"/>
      <c r="Q13" s="228" t="str">
        <f t="shared" si="0"/>
        <v>-</v>
      </c>
      <c r="R13" s="228" t="str">
        <f t="shared" si="1"/>
        <v>-</v>
      </c>
      <c r="S13" s="229" t="str">
        <f t="shared" si="1"/>
        <v>-</v>
      </c>
      <c r="T13" s="230"/>
      <c r="U13" s="231"/>
      <c r="V13" s="231"/>
      <c r="W13" s="231"/>
      <c r="X13" s="231"/>
      <c r="Y13" s="231"/>
      <c r="Z13" s="231"/>
      <c r="AA13" s="231"/>
      <c r="AB13" s="247"/>
      <c r="AC13" s="247"/>
      <c r="AD13" s="248"/>
      <c r="AE13" s="230"/>
      <c r="AF13" s="231"/>
      <c r="AG13" s="231"/>
      <c r="AH13" s="231"/>
      <c r="AI13" s="231"/>
      <c r="AJ13" s="231"/>
      <c r="AK13" s="231"/>
      <c r="AL13" s="231"/>
      <c r="AM13" s="247"/>
      <c r="AN13" s="247"/>
      <c r="AO13" s="248"/>
      <c r="AP13" s="241"/>
      <c r="AQ13" s="238"/>
      <c r="AR13" s="238"/>
      <c r="AS13" s="238"/>
      <c r="AT13" s="238"/>
      <c r="AU13" s="238"/>
      <c r="AV13" s="238"/>
      <c r="AW13" s="238"/>
      <c r="AX13" s="239" t="str">
        <f t="shared" si="3"/>
        <v>-</v>
      </c>
      <c r="AY13" s="239" t="str">
        <f t="shared" si="4"/>
        <v>-</v>
      </c>
      <c r="AZ13" s="240" t="str">
        <f t="shared" si="5"/>
        <v>-</v>
      </c>
      <c r="BA13" s="14"/>
      <c r="BB13" s="13"/>
      <c r="BC13" s="13"/>
      <c r="BD13" s="250" t="s">
        <v>72</v>
      </c>
      <c r="BE13" s="251"/>
      <c r="BF13" s="251"/>
      <c r="BG13" s="251"/>
      <c r="BH13" s="251"/>
      <c r="BI13" s="251"/>
      <c r="BJ13" s="251"/>
      <c r="BK13" s="252"/>
      <c r="BL13" s="226"/>
      <c r="BM13" s="227"/>
      <c r="BN13" s="227"/>
      <c r="BO13" s="227"/>
      <c r="BP13" s="227"/>
      <c r="BQ13" s="227"/>
      <c r="BR13" s="227"/>
      <c r="BS13" s="227"/>
      <c r="BT13" s="228" t="str">
        <f>IF(BL13="-", "-", IF(BP13="-", "-", IF(ABS(BP13)=0, "-", ROUND(100*(BL13-BP13)/ABS(BP13), 1))))</f>
        <v>-</v>
      </c>
      <c r="BU13" s="228" t="str">
        <f t="shared" si="6"/>
        <v>-</v>
      </c>
      <c r="BV13" s="229" t="str">
        <f t="shared" si="6"/>
        <v>-</v>
      </c>
      <c r="BW13" s="226"/>
      <c r="BX13" s="227"/>
      <c r="BY13" s="227"/>
      <c r="BZ13" s="227"/>
      <c r="CA13" s="227"/>
      <c r="CB13" s="227"/>
      <c r="CC13" s="227"/>
      <c r="CD13" s="227"/>
      <c r="CE13" s="228" t="str">
        <f t="shared" si="7"/>
        <v>-</v>
      </c>
      <c r="CF13" s="228" t="str">
        <f t="shared" si="8"/>
        <v>-</v>
      </c>
      <c r="CG13" s="229" t="str">
        <f t="shared" si="8"/>
        <v>-</v>
      </c>
      <c r="CX13" s="13"/>
      <c r="CY13" s="80"/>
    </row>
    <row r="14" spans="1:125" ht="13.7" customHeight="1">
      <c r="B14" s="21"/>
      <c r="C14" s="245" t="s">
        <v>16</v>
      </c>
      <c r="D14" s="246"/>
      <c r="E14" s="225"/>
      <c r="F14" s="225"/>
      <c r="G14" s="225"/>
      <c r="H14" s="225"/>
      <c r="I14" s="242"/>
      <c r="J14" s="243"/>
      <c r="K14" s="243"/>
      <c r="L14" s="244"/>
      <c r="M14" s="227"/>
      <c r="N14" s="227"/>
      <c r="O14" s="227"/>
      <c r="P14" s="227"/>
      <c r="Q14" s="228" t="str">
        <f t="shared" si="0"/>
        <v>-</v>
      </c>
      <c r="R14" s="228" t="str">
        <f t="shared" si="1"/>
        <v>-</v>
      </c>
      <c r="S14" s="229" t="str">
        <f t="shared" si="1"/>
        <v>-</v>
      </c>
      <c r="T14" s="226"/>
      <c r="U14" s="227"/>
      <c r="V14" s="227"/>
      <c r="W14" s="227"/>
      <c r="X14" s="227"/>
      <c r="Y14" s="227"/>
      <c r="Z14" s="227"/>
      <c r="AA14" s="227"/>
      <c r="AB14" s="228" t="str">
        <f>IF(T14="-", "-", IF(X14="-", "-", IF(ABS(X14)=0, "-", ROUND(100*(T14-X14)/ABS(X14), 1))))</f>
        <v>-</v>
      </c>
      <c r="AC14" s="228" t="str">
        <f>IF(Y14="-", "-", IF(AA14="-", "-", IF(ABS(AA14)=0, "-", ROUND(100*(Y14-AA14)/ABS(AA14), 1))))</f>
        <v>-</v>
      </c>
      <c r="AD14" s="229" t="str">
        <f>IF(Z14="-", "-", IF(AB14="-", "-", IF(ABS(AB14)=0, "-", ROUND(100*(Z14-AB14)/ABS(AB14), 1))))</f>
        <v>-</v>
      </c>
      <c r="AE14" s="230"/>
      <c r="AF14" s="231"/>
      <c r="AG14" s="231"/>
      <c r="AH14" s="231"/>
      <c r="AI14" s="231"/>
      <c r="AJ14" s="231"/>
      <c r="AK14" s="231"/>
      <c r="AL14" s="231"/>
      <c r="AM14" s="247"/>
      <c r="AN14" s="247"/>
      <c r="AO14" s="248"/>
      <c r="AP14" s="241"/>
      <c r="AQ14" s="238"/>
      <c r="AR14" s="238"/>
      <c r="AS14" s="238"/>
      <c r="AT14" s="238"/>
      <c r="AU14" s="238"/>
      <c r="AV14" s="238"/>
      <c r="AW14" s="238"/>
      <c r="AX14" s="239" t="str">
        <f t="shared" si="3"/>
        <v>-</v>
      </c>
      <c r="AY14" s="239" t="str">
        <f t="shared" si="4"/>
        <v>-</v>
      </c>
      <c r="AZ14" s="240" t="str">
        <f t="shared" si="5"/>
        <v>-</v>
      </c>
      <c r="BA14" s="14"/>
      <c r="BB14" s="13"/>
      <c r="BC14" s="13"/>
      <c r="BD14" s="256" t="s">
        <v>73</v>
      </c>
      <c r="BE14" s="225"/>
      <c r="BF14" s="225"/>
      <c r="BG14" s="225"/>
      <c r="BH14" s="225"/>
      <c r="BI14" s="225"/>
      <c r="BJ14" s="225"/>
      <c r="BK14" s="225"/>
      <c r="BL14" s="230"/>
      <c r="BM14" s="231"/>
      <c r="BN14" s="231"/>
      <c r="BO14" s="231"/>
      <c r="BP14" s="231"/>
      <c r="BQ14" s="231"/>
      <c r="BR14" s="231"/>
      <c r="BS14" s="231"/>
      <c r="BT14" s="247"/>
      <c r="BU14" s="247"/>
      <c r="BV14" s="248"/>
      <c r="BW14" s="241"/>
      <c r="BX14" s="238"/>
      <c r="BY14" s="238"/>
      <c r="BZ14" s="238"/>
      <c r="CA14" s="238"/>
      <c r="CB14" s="238"/>
      <c r="CC14" s="238"/>
      <c r="CD14" s="238"/>
      <c r="CE14" s="239" t="str">
        <f t="shared" si="7"/>
        <v>-</v>
      </c>
      <c r="CF14" s="239" t="str">
        <f t="shared" si="8"/>
        <v>-</v>
      </c>
      <c r="CG14" s="240" t="str">
        <f t="shared" si="8"/>
        <v>-</v>
      </c>
      <c r="CX14" s="13"/>
      <c r="CY14" s="80"/>
    </row>
    <row r="15" spans="1:125" ht="13.7" customHeight="1" thickBot="1">
      <c r="B15" s="15"/>
      <c r="C15" s="186" t="s">
        <v>144</v>
      </c>
      <c r="D15" s="187"/>
      <c r="E15" s="187"/>
      <c r="F15" s="187"/>
      <c r="G15" s="187"/>
      <c r="H15" s="255"/>
      <c r="I15" s="226"/>
      <c r="J15" s="227"/>
      <c r="K15" s="227"/>
      <c r="L15" s="227"/>
      <c r="M15" s="227"/>
      <c r="N15" s="227"/>
      <c r="O15" s="227"/>
      <c r="P15" s="227"/>
      <c r="Q15" s="228" t="str">
        <f t="shared" si="0"/>
        <v>-</v>
      </c>
      <c r="R15" s="228" t="str">
        <f t="shared" si="1"/>
        <v>-</v>
      </c>
      <c r="S15" s="229" t="str">
        <f t="shared" si="1"/>
        <v>-</v>
      </c>
      <c r="T15" s="226"/>
      <c r="U15" s="227"/>
      <c r="V15" s="227"/>
      <c r="W15" s="227"/>
      <c r="X15" s="227"/>
      <c r="Y15" s="227"/>
      <c r="Z15" s="227"/>
      <c r="AA15" s="227"/>
      <c r="AB15" s="228" t="str">
        <f>IF(T15="-", "-", IF(X15="-", "-", IF(ABS(X15)=0, "-", ROUND(100*(T15-X15)/ABS(X15), 1))))</f>
        <v>-</v>
      </c>
      <c r="AC15" s="228" t="str">
        <f>IF(Y15="-", "-", IF(AA15="-", "-", IF(ABS(AA15)=0, "-", ROUND(100*(Y15-AA15)/ABS(AA15), 1))))</f>
        <v>-</v>
      </c>
      <c r="AD15" s="229" t="str">
        <f>IF(Z15="-", "-", IF(AB15="-", "-", IF(ABS(AB15)=0, "-", ROUND(100*(Z15-AB15)/ABS(AB15), 1))))</f>
        <v>-</v>
      </c>
      <c r="AE15" s="230"/>
      <c r="AF15" s="231"/>
      <c r="AG15" s="231"/>
      <c r="AH15" s="231"/>
      <c r="AI15" s="231"/>
      <c r="AJ15" s="231"/>
      <c r="AK15" s="231"/>
      <c r="AL15" s="231"/>
      <c r="AM15" s="247"/>
      <c r="AN15" s="247"/>
      <c r="AO15" s="248"/>
      <c r="AP15" s="241"/>
      <c r="AQ15" s="238"/>
      <c r="AR15" s="238"/>
      <c r="AS15" s="238"/>
      <c r="AT15" s="238"/>
      <c r="AU15" s="238"/>
      <c r="AV15" s="238"/>
      <c r="AW15" s="238"/>
      <c r="AX15" s="239" t="str">
        <f t="shared" si="3"/>
        <v>-</v>
      </c>
      <c r="AY15" s="239" t="str">
        <f t="shared" si="4"/>
        <v>-</v>
      </c>
      <c r="AZ15" s="240" t="str">
        <f t="shared" si="5"/>
        <v>-</v>
      </c>
      <c r="BA15" s="14"/>
      <c r="BB15" s="13"/>
      <c r="BC15" s="13"/>
      <c r="BD15" s="265" t="s">
        <v>118</v>
      </c>
      <c r="BE15" s="266"/>
      <c r="BF15" s="266"/>
      <c r="BG15" s="266"/>
      <c r="BH15" s="266"/>
      <c r="BI15" s="266"/>
      <c r="BJ15" s="266"/>
      <c r="BK15" s="266"/>
      <c r="BL15" s="267"/>
      <c r="BM15" s="257"/>
      <c r="BN15" s="257"/>
      <c r="BO15" s="257"/>
      <c r="BP15" s="257"/>
      <c r="BQ15" s="257"/>
      <c r="BR15" s="257"/>
      <c r="BS15" s="257"/>
      <c r="BT15" s="258"/>
      <c r="BU15" s="258"/>
      <c r="BV15" s="259"/>
      <c r="BW15" s="260"/>
      <c r="BX15" s="261"/>
      <c r="BY15" s="261"/>
      <c r="BZ15" s="261"/>
      <c r="CA15" s="261"/>
      <c r="CB15" s="261"/>
      <c r="CC15" s="261"/>
      <c r="CD15" s="261"/>
      <c r="CE15" s="262" t="str">
        <f t="shared" si="7"/>
        <v>-</v>
      </c>
      <c r="CF15" s="263" t="str">
        <f t="shared" si="8"/>
        <v>-</v>
      </c>
      <c r="CG15" s="264" t="str">
        <f t="shared" si="8"/>
        <v>-</v>
      </c>
      <c r="CH15" s="76"/>
      <c r="CI15" s="76"/>
      <c r="CJ15" s="76"/>
      <c r="CK15" s="76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13"/>
      <c r="CY15" s="80"/>
    </row>
    <row r="16" spans="1:125" ht="13.7" customHeight="1">
      <c r="B16" s="15"/>
      <c r="C16" s="186" t="s">
        <v>107</v>
      </c>
      <c r="D16" s="187"/>
      <c r="E16" s="187"/>
      <c r="F16" s="187"/>
      <c r="G16" s="187"/>
      <c r="H16" s="255"/>
      <c r="I16" s="242"/>
      <c r="J16" s="243"/>
      <c r="K16" s="243"/>
      <c r="L16" s="244"/>
      <c r="M16" s="227"/>
      <c r="N16" s="227"/>
      <c r="O16" s="227"/>
      <c r="P16" s="227"/>
      <c r="Q16" s="228" t="str">
        <f t="shared" si="0"/>
        <v>-</v>
      </c>
      <c r="R16" s="228" t="str">
        <f t="shared" si="1"/>
        <v>-</v>
      </c>
      <c r="S16" s="229" t="str">
        <f t="shared" si="1"/>
        <v>-</v>
      </c>
      <c r="T16" s="230"/>
      <c r="U16" s="231"/>
      <c r="V16" s="231"/>
      <c r="W16" s="231"/>
      <c r="X16" s="231"/>
      <c r="Y16" s="231"/>
      <c r="Z16" s="231"/>
      <c r="AA16" s="231"/>
      <c r="AB16" s="247"/>
      <c r="AC16" s="247"/>
      <c r="AD16" s="248"/>
      <c r="AE16" s="230"/>
      <c r="AF16" s="231"/>
      <c r="AG16" s="231"/>
      <c r="AH16" s="231"/>
      <c r="AI16" s="231"/>
      <c r="AJ16" s="231"/>
      <c r="AK16" s="231"/>
      <c r="AL16" s="231"/>
      <c r="AM16" s="247"/>
      <c r="AN16" s="247"/>
      <c r="AO16" s="248"/>
      <c r="AP16" s="241"/>
      <c r="AQ16" s="238"/>
      <c r="AR16" s="238"/>
      <c r="AS16" s="238"/>
      <c r="AT16" s="238"/>
      <c r="AU16" s="238"/>
      <c r="AV16" s="238"/>
      <c r="AW16" s="238"/>
      <c r="AX16" s="239" t="str">
        <f t="shared" si="3"/>
        <v>-</v>
      </c>
      <c r="AY16" s="239" t="str">
        <f t="shared" si="4"/>
        <v>-</v>
      </c>
      <c r="AZ16" s="240" t="str">
        <f t="shared" si="5"/>
        <v>-</v>
      </c>
      <c r="BA16" s="14"/>
      <c r="BB16" s="13"/>
      <c r="BC16" s="13"/>
      <c r="BD16" s="76"/>
      <c r="BE16" s="76"/>
      <c r="BF16" s="76"/>
      <c r="BG16" s="76"/>
      <c r="BH16" s="76"/>
      <c r="BI16" s="76"/>
      <c r="BJ16" s="76"/>
      <c r="BK16" s="76"/>
      <c r="BL16" s="79"/>
      <c r="BM16" s="79"/>
      <c r="BN16" s="79"/>
      <c r="BO16" s="79"/>
      <c r="BP16" s="79"/>
      <c r="BQ16" s="79"/>
      <c r="BR16" s="79"/>
      <c r="BS16" s="79"/>
      <c r="BT16" s="70"/>
      <c r="BU16" s="70"/>
      <c r="BV16" s="70"/>
      <c r="BW16" s="83"/>
      <c r="BX16" s="83"/>
      <c r="BY16" s="83"/>
      <c r="BZ16" s="83"/>
      <c r="CA16" s="83"/>
      <c r="CB16" s="83"/>
      <c r="CC16" s="83"/>
      <c r="CD16" s="83"/>
      <c r="CE16" s="84"/>
      <c r="CF16" s="84"/>
      <c r="CG16" s="84"/>
      <c r="CH16" s="76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80"/>
    </row>
    <row r="17" spans="2:106" ht="13.7" customHeight="1">
      <c r="B17" s="15"/>
      <c r="C17" s="186" t="s">
        <v>17</v>
      </c>
      <c r="D17" s="187"/>
      <c r="E17" s="187"/>
      <c r="F17" s="187"/>
      <c r="G17" s="187"/>
      <c r="H17" s="255"/>
      <c r="I17" s="226"/>
      <c r="J17" s="227"/>
      <c r="K17" s="227"/>
      <c r="L17" s="227"/>
      <c r="M17" s="227"/>
      <c r="N17" s="227"/>
      <c r="O17" s="227"/>
      <c r="P17" s="227"/>
      <c r="Q17" s="228" t="str">
        <f t="shared" si="0"/>
        <v>-</v>
      </c>
      <c r="R17" s="228" t="str">
        <f t="shared" si="1"/>
        <v>-</v>
      </c>
      <c r="S17" s="229" t="str">
        <f t="shared" si="1"/>
        <v>-</v>
      </c>
      <c r="T17" s="230"/>
      <c r="U17" s="231"/>
      <c r="V17" s="231"/>
      <c r="W17" s="231"/>
      <c r="X17" s="231"/>
      <c r="Y17" s="231"/>
      <c r="Z17" s="231"/>
      <c r="AA17" s="231"/>
      <c r="AB17" s="247"/>
      <c r="AC17" s="247"/>
      <c r="AD17" s="248"/>
      <c r="AE17" s="230"/>
      <c r="AF17" s="231"/>
      <c r="AG17" s="231"/>
      <c r="AH17" s="231"/>
      <c r="AI17" s="231"/>
      <c r="AJ17" s="231"/>
      <c r="AK17" s="231"/>
      <c r="AL17" s="231"/>
      <c r="AM17" s="247"/>
      <c r="AN17" s="247"/>
      <c r="AO17" s="248"/>
      <c r="AP17" s="241"/>
      <c r="AQ17" s="238"/>
      <c r="AR17" s="238"/>
      <c r="AS17" s="238"/>
      <c r="AT17" s="238"/>
      <c r="AU17" s="238"/>
      <c r="AV17" s="238"/>
      <c r="AW17" s="238"/>
      <c r="AX17" s="239" t="str">
        <f t="shared" si="3"/>
        <v>-</v>
      </c>
      <c r="AY17" s="239" t="str">
        <f t="shared" si="4"/>
        <v>-</v>
      </c>
      <c r="AZ17" s="240" t="str">
        <f t="shared" si="5"/>
        <v>-</v>
      </c>
      <c r="BA17" s="14"/>
      <c r="BB17" s="13"/>
      <c r="BC17" s="13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39"/>
      <c r="CE17" s="13"/>
      <c r="CF17" s="16"/>
      <c r="CG17" s="16"/>
      <c r="CH17" s="13"/>
      <c r="CI17" s="75"/>
      <c r="CJ17" s="75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73"/>
      <c r="CY17" s="80"/>
    </row>
    <row r="18" spans="2:106" ht="13.7" customHeight="1" thickBot="1">
      <c r="B18" s="15"/>
      <c r="C18" s="186" t="s">
        <v>108</v>
      </c>
      <c r="D18" s="187"/>
      <c r="E18" s="187"/>
      <c r="F18" s="187"/>
      <c r="G18" s="187"/>
      <c r="H18" s="187"/>
      <c r="I18" s="242"/>
      <c r="J18" s="243"/>
      <c r="K18" s="243"/>
      <c r="L18" s="244"/>
      <c r="M18" s="227"/>
      <c r="N18" s="227"/>
      <c r="O18" s="227"/>
      <c r="P18" s="227"/>
      <c r="Q18" s="228" t="str">
        <f t="shared" si="0"/>
        <v>-</v>
      </c>
      <c r="R18" s="228" t="str">
        <f t="shared" si="1"/>
        <v>-</v>
      </c>
      <c r="S18" s="229" t="str">
        <f t="shared" si="1"/>
        <v>-</v>
      </c>
      <c r="T18" s="230"/>
      <c r="U18" s="231"/>
      <c r="V18" s="231"/>
      <c r="W18" s="231"/>
      <c r="X18" s="231"/>
      <c r="Y18" s="231"/>
      <c r="Z18" s="231"/>
      <c r="AA18" s="231"/>
      <c r="AB18" s="247"/>
      <c r="AC18" s="247"/>
      <c r="AD18" s="248"/>
      <c r="AE18" s="230"/>
      <c r="AF18" s="231"/>
      <c r="AG18" s="231"/>
      <c r="AH18" s="231"/>
      <c r="AI18" s="231"/>
      <c r="AJ18" s="231"/>
      <c r="AK18" s="231"/>
      <c r="AL18" s="231"/>
      <c r="AM18" s="247"/>
      <c r="AN18" s="247"/>
      <c r="AO18" s="248"/>
      <c r="AP18" s="241"/>
      <c r="AQ18" s="238"/>
      <c r="AR18" s="238"/>
      <c r="AS18" s="238"/>
      <c r="AT18" s="238"/>
      <c r="AU18" s="238"/>
      <c r="AV18" s="238"/>
      <c r="AW18" s="238"/>
      <c r="AX18" s="239" t="str">
        <f t="shared" si="3"/>
        <v>-</v>
      </c>
      <c r="AY18" s="239" t="str">
        <f t="shared" si="4"/>
        <v>-</v>
      </c>
      <c r="AZ18" s="240" t="str">
        <f t="shared" si="5"/>
        <v>-</v>
      </c>
      <c r="BA18" s="14"/>
      <c r="BD18" s="2" t="s">
        <v>208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CG18" s="4" t="s">
        <v>3</v>
      </c>
      <c r="CH18" s="75"/>
      <c r="CI18" s="80"/>
      <c r="CJ18" s="80"/>
      <c r="CK18" s="75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Z18" s="77"/>
      <c r="DA18" s="77"/>
      <c r="DB18" s="77"/>
    </row>
    <row r="19" spans="2:106" ht="13.7" customHeight="1">
      <c r="B19" s="15"/>
      <c r="C19" s="224" t="s">
        <v>18</v>
      </c>
      <c r="D19" s="225"/>
      <c r="E19" s="225"/>
      <c r="F19" s="225"/>
      <c r="G19" s="225"/>
      <c r="H19" s="225"/>
      <c r="I19" s="226"/>
      <c r="J19" s="227"/>
      <c r="K19" s="227"/>
      <c r="L19" s="227"/>
      <c r="M19" s="227"/>
      <c r="N19" s="227"/>
      <c r="O19" s="227"/>
      <c r="P19" s="227"/>
      <c r="Q19" s="228" t="str">
        <f t="shared" si="0"/>
        <v>-</v>
      </c>
      <c r="R19" s="228" t="str">
        <f t="shared" si="1"/>
        <v>-</v>
      </c>
      <c r="S19" s="229" t="str">
        <f t="shared" si="1"/>
        <v>-</v>
      </c>
      <c r="T19" s="230"/>
      <c r="U19" s="231"/>
      <c r="V19" s="231"/>
      <c r="W19" s="231"/>
      <c r="X19" s="231"/>
      <c r="Y19" s="231"/>
      <c r="Z19" s="231"/>
      <c r="AA19" s="231"/>
      <c r="AB19" s="247"/>
      <c r="AC19" s="247"/>
      <c r="AD19" s="248"/>
      <c r="AE19" s="226"/>
      <c r="AF19" s="227"/>
      <c r="AG19" s="227"/>
      <c r="AH19" s="227"/>
      <c r="AI19" s="227"/>
      <c r="AJ19" s="227"/>
      <c r="AK19" s="227"/>
      <c r="AL19" s="227"/>
      <c r="AM19" s="228" t="str">
        <f>IF(AE19="-", "-", IF(AI19="-", "-", IF(ABS(AI19)=0, "-", ROUND(100*(AE19-AI19)/ABS(AI19), 1))))</f>
        <v>-</v>
      </c>
      <c r="AN19" s="228" t="str">
        <f t="shared" ref="AN19:AO22" si="9">IF(AJ19="-", "-", IF(AL19="-", "-", IF(ABS(AL19)=0, "-", ROUND(100*(AJ19-AL19)/ABS(AL19), 1))))</f>
        <v>-</v>
      </c>
      <c r="AO19" s="229" t="str">
        <f t="shared" si="9"/>
        <v>-</v>
      </c>
      <c r="AP19" s="241"/>
      <c r="AQ19" s="238"/>
      <c r="AR19" s="238"/>
      <c r="AS19" s="238"/>
      <c r="AT19" s="238"/>
      <c r="AU19" s="238"/>
      <c r="AV19" s="238"/>
      <c r="AW19" s="238"/>
      <c r="AX19" s="239" t="str">
        <f t="shared" si="3"/>
        <v>-</v>
      </c>
      <c r="AY19" s="239" t="str">
        <f t="shared" si="4"/>
        <v>-</v>
      </c>
      <c r="AZ19" s="240" t="str">
        <f t="shared" si="5"/>
        <v>-</v>
      </c>
      <c r="BA19" s="14"/>
      <c r="BD19" s="268"/>
      <c r="BE19" s="269"/>
      <c r="BF19" s="269"/>
      <c r="BG19" s="269"/>
      <c r="BH19" s="269"/>
      <c r="BI19" s="269"/>
      <c r="BJ19" s="269"/>
      <c r="BK19" s="270"/>
      <c r="BL19" s="194" t="s">
        <v>83</v>
      </c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194" t="s">
        <v>84</v>
      </c>
      <c r="BX19" s="274"/>
      <c r="BY19" s="274"/>
      <c r="BZ19" s="274"/>
      <c r="CA19" s="274"/>
      <c r="CB19" s="274"/>
      <c r="CC19" s="274"/>
      <c r="CD19" s="274"/>
      <c r="CE19" s="274"/>
      <c r="CF19" s="274"/>
      <c r="CG19" s="275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</row>
    <row r="20" spans="2:106" ht="13.7" customHeight="1" thickBot="1">
      <c r="B20" s="15"/>
      <c r="C20" s="224" t="s">
        <v>113</v>
      </c>
      <c r="D20" s="225"/>
      <c r="E20" s="225"/>
      <c r="F20" s="225"/>
      <c r="G20" s="225"/>
      <c r="H20" s="225"/>
      <c r="I20" s="242"/>
      <c r="J20" s="243"/>
      <c r="K20" s="243"/>
      <c r="L20" s="244"/>
      <c r="M20" s="227"/>
      <c r="N20" s="227"/>
      <c r="O20" s="227"/>
      <c r="P20" s="227"/>
      <c r="Q20" s="228" t="str">
        <f t="shared" si="0"/>
        <v>-</v>
      </c>
      <c r="R20" s="228" t="str">
        <f t="shared" si="1"/>
        <v>-</v>
      </c>
      <c r="S20" s="229" t="str">
        <f t="shared" si="1"/>
        <v>-</v>
      </c>
      <c r="T20" s="230"/>
      <c r="U20" s="231"/>
      <c r="V20" s="231"/>
      <c r="W20" s="231"/>
      <c r="X20" s="231"/>
      <c r="Y20" s="231"/>
      <c r="Z20" s="231"/>
      <c r="AA20" s="231"/>
      <c r="AB20" s="247"/>
      <c r="AC20" s="247"/>
      <c r="AD20" s="248"/>
      <c r="AE20" s="226"/>
      <c r="AF20" s="227"/>
      <c r="AG20" s="227"/>
      <c r="AH20" s="227"/>
      <c r="AI20" s="227"/>
      <c r="AJ20" s="227"/>
      <c r="AK20" s="227"/>
      <c r="AL20" s="227"/>
      <c r="AM20" s="228" t="str">
        <f>IF(AE20="-", "-", IF(AI20="-", "-", IF(ABS(AI20)=0, "-", ROUND(100*(AE20-AI20)/ABS(AI20), 1))))</f>
        <v>-</v>
      </c>
      <c r="AN20" s="228" t="str">
        <f t="shared" si="9"/>
        <v>-</v>
      </c>
      <c r="AO20" s="229" t="str">
        <f t="shared" si="9"/>
        <v>-</v>
      </c>
      <c r="AP20" s="241"/>
      <c r="AQ20" s="238"/>
      <c r="AR20" s="238"/>
      <c r="AS20" s="238"/>
      <c r="AT20" s="238"/>
      <c r="AU20" s="238"/>
      <c r="AV20" s="238"/>
      <c r="AW20" s="238"/>
      <c r="AX20" s="239" t="str">
        <f t="shared" si="3"/>
        <v>-</v>
      </c>
      <c r="AY20" s="239" t="str">
        <f t="shared" si="4"/>
        <v>-</v>
      </c>
      <c r="AZ20" s="240" t="str">
        <f t="shared" si="5"/>
        <v>-</v>
      </c>
      <c r="BA20" s="14"/>
      <c r="BD20" s="271"/>
      <c r="BE20" s="272"/>
      <c r="BF20" s="272"/>
      <c r="BG20" s="272"/>
      <c r="BH20" s="272"/>
      <c r="BI20" s="272"/>
      <c r="BJ20" s="272"/>
      <c r="BK20" s="273"/>
      <c r="BL20" s="198">
        <f>IF($B$1&lt;&gt;"",$B$1,"")</f>
        <v>0</v>
      </c>
      <c r="BM20" s="199"/>
      <c r="BN20" s="199"/>
      <c r="BO20" s="199"/>
      <c r="BP20" s="200">
        <f>IF($B$1&lt;&gt;"",$B$1-1,"")</f>
        <v>-1</v>
      </c>
      <c r="BQ20" s="199"/>
      <c r="BR20" s="199"/>
      <c r="BS20" s="201"/>
      <c r="BT20" s="202" t="s">
        <v>142</v>
      </c>
      <c r="BU20" s="203"/>
      <c r="BV20" s="204"/>
      <c r="BW20" s="198">
        <f>IF($B$1&lt;&gt;"",$B$1,"")</f>
        <v>0</v>
      </c>
      <c r="BX20" s="199"/>
      <c r="BY20" s="199"/>
      <c r="BZ20" s="199"/>
      <c r="CA20" s="200">
        <f>IF($B$1&lt;&gt;"",$B$1-1,"")</f>
        <v>-1</v>
      </c>
      <c r="CB20" s="199"/>
      <c r="CC20" s="199"/>
      <c r="CD20" s="201"/>
      <c r="CE20" s="202" t="s">
        <v>142</v>
      </c>
      <c r="CF20" s="203"/>
      <c r="CG20" s="204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</row>
    <row r="21" spans="2:106" ht="13.7" customHeight="1">
      <c r="B21" s="15"/>
      <c r="C21" s="224" t="s">
        <v>19</v>
      </c>
      <c r="D21" s="225"/>
      <c r="E21" s="225"/>
      <c r="F21" s="225"/>
      <c r="G21" s="225"/>
      <c r="H21" s="225"/>
      <c r="I21" s="226"/>
      <c r="J21" s="227"/>
      <c r="K21" s="227"/>
      <c r="L21" s="227"/>
      <c r="M21" s="227"/>
      <c r="N21" s="227"/>
      <c r="O21" s="227"/>
      <c r="P21" s="227"/>
      <c r="Q21" s="228" t="str">
        <f t="shared" si="0"/>
        <v>-</v>
      </c>
      <c r="R21" s="228" t="str">
        <f t="shared" si="1"/>
        <v>-</v>
      </c>
      <c r="S21" s="229" t="str">
        <f t="shared" si="1"/>
        <v>-</v>
      </c>
      <c r="T21" s="230"/>
      <c r="U21" s="231"/>
      <c r="V21" s="231"/>
      <c r="W21" s="231"/>
      <c r="X21" s="231"/>
      <c r="Y21" s="231"/>
      <c r="Z21" s="231"/>
      <c r="AA21" s="231"/>
      <c r="AB21" s="247"/>
      <c r="AC21" s="247"/>
      <c r="AD21" s="248"/>
      <c r="AE21" s="226"/>
      <c r="AF21" s="227"/>
      <c r="AG21" s="227"/>
      <c r="AH21" s="227"/>
      <c r="AI21" s="227"/>
      <c r="AJ21" s="227"/>
      <c r="AK21" s="227"/>
      <c r="AL21" s="227"/>
      <c r="AM21" s="228" t="str">
        <f>IF(AE21="-", "-", IF(AI21="-", "-", IF(ABS(AI21)=0, "-", ROUND(100*(AE21-AI21)/ABS(AI21), 1))))</f>
        <v>-</v>
      </c>
      <c r="AN21" s="228" t="str">
        <f t="shared" si="9"/>
        <v>-</v>
      </c>
      <c r="AO21" s="229" t="str">
        <f t="shared" si="9"/>
        <v>-</v>
      </c>
      <c r="AP21" s="241"/>
      <c r="AQ21" s="238"/>
      <c r="AR21" s="238"/>
      <c r="AS21" s="238"/>
      <c r="AT21" s="238"/>
      <c r="AU21" s="238"/>
      <c r="AV21" s="238"/>
      <c r="AW21" s="238"/>
      <c r="AX21" s="239" t="str">
        <f t="shared" si="3"/>
        <v>-</v>
      </c>
      <c r="AY21" s="239" t="str">
        <f t="shared" si="4"/>
        <v>-</v>
      </c>
      <c r="AZ21" s="240" t="str">
        <f t="shared" si="5"/>
        <v>-</v>
      </c>
      <c r="BA21" s="14"/>
      <c r="BD21" s="276" t="s">
        <v>109</v>
      </c>
      <c r="BE21" s="277"/>
      <c r="BF21" s="277"/>
      <c r="BG21" s="277"/>
      <c r="BH21" s="277"/>
      <c r="BI21" s="277"/>
      <c r="BJ21" s="277"/>
      <c r="BK21" s="278"/>
      <c r="BL21" s="217"/>
      <c r="BM21" s="214"/>
      <c r="BN21" s="214"/>
      <c r="BO21" s="214"/>
      <c r="BP21" s="214"/>
      <c r="BQ21" s="214"/>
      <c r="BR21" s="214"/>
      <c r="BS21" s="214"/>
      <c r="BT21" s="215" t="str">
        <f>IF(BL21="-", "-", IF(BP21="-", "-", IF(ABS(BP21)=0, "-", ROUND(100*(BL21-BP21)/ABS(BP21), 1))))</f>
        <v>-</v>
      </c>
      <c r="BU21" s="215" t="str">
        <f>IF(BQ21="-", "-", IF(BS21="-", "-", IF(ABS(BS21)=0, "-", ROUND(100*(BQ21-BS21)/ABS(BS21), 1))))</f>
        <v>-</v>
      </c>
      <c r="BV21" s="216" t="str">
        <f>IF(BR21="-", "-", IF(BT21="-", "-", IF(ABS(BT21)=0, "-", ROUND(100*(BR21-BT21)/ABS(BT21), 1))))</f>
        <v>-</v>
      </c>
      <c r="BW21" s="217"/>
      <c r="BX21" s="214"/>
      <c r="BY21" s="214"/>
      <c r="BZ21" s="214"/>
      <c r="CA21" s="214"/>
      <c r="CB21" s="214"/>
      <c r="CC21" s="214"/>
      <c r="CD21" s="214"/>
      <c r="CE21" s="215" t="str">
        <f t="shared" ref="CE21:CE29" si="10">IF(BW21="-", "-", IF(CA21="-", "-", IF(ABS(CA21)=0, "-", ROUND(100*(BW21-CA21)/ABS(CA21), 1))))</f>
        <v>-</v>
      </c>
      <c r="CF21" s="215" t="str">
        <f t="shared" ref="CF21:CG29" si="11">IF(CB21="-", "-", IF(CD21="-", "-", IF(ABS(CD21)=0, "-", ROUND(100*(CB21-CD21)/ABS(CD21), 1))))</f>
        <v>-</v>
      </c>
      <c r="CG21" s="216" t="str">
        <f t="shared" si="11"/>
        <v>-</v>
      </c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</row>
    <row r="22" spans="2:106" ht="13.7" customHeight="1">
      <c r="B22" s="7"/>
      <c r="C22" s="224" t="s">
        <v>20</v>
      </c>
      <c r="D22" s="225"/>
      <c r="E22" s="225"/>
      <c r="F22" s="225"/>
      <c r="G22" s="225"/>
      <c r="H22" s="225"/>
      <c r="I22" s="242"/>
      <c r="J22" s="243"/>
      <c r="K22" s="243"/>
      <c r="L22" s="244"/>
      <c r="M22" s="227"/>
      <c r="N22" s="227"/>
      <c r="O22" s="227"/>
      <c r="P22" s="227"/>
      <c r="Q22" s="228" t="str">
        <f t="shared" si="0"/>
        <v>-</v>
      </c>
      <c r="R22" s="228" t="str">
        <f t="shared" si="1"/>
        <v>-</v>
      </c>
      <c r="S22" s="229" t="str">
        <f t="shared" si="1"/>
        <v>-</v>
      </c>
      <c r="T22" s="230"/>
      <c r="U22" s="231"/>
      <c r="V22" s="231"/>
      <c r="W22" s="231"/>
      <c r="X22" s="231"/>
      <c r="Y22" s="231"/>
      <c r="Z22" s="231"/>
      <c r="AA22" s="231"/>
      <c r="AB22" s="247"/>
      <c r="AC22" s="247"/>
      <c r="AD22" s="248"/>
      <c r="AE22" s="226"/>
      <c r="AF22" s="227"/>
      <c r="AG22" s="227"/>
      <c r="AH22" s="227"/>
      <c r="AI22" s="227"/>
      <c r="AJ22" s="227"/>
      <c r="AK22" s="227"/>
      <c r="AL22" s="227"/>
      <c r="AM22" s="228" t="str">
        <f>IF(AE22="-", "-", IF(AI22="-", "-", IF(ABS(AI22)=0, "-", ROUND(100*(AE22-AI22)/ABS(AI22), 1))))</f>
        <v>-</v>
      </c>
      <c r="AN22" s="228" t="str">
        <f t="shared" si="9"/>
        <v>-</v>
      </c>
      <c r="AO22" s="229" t="str">
        <f t="shared" si="9"/>
        <v>-</v>
      </c>
      <c r="AP22" s="241"/>
      <c r="AQ22" s="238"/>
      <c r="AR22" s="238"/>
      <c r="AS22" s="238"/>
      <c r="AT22" s="238"/>
      <c r="AU22" s="238"/>
      <c r="AV22" s="238"/>
      <c r="AW22" s="238"/>
      <c r="AX22" s="239" t="str">
        <f t="shared" si="3"/>
        <v>-</v>
      </c>
      <c r="AY22" s="239" t="str">
        <f t="shared" si="4"/>
        <v>-</v>
      </c>
      <c r="AZ22" s="240" t="str">
        <f t="shared" si="5"/>
        <v>-</v>
      </c>
      <c r="BA22" s="14"/>
      <c r="BD22" s="286" t="s">
        <v>413</v>
      </c>
      <c r="BE22" s="287"/>
      <c r="BF22" s="287"/>
      <c r="BG22" s="288"/>
      <c r="BH22" s="292" t="s">
        <v>216</v>
      </c>
      <c r="BI22" s="293"/>
      <c r="BJ22" s="293"/>
      <c r="BK22" s="294"/>
      <c r="BL22" s="230"/>
      <c r="BM22" s="231"/>
      <c r="BN22" s="231"/>
      <c r="BO22" s="231"/>
      <c r="BP22" s="231"/>
      <c r="BQ22" s="231"/>
      <c r="BR22" s="231"/>
      <c r="BS22" s="231"/>
      <c r="BT22" s="247"/>
      <c r="BU22" s="247"/>
      <c r="BV22" s="248"/>
      <c r="BW22" s="285"/>
      <c r="BX22" s="282"/>
      <c r="BY22" s="282"/>
      <c r="BZ22" s="282"/>
      <c r="CA22" s="282"/>
      <c r="CB22" s="282"/>
      <c r="CC22" s="282"/>
      <c r="CD22" s="282"/>
      <c r="CE22" s="283" t="str">
        <f t="shared" si="10"/>
        <v>-</v>
      </c>
      <c r="CF22" s="283" t="str">
        <f t="shared" si="11"/>
        <v>-</v>
      </c>
      <c r="CG22" s="284" t="str">
        <f t="shared" si="11"/>
        <v>-</v>
      </c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</row>
    <row r="23" spans="2:106" ht="13.7" customHeight="1">
      <c r="B23" s="279" t="s">
        <v>12</v>
      </c>
      <c r="C23" s="280"/>
      <c r="D23" s="280"/>
      <c r="E23" s="280"/>
      <c r="F23" s="280"/>
      <c r="G23" s="281"/>
      <c r="H23" s="281"/>
      <c r="I23" s="226"/>
      <c r="J23" s="227"/>
      <c r="K23" s="227"/>
      <c r="L23" s="227"/>
      <c r="M23" s="227"/>
      <c r="N23" s="227"/>
      <c r="O23" s="227"/>
      <c r="P23" s="227"/>
      <c r="Q23" s="228" t="str">
        <f t="shared" si="0"/>
        <v>-</v>
      </c>
      <c r="R23" s="228" t="str">
        <f t="shared" si="1"/>
        <v>-</v>
      </c>
      <c r="S23" s="229" t="str">
        <f t="shared" si="1"/>
        <v>-</v>
      </c>
      <c r="T23" s="226"/>
      <c r="U23" s="227"/>
      <c r="V23" s="227"/>
      <c r="W23" s="227"/>
      <c r="X23" s="227"/>
      <c r="Y23" s="227"/>
      <c r="Z23" s="227"/>
      <c r="AA23" s="227"/>
      <c r="AB23" s="228" t="str">
        <f>IF(T23="-", "-", IF(X23="-", "-", IF(ABS(X23)=0, "-", ROUND(100*(T23-X23)/ABS(X23), 1))))</f>
        <v>-</v>
      </c>
      <c r="AC23" s="228" t="str">
        <f t="shared" ref="AC23:AD26" si="12">IF(Y23="-", "-", IF(AA23="-", "-", IF(ABS(AA23)=0, "-", ROUND(100*(Y23-AA23)/ABS(AA23), 1))))</f>
        <v>-</v>
      </c>
      <c r="AD23" s="229" t="str">
        <f t="shared" si="12"/>
        <v>-</v>
      </c>
      <c r="AE23" s="230"/>
      <c r="AF23" s="231"/>
      <c r="AG23" s="231"/>
      <c r="AH23" s="231"/>
      <c r="AI23" s="231"/>
      <c r="AJ23" s="231"/>
      <c r="AK23" s="231"/>
      <c r="AL23" s="231"/>
      <c r="AM23" s="247"/>
      <c r="AN23" s="247"/>
      <c r="AO23" s="248"/>
      <c r="AP23" s="241"/>
      <c r="AQ23" s="238"/>
      <c r="AR23" s="238"/>
      <c r="AS23" s="238"/>
      <c r="AT23" s="238"/>
      <c r="AU23" s="238"/>
      <c r="AV23" s="238"/>
      <c r="AW23" s="238"/>
      <c r="AX23" s="239" t="str">
        <f t="shared" si="3"/>
        <v>-</v>
      </c>
      <c r="AY23" s="239" t="str">
        <f t="shared" si="4"/>
        <v>-</v>
      </c>
      <c r="AZ23" s="240" t="str">
        <f t="shared" si="5"/>
        <v>-</v>
      </c>
      <c r="BA23" s="14"/>
      <c r="BD23" s="289"/>
      <c r="BE23" s="290"/>
      <c r="BF23" s="290"/>
      <c r="BG23" s="291"/>
      <c r="BH23" s="295" t="s">
        <v>187</v>
      </c>
      <c r="BI23" s="296"/>
      <c r="BJ23" s="296"/>
      <c r="BK23" s="297"/>
      <c r="BL23" s="230"/>
      <c r="BM23" s="231"/>
      <c r="BN23" s="231"/>
      <c r="BO23" s="231"/>
      <c r="BP23" s="231"/>
      <c r="BQ23" s="231"/>
      <c r="BR23" s="231"/>
      <c r="BS23" s="231"/>
      <c r="BT23" s="247"/>
      <c r="BU23" s="247"/>
      <c r="BV23" s="248"/>
      <c r="BW23" s="285"/>
      <c r="BX23" s="282"/>
      <c r="BY23" s="282"/>
      <c r="BZ23" s="282"/>
      <c r="CA23" s="282"/>
      <c r="CB23" s="282"/>
      <c r="CC23" s="282"/>
      <c r="CD23" s="282"/>
      <c r="CE23" s="283" t="str">
        <f t="shared" si="10"/>
        <v>-</v>
      </c>
      <c r="CF23" s="283" t="str">
        <f t="shared" si="11"/>
        <v>-</v>
      </c>
      <c r="CG23" s="284" t="str">
        <f t="shared" si="11"/>
        <v>-</v>
      </c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</row>
    <row r="24" spans="2:106" ht="13.7" customHeight="1">
      <c r="B24" s="15"/>
      <c r="C24" s="224" t="s">
        <v>21</v>
      </c>
      <c r="D24" s="225"/>
      <c r="E24" s="225"/>
      <c r="F24" s="225"/>
      <c r="G24" s="225"/>
      <c r="H24" s="225"/>
      <c r="I24" s="242"/>
      <c r="J24" s="243"/>
      <c r="K24" s="243"/>
      <c r="L24" s="244"/>
      <c r="M24" s="227"/>
      <c r="N24" s="227"/>
      <c r="O24" s="227"/>
      <c r="P24" s="227"/>
      <c r="Q24" s="228" t="str">
        <f t="shared" si="0"/>
        <v>-</v>
      </c>
      <c r="R24" s="228" t="str">
        <f t="shared" si="1"/>
        <v>-</v>
      </c>
      <c r="S24" s="229" t="str">
        <f t="shared" si="1"/>
        <v>-</v>
      </c>
      <c r="T24" s="226"/>
      <c r="U24" s="227"/>
      <c r="V24" s="227"/>
      <c r="W24" s="227"/>
      <c r="X24" s="227"/>
      <c r="Y24" s="227"/>
      <c r="Z24" s="227"/>
      <c r="AA24" s="227"/>
      <c r="AB24" s="228" t="str">
        <f>IF(T24="-", "-", IF(X24="-", "-", IF(ABS(X24)=0, "-", ROUND(100*(T24-X24)/ABS(X24), 1))))</f>
        <v>-</v>
      </c>
      <c r="AC24" s="228" t="str">
        <f t="shared" si="12"/>
        <v>-</v>
      </c>
      <c r="AD24" s="229" t="str">
        <f t="shared" si="12"/>
        <v>-</v>
      </c>
      <c r="AE24" s="230"/>
      <c r="AF24" s="231"/>
      <c r="AG24" s="231"/>
      <c r="AH24" s="231"/>
      <c r="AI24" s="231"/>
      <c r="AJ24" s="231"/>
      <c r="AK24" s="231"/>
      <c r="AL24" s="231"/>
      <c r="AM24" s="247"/>
      <c r="AN24" s="247"/>
      <c r="AO24" s="248"/>
      <c r="AP24" s="241"/>
      <c r="AQ24" s="238"/>
      <c r="AR24" s="238"/>
      <c r="AS24" s="238"/>
      <c r="AT24" s="238"/>
      <c r="AU24" s="238"/>
      <c r="AV24" s="238"/>
      <c r="AW24" s="238"/>
      <c r="AX24" s="239" t="str">
        <f t="shared" si="3"/>
        <v>-</v>
      </c>
      <c r="AY24" s="239" t="str">
        <f t="shared" si="4"/>
        <v>-</v>
      </c>
      <c r="AZ24" s="240" t="str">
        <f t="shared" si="5"/>
        <v>-</v>
      </c>
      <c r="BA24" s="14"/>
      <c r="BD24" s="298" t="s">
        <v>174</v>
      </c>
      <c r="BE24" s="299"/>
      <c r="BF24" s="299"/>
      <c r="BG24" s="299"/>
      <c r="BH24" s="299"/>
      <c r="BI24" s="299"/>
      <c r="BJ24" s="299"/>
      <c r="BK24" s="300"/>
      <c r="BL24" s="230"/>
      <c r="BM24" s="231"/>
      <c r="BN24" s="231"/>
      <c r="BO24" s="231"/>
      <c r="BP24" s="231"/>
      <c r="BQ24" s="231"/>
      <c r="BR24" s="231"/>
      <c r="BS24" s="231"/>
      <c r="BT24" s="247"/>
      <c r="BU24" s="247"/>
      <c r="BV24" s="248"/>
      <c r="BW24" s="285"/>
      <c r="BX24" s="282"/>
      <c r="BY24" s="282"/>
      <c r="BZ24" s="282"/>
      <c r="CA24" s="227"/>
      <c r="CB24" s="227"/>
      <c r="CC24" s="227"/>
      <c r="CD24" s="227"/>
      <c r="CE24" s="228" t="str">
        <f t="shared" si="10"/>
        <v>-</v>
      </c>
      <c r="CF24" s="228" t="str">
        <f t="shared" si="11"/>
        <v>-</v>
      </c>
      <c r="CG24" s="229" t="str">
        <f t="shared" si="11"/>
        <v>-</v>
      </c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</row>
    <row r="25" spans="2:106" ht="13.7" customHeight="1">
      <c r="B25" s="15"/>
      <c r="C25" s="301" t="s">
        <v>22</v>
      </c>
      <c r="D25" s="302"/>
      <c r="E25" s="302"/>
      <c r="F25" s="302"/>
      <c r="G25" s="302"/>
      <c r="H25" s="302"/>
      <c r="I25" s="226"/>
      <c r="J25" s="227"/>
      <c r="K25" s="227"/>
      <c r="L25" s="227"/>
      <c r="M25" s="227"/>
      <c r="N25" s="227"/>
      <c r="O25" s="227"/>
      <c r="P25" s="227"/>
      <c r="Q25" s="228" t="str">
        <f t="shared" si="0"/>
        <v>-</v>
      </c>
      <c r="R25" s="228" t="str">
        <f t="shared" si="1"/>
        <v>-</v>
      </c>
      <c r="S25" s="229" t="str">
        <f t="shared" si="1"/>
        <v>-</v>
      </c>
      <c r="T25" s="226"/>
      <c r="U25" s="227"/>
      <c r="V25" s="227"/>
      <c r="W25" s="227"/>
      <c r="X25" s="227"/>
      <c r="Y25" s="227"/>
      <c r="Z25" s="227"/>
      <c r="AA25" s="227"/>
      <c r="AB25" s="228" t="str">
        <f>IF(T25="-", "-", IF(X25="-", "-", IF(ABS(X25)=0, "-", ROUND(100*(T25-X25)/ABS(X25), 1))))</f>
        <v>-</v>
      </c>
      <c r="AC25" s="228" t="str">
        <f t="shared" si="12"/>
        <v>-</v>
      </c>
      <c r="AD25" s="229" t="str">
        <f t="shared" si="12"/>
        <v>-</v>
      </c>
      <c r="AE25" s="230"/>
      <c r="AF25" s="231"/>
      <c r="AG25" s="231"/>
      <c r="AH25" s="231"/>
      <c r="AI25" s="231"/>
      <c r="AJ25" s="231"/>
      <c r="AK25" s="231"/>
      <c r="AL25" s="231"/>
      <c r="AM25" s="247"/>
      <c r="AN25" s="247"/>
      <c r="AO25" s="248"/>
      <c r="AP25" s="241"/>
      <c r="AQ25" s="238"/>
      <c r="AR25" s="238"/>
      <c r="AS25" s="238"/>
      <c r="AT25" s="238"/>
      <c r="AU25" s="238"/>
      <c r="AV25" s="238"/>
      <c r="AW25" s="238"/>
      <c r="AX25" s="239" t="str">
        <f t="shared" si="3"/>
        <v>-</v>
      </c>
      <c r="AY25" s="239" t="str">
        <f t="shared" si="4"/>
        <v>-</v>
      </c>
      <c r="AZ25" s="240" t="str">
        <f t="shared" si="5"/>
        <v>-</v>
      </c>
      <c r="BA25" s="14"/>
      <c r="BD25" s="85"/>
      <c r="BE25" s="296" t="s">
        <v>148</v>
      </c>
      <c r="BF25" s="296"/>
      <c r="BG25" s="296"/>
      <c r="BH25" s="296"/>
      <c r="BI25" s="296"/>
      <c r="BJ25" s="296"/>
      <c r="BK25" s="297"/>
      <c r="BL25" s="230"/>
      <c r="BM25" s="231"/>
      <c r="BN25" s="231"/>
      <c r="BO25" s="231"/>
      <c r="BP25" s="231"/>
      <c r="BQ25" s="231"/>
      <c r="BR25" s="231"/>
      <c r="BS25" s="231"/>
      <c r="BT25" s="247"/>
      <c r="BU25" s="247"/>
      <c r="BV25" s="248"/>
      <c r="BW25" s="285"/>
      <c r="BX25" s="282"/>
      <c r="BY25" s="282"/>
      <c r="BZ25" s="282"/>
      <c r="CA25" s="227"/>
      <c r="CB25" s="227"/>
      <c r="CC25" s="227"/>
      <c r="CD25" s="227"/>
      <c r="CE25" s="228" t="str">
        <f t="shared" si="10"/>
        <v>-</v>
      </c>
      <c r="CF25" s="228" t="str">
        <f t="shared" si="11"/>
        <v>-</v>
      </c>
      <c r="CG25" s="229" t="str">
        <f t="shared" si="11"/>
        <v>-</v>
      </c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</row>
    <row r="26" spans="2:106" ht="13.7" customHeight="1">
      <c r="B26" s="303" t="s">
        <v>23</v>
      </c>
      <c r="C26" s="304"/>
      <c r="D26" s="304"/>
      <c r="E26" s="304"/>
      <c r="F26" s="304"/>
      <c r="G26" s="224"/>
      <c r="H26" s="305"/>
      <c r="I26" s="241"/>
      <c r="J26" s="238"/>
      <c r="K26" s="238"/>
      <c r="L26" s="238"/>
      <c r="M26" s="238"/>
      <c r="N26" s="238"/>
      <c r="O26" s="238"/>
      <c r="P26" s="238"/>
      <c r="Q26" s="239" t="str">
        <f t="shared" si="0"/>
        <v>-</v>
      </c>
      <c r="R26" s="239" t="str">
        <f t="shared" si="1"/>
        <v>-</v>
      </c>
      <c r="S26" s="240" t="str">
        <f t="shared" si="1"/>
        <v>-</v>
      </c>
      <c r="T26" s="241"/>
      <c r="U26" s="238"/>
      <c r="V26" s="238"/>
      <c r="W26" s="238"/>
      <c r="X26" s="238"/>
      <c r="Y26" s="238"/>
      <c r="Z26" s="238"/>
      <c r="AA26" s="238"/>
      <c r="AB26" s="239" t="str">
        <f>IF(T26="-", "-", IF(X26="-", "-", IF(ABS(X26)=0, "-", ROUND(100*(T26-X26)/ABS(X26), 1))))</f>
        <v>-</v>
      </c>
      <c r="AC26" s="239" t="str">
        <f t="shared" si="12"/>
        <v>-</v>
      </c>
      <c r="AD26" s="240" t="str">
        <f t="shared" si="12"/>
        <v>-</v>
      </c>
      <c r="AE26" s="241"/>
      <c r="AF26" s="238"/>
      <c r="AG26" s="238"/>
      <c r="AH26" s="238"/>
      <c r="AI26" s="238"/>
      <c r="AJ26" s="238"/>
      <c r="AK26" s="238"/>
      <c r="AL26" s="238"/>
      <c r="AM26" s="239" t="str">
        <f>IF(AE26="-", "-", IF(AI26="-", "-", IF(ABS(AI26)=0, "-", ROUND(100*(AE26-AI26)/ABS(AI26), 1))))</f>
        <v>-</v>
      </c>
      <c r="AN26" s="239" t="str">
        <f>IF(AJ26="-", "-", IF(AL26="-", "-", IF(ABS(AL26)=0, "-", ROUND(100*(AJ26-AL26)/ABS(AL26), 1))))</f>
        <v>-</v>
      </c>
      <c r="AO26" s="240" t="str">
        <f>IF(AK26="-", "-", IF(AM26="-", "-", IF(ABS(AM26)=0, "-", ROUND(100*(AK26-AM26)/ABS(AM26), 1))))</f>
        <v>-</v>
      </c>
      <c r="AP26" s="241"/>
      <c r="AQ26" s="238"/>
      <c r="AR26" s="238"/>
      <c r="AS26" s="238"/>
      <c r="AT26" s="238"/>
      <c r="AU26" s="238"/>
      <c r="AV26" s="238"/>
      <c r="AW26" s="238"/>
      <c r="AX26" s="239" t="str">
        <f t="shared" si="3"/>
        <v>-</v>
      </c>
      <c r="AY26" s="239" t="str">
        <f t="shared" si="4"/>
        <v>-</v>
      </c>
      <c r="AZ26" s="240" t="str">
        <f t="shared" si="5"/>
        <v>-</v>
      </c>
      <c r="BA26" s="14"/>
      <c r="BD26" s="86"/>
      <c r="BE26" s="296" t="s">
        <v>149</v>
      </c>
      <c r="BF26" s="296"/>
      <c r="BG26" s="296"/>
      <c r="BH26" s="296"/>
      <c r="BI26" s="296"/>
      <c r="BJ26" s="296"/>
      <c r="BK26" s="297"/>
      <c r="BL26" s="230"/>
      <c r="BM26" s="231"/>
      <c r="BN26" s="231"/>
      <c r="BO26" s="231"/>
      <c r="BP26" s="231"/>
      <c r="BQ26" s="231"/>
      <c r="BR26" s="231"/>
      <c r="BS26" s="231"/>
      <c r="BT26" s="247"/>
      <c r="BU26" s="247"/>
      <c r="BV26" s="248"/>
      <c r="BW26" s="226"/>
      <c r="BX26" s="227"/>
      <c r="BY26" s="227"/>
      <c r="BZ26" s="227"/>
      <c r="CA26" s="227"/>
      <c r="CB26" s="227"/>
      <c r="CC26" s="227"/>
      <c r="CD26" s="227"/>
      <c r="CE26" s="228" t="str">
        <f t="shared" si="10"/>
        <v>-</v>
      </c>
      <c r="CF26" s="228" t="str">
        <f t="shared" si="11"/>
        <v>-</v>
      </c>
      <c r="CG26" s="229" t="str">
        <f t="shared" si="11"/>
        <v>-</v>
      </c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</row>
    <row r="27" spans="2:106" ht="13.7" customHeight="1">
      <c r="B27" s="303" t="s">
        <v>24</v>
      </c>
      <c r="C27" s="304"/>
      <c r="D27" s="304"/>
      <c r="E27" s="304"/>
      <c r="F27" s="304"/>
      <c r="G27" s="224"/>
      <c r="H27" s="305"/>
      <c r="I27" s="306"/>
      <c r="J27" s="307"/>
      <c r="K27" s="307"/>
      <c r="L27" s="307"/>
      <c r="M27" s="307"/>
      <c r="N27" s="307"/>
      <c r="O27" s="307"/>
      <c r="P27" s="307"/>
      <c r="Q27" s="308"/>
      <c r="R27" s="308"/>
      <c r="S27" s="309"/>
      <c r="T27" s="306"/>
      <c r="U27" s="307"/>
      <c r="V27" s="307"/>
      <c r="W27" s="307"/>
      <c r="X27" s="307"/>
      <c r="Y27" s="307"/>
      <c r="Z27" s="307"/>
      <c r="AA27" s="307"/>
      <c r="AB27" s="308"/>
      <c r="AC27" s="308"/>
      <c r="AD27" s="309"/>
      <c r="AE27" s="306"/>
      <c r="AF27" s="307"/>
      <c r="AG27" s="307"/>
      <c r="AH27" s="307"/>
      <c r="AI27" s="307"/>
      <c r="AJ27" s="307"/>
      <c r="AK27" s="307"/>
      <c r="AL27" s="307"/>
      <c r="AM27" s="308"/>
      <c r="AN27" s="308"/>
      <c r="AO27" s="309"/>
      <c r="AP27" s="241"/>
      <c r="AQ27" s="238"/>
      <c r="AR27" s="238"/>
      <c r="AS27" s="238"/>
      <c r="AT27" s="238"/>
      <c r="AU27" s="238"/>
      <c r="AV27" s="238"/>
      <c r="AW27" s="238"/>
      <c r="AX27" s="239" t="str">
        <f t="shared" si="3"/>
        <v>-</v>
      </c>
      <c r="AY27" s="239" t="str">
        <f t="shared" si="4"/>
        <v>-</v>
      </c>
      <c r="AZ27" s="240" t="str">
        <f t="shared" si="5"/>
        <v>-</v>
      </c>
      <c r="BD27" s="310"/>
      <c r="BE27" s="311"/>
      <c r="BF27" s="311"/>
      <c r="BG27" s="311"/>
      <c r="BH27" s="311"/>
      <c r="BI27" s="311"/>
      <c r="BJ27" s="311"/>
      <c r="BK27" s="312"/>
      <c r="BL27" s="226"/>
      <c r="BM27" s="227"/>
      <c r="BN27" s="227"/>
      <c r="BO27" s="227"/>
      <c r="BP27" s="227"/>
      <c r="BQ27" s="227"/>
      <c r="BR27" s="227"/>
      <c r="BS27" s="227"/>
      <c r="BT27" s="228" t="str">
        <f>IF(BL27="-", "-", IF(BP27="-", "-", IF(ABS(BP27)=0, "-", ROUND(100*(BL27-BP27)/ABS(BP27), 1))))</f>
        <v>-</v>
      </c>
      <c r="BU27" s="228" t="str">
        <f t="shared" ref="BU27:BV29" si="13">IF(BQ27="-", "-", IF(BS27="-", "-", IF(ABS(BS27)=0, "-", ROUND(100*(BQ27-BS27)/ABS(BS27), 1))))</f>
        <v>-</v>
      </c>
      <c r="BV27" s="229" t="str">
        <f t="shared" si="13"/>
        <v>-</v>
      </c>
      <c r="BW27" s="226"/>
      <c r="BX27" s="227"/>
      <c r="BY27" s="227"/>
      <c r="BZ27" s="227"/>
      <c r="CA27" s="227"/>
      <c r="CB27" s="227"/>
      <c r="CC27" s="227"/>
      <c r="CD27" s="227"/>
      <c r="CE27" s="228" t="str">
        <f t="shared" si="10"/>
        <v>-</v>
      </c>
      <c r="CF27" s="228" t="str">
        <f t="shared" si="11"/>
        <v>-</v>
      </c>
      <c r="CG27" s="229" t="str">
        <f t="shared" si="11"/>
        <v>-</v>
      </c>
      <c r="CH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</row>
    <row r="28" spans="2:106" ht="13.7" customHeight="1">
      <c r="B28" s="303" t="s">
        <v>25</v>
      </c>
      <c r="C28" s="304"/>
      <c r="D28" s="304"/>
      <c r="E28" s="304"/>
      <c r="F28" s="304"/>
      <c r="G28" s="224"/>
      <c r="H28" s="305"/>
      <c r="I28" s="306"/>
      <c r="J28" s="307"/>
      <c r="K28" s="307"/>
      <c r="L28" s="307"/>
      <c r="M28" s="307"/>
      <c r="N28" s="307"/>
      <c r="O28" s="307"/>
      <c r="P28" s="307"/>
      <c r="Q28" s="308"/>
      <c r="R28" s="308"/>
      <c r="S28" s="309"/>
      <c r="T28" s="306"/>
      <c r="U28" s="307"/>
      <c r="V28" s="307"/>
      <c r="W28" s="307"/>
      <c r="X28" s="307"/>
      <c r="Y28" s="307"/>
      <c r="Z28" s="307"/>
      <c r="AA28" s="307"/>
      <c r="AB28" s="308"/>
      <c r="AC28" s="308"/>
      <c r="AD28" s="309"/>
      <c r="AE28" s="306"/>
      <c r="AF28" s="307"/>
      <c r="AG28" s="307"/>
      <c r="AH28" s="307"/>
      <c r="AI28" s="307"/>
      <c r="AJ28" s="307"/>
      <c r="AK28" s="307"/>
      <c r="AL28" s="307"/>
      <c r="AM28" s="308"/>
      <c r="AN28" s="308"/>
      <c r="AO28" s="309"/>
      <c r="AP28" s="241"/>
      <c r="AQ28" s="238"/>
      <c r="AR28" s="238"/>
      <c r="AS28" s="238"/>
      <c r="AT28" s="238"/>
      <c r="AU28" s="238"/>
      <c r="AV28" s="238"/>
      <c r="AW28" s="238"/>
      <c r="AX28" s="239" t="str">
        <f t="shared" si="3"/>
        <v>-</v>
      </c>
      <c r="AY28" s="239" t="str">
        <f t="shared" si="4"/>
        <v>-</v>
      </c>
      <c r="AZ28" s="240" t="str">
        <f t="shared" si="5"/>
        <v>-</v>
      </c>
      <c r="BB28" s="77"/>
      <c r="BC28" s="77"/>
      <c r="BD28" s="310"/>
      <c r="BE28" s="311"/>
      <c r="BF28" s="311"/>
      <c r="BG28" s="311"/>
      <c r="BH28" s="311"/>
      <c r="BI28" s="311"/>
      <c r="BJ28" s="311"/>
      <c r="BK28" s="312"/>
      <c r="BL28" s="226"/>
      <c r="BM28" s="227"/>
      <c r="BN28" s="227"/>
      <c r="BO28" s="227"/>
      <c r="BP28" s="227"/>
      <c r="BQ28" s="227"/>
      <c r="BR28" s="227"/>
      <c r="BS28" s="227"/>
      <c r="BT28" s="228" t="str">
        <f>IF(BL28="-", "-", IF(BP28="-", "-", IF(ABS(BP28)=0, "-", ROUND(100*(BL28-BP28)/ABS(BP28), 1))))</f>
        <v>-</v>
      </c>
      <c r="BU28" s="228" t="str">
        <f t="shared" si="13"/>
        <v>-</v>
      </c>
      <c r="BV28" s="229" t="str">
        <f t="shared" si="13"/>
        <v>-</v>
      </c>
      <c r="BW28" s="226"/>
      <c r="BX28" s="227"/>
      <c r="BY28" s="227"/>
      <c r="BZ28" s="227"/>
      <c r="CA28" s="227"/>
      <c r="CB28" s="227"/>
      <c r="CC28" s="227"/>
      <c r="CD28" s="227"/>
      <c r="CE28" s="228" t="str">
        <f t="shared" si="10"/>
        <v>-</v>
      </c>
      <c r="CF28" s="228" t="str">
        <f t="shared" si="11"/>
        <v>-</v>
      </c>
      <c r="CG28" s="229" t="str">
        <f t="shared" si="11"/>
        <v>-</v>
      </c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</row>
    <row r="29" spans="2:106" ht="13.7" customHeight="1" thickBot="1">
      <c r="B29" s="303" t="s">
        <v>26</v>
      </c>
      <c r="C29" s="304"/>
      <c r="D29" s="304"/>
      <c r="E29" s="304"/>
      <c r="F29" s="304"/>
      <c r="G29" s="224"/>
      <c r="H29" s="305"/>
      <c r="I29" s="306"/>
      <c r="J29" s="307"/>
      <c r="K29" s="307"/>
      <c r="L29" s="307"/>
      <c r="M29" s="307"/>
      <c r="N29" s="307"/>
      <c r="O29" s="307"/>
      <c r="P29" s="307"/>
      <c r="Q29" s="308"/>
      <c r="R29" s="308"/>
      <c r="S29" s="309"/>
      <c r="T29" s="306"/>
      <c r="U29" s="307"/>
      <c r="V29" s="307"/>
      <c r="W29" s="307"/>
      <c r="X29" s="307"/>
      <c r="Y29" s="307"/>
      <c r="Z29" s="307"/>
      <c r="AA29" s="307"/>
      <c r="AB29" s="308"/>
      <c r="AC29" s="308"/>
      <c r="AD29" s="309"/>
      <c r="AE29" s="306"/>
      <c r="AF29" s="307"/>
      <c r="AG29" s="307"/>
      <c r="AH29" s="307"/>
      <c r="AI29" s="307"/>
      <c r="AJ29" s="307"/>
      <c r="AK29" s="307"/>
      <c r="AL29" s="307"/>
      <c r="AM29" s="308"/>
      <c r="AN29" s="308"/>
      <c r="AO29" s="309"/>
      <c r="AP29" s="241"/>
      <c r="AQ29" s="238"/>
      <c r="AR29" s="238"/>
      <c r="AS29" s="238"/>
      <c r="AT29" s="238"/>
      <c r="AU29" s="238"/>
      <c r="AV29" s="238"/>
      <c r="AW29" s="238"/>
      <c r="AX29" s="239" t="str">
        <f t="shared" si="3"/>
        <v>-</v>
      </c>
      <c r="AY29" s="239" t="str">
        <f t="shared" si="4"/>
        <v>-</v>
      </c>
      <c r="AZ29" s="240" t="str">
        <f t="shared" si="5"/>
        <v>-</v>
      </c>
      <c r="BB29" s="77"/>
      <c r="BD29" s="315"/>
      <c r="BE29" s="316"/>
      <c r="BF29" s="316"/>
      <c r="BG29" s="316"/>
      <c r="BH29" s="316"/>
      <c r="BI29" s="316"/>
      <c r="BJ29" s="316"/>
      <c r="BK29" s="317"/>
      <c r="BL29" s="318"/>
      <c r="BM29" s="319"/>
      <c r="BN29" s="319"/>
      <c r="BO29" s="319"/>
      <c r="BP29" s="319"/>
      <c r="BQ29" s="319"/>
      <c r="BR29" s="319"/>
      <c r="BS29" s="319"/>
      <c r="BT29" s="313" t="str">
        <f>IF(BL29="-", "-", IF(BP29="-", "-", IF(ABS(BP29)=0, "-", ROUND(100*(BL29-BP29)/ABS(BP29), 1))))</f>
        <v>-</v>
      </c>
      <c r="BU29" s="313" t="str">
        <f t="shared" si="13"/>
        <v>-</v>
      </c>
      <c r="BV29" s="314" t="str">
        <f t="shared" si="13"/>
        <v>-</v>
      </c>
      <c r="BW29" s="318"/>
      <c r="BX29" s="319"/>
      <c r="BY29" s="319"/>
      <c r="BZ29" s="319"/>
      <c r="CA29" s="319"/>
      <c r="CB29" s="319"/>
      <c r="CC29" s="319"/>
      <c r="CD29" s="319"/>
      <c r="CE29" s="313" t="str">
        <f t="shared" si="10"/>
        <v>-</v>
      </c>
      <c r="CF29" s="313" t="str">
        <f t="shared" si="11"/>
        <v>-</v>
      </c>
      <c r="CG29" s="314" t="str">
        <f t="shared" si="11"/>
        <v>-</v>
      </c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</row>
    <row r="30" spans="2:106" ht="13.7" customHeight="1">
      <c r="B30" s="303" t="s">
        <v>27</v>
      </c>
      <c r="C30" s="304"/>
      <c r="D30" s="304"/>
      <c r="E30" s="304"/>
      <c r="F30" s="304"/>
      <c r="G30" s="224"/>
      <c r="H30" s="305"/>
      <c r="I30" s="306"/>
      <c r="J30" s="307"/>
      <c r="K30" s="307"/>
      <c r="L30" s="307"/>
      <c r="M30" s="307"/>
      <c r="N30" s="307"/>
      <c r="O30" s="307"/>
      <c r="P30" s="307"/>
      <c r="Q30" s="308"/>
      <c r="R30" s="308"/>
      <c r="S30" s="309"/>
      <c r="T30" s="306"/>
      <c r="U30" s="307"/>
      <c r="V30" s="307"/>
      <c r="W30" s="307"/>
      <c r="X30" s="307"/>
      <c r="Y30" s="307"/>
      <c r="Z30" s="307"/>
      <c r="AA30" s="307"/>
      <c r="AB30" s="308"/>
      <c r="AC30" s="308"/>
      <c r="AD30" s="309"/>
      <c r="AE30" s="306"/>
      <c r="AF30" s="307"/>
      <c r="AG30" s="307"/>
      <c r="AH30" s="307"/>
      <c r="AI30" s="307"/>
      <c r="AJ30" s="307"/>
      <c r="AK30" s="307"/>
      <c r="AL30" s="307"/>
      <c r="AM30" s="308"/>
      <c r="AN30" s="308"/>
      <c r="AO30" s="309"/>
      <c r="AP30" s="241"/>
      <c r="AQ30" s="238"/>
      <c r="AR30" s="238"/>
      <c r="AS30" s="238"/>
      <c r="AT30" s="238"/>
      <c r="AU30" s="238"/>
      <c r="AV30" s="238"/>
      <c r="AW30" s="238"/>
      <c r="AX30" s="239" t="str">
        <f t="shared" si="3"/>
        <v>-</v>
      </c>
      <c r="AY30" s="239" t="str">
        <f t="shared" si="4"/>
        <v>-</v>
      </c>
      <c r="AZ30" s="240" t="str">
        <f t="shared" si="5"/>
        <v>-</v>
      </c>
      <c r="BB30" s="77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</row>
    <row r="31" spans="2:106" ht="13.7" customHeight="1">
      <c r="B31" s="320" t="s">
        <v>28</v>
      </c>
      <c r="C31" s="187"/>
      <c r="D31" s="187"/>
      <c r="E31" s="187"/>
      <c r="F31" s="187"/>
      <c r="G31" s="187"/>
      <c r="H31" s="255"/>
      <c r="I31" s="306"/>
      <c r="J31" s="307"/>
      <c r="K31" s="307"/>
      <c r="L31" s="307"/>
      <c r="M31" s="307"/>
      <c r="N31" s="307"/>
      <c r="O31" s="307"/>
      <c r="P31" s="307"/>
      <c r="Q31" s="308"/>
      <c r="R31" s="308"/>
      <c r="S31" s="309"/>
      <c r="T31" s="306"/>
      <c r="U31" s="307"/>
      <c r="V31" s="307"/>
      <c r="W31" s="307"/>
      <c r="X31" s="307"/>
      <c r="Y31" s="307"/>
      <c r="Z31" s="307"/>
      <c r="AA31" s="307"/>
      <c r="AB31" s="308"/>
      <c r="AC31" s="308"/>
      <c r="AD31" s="309"/>
      <c r="AE31" s="306"/>
      <c r="AF31" s="307"/>
      <c r="AG31" s="307"/>
      <c r="AH31" s="307"/>
      <c r="AI31" s="307"/>
      <c r="AJ31" s="307"/>
      <c r="AK31" s="307"/>
      <c r="AL31" s="307"/>
      <c r="AM31" s="308"/>
      <c r="AN31" s="308"/>
      <c r="AO31" s="309"/>
      <c r="AP31" s="241"/>
      <c r="AQ31" s="238"/>
      <c r="AR31" s="238"/>
      <c r="AS31" s="238"/>
      <c r="AT31" s="238"/>
      <c r="AU31" s="238"/>
      <c r="AV31" s="238"/>
      <c r="AW31" s="238"/>
      <c r="AX31" s="239" t="str">
        <f t="shared" si="3"/>
        <v>-</v>
      </c>
      <c r="AY31" s="239" t="str">
        <f t="shared" si="4"/>
        <v>-</v>
      </c>
      <c r="AZ31" s="240" t="str">
        <f t="shared" si="5"/>
        <v>-</v>
      </c>
      <c r="BB31" s="77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</row>
    <row r="32" spans="2:106" ht="13.7" customHeight="1">
      <c r="B32" s="303" t="s">
        <v>29</v>
      </c>
      <c r="C32" s="304"/>
      <c r="D32" s="304"/>
      <c r="E32" s="304"/>
      <c r="F32" s="304"/>
      <c r="G32" s="224"/>
      <c r="H32" s="305"/>
      <c r="I32" s="306"/>
      <c r="J32" s="307"/>
      <c r="K32" s="307"/>
      <c r="L32" s="307"/>
      <c r="M32" s="307"/>
      <c r="N32" s="307"/>
      <c r="O32" s="307"/>
      <c r="P32" s="307"/>
      <c r="Q32" s="308"/>
      <c r="R32" s="308"/>
      <c r="S32" s="309"/>
      <c r="T32" s="306"/>
      <c r="U32" s="307"/>
      <c r="V32" s="307"/>
      <c r="W32" s="307"/>
      <c r="X32" s="307"/>
      <c r="Y32" s="307"/>
      <c r="Z32" s="307"/>
      <c r="AA32" s="307"/>
      <c r="AB32" s="308"/>
      <c r="AC32" s="308"/>
      <c r="AD32" s="309"/>
      <c r="AE32" s="306"/>
      <c r="AF32" s="307"/>
      <c r="AG32" s="307"/>
      <c r="AH32" s="307"/>
      <c r="AI32" s="307"/>
      <c r="AJ32" s="307"/>
      <c r="AK32" s="307"/>
      <c r="AL32" s="307"/>
      <c r="AM32" s="308"/>
      <c r="AN32" s="308"/>
      <c r="AO32" s="309"/>
      <c r="AP32" s="241"/>
      <c r="AQ32" s="238"/>
      <c r="AR32" s="238"/>
      <c r="AS32" s="238"/>
      <c r="AT32" s="238"/>
      <c r="AU32" s="238"/>
      <c r="AV32" s="238"/>
      <c r="AW32" s="238"/>
      <c r="AX32" s="239" t="str">
        <f t="shared" si="3"/>
        <v>-</v>
      </c>
      <c r="AY32" s="239" t="str">
        <f t="shared" si="4"/>
        <v>-</v>
      </c>
      <c r="AZ32" s="240" t="str">
        <f t="shared" si="5"/>
        <v>-</v>
      </c>
      <c r="BB32" s="77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</row>
    <row r="33" spans="2:104" ht="13.7" customHeight="1">
      <c r="B33" s="303" t="s">
        <v>30</v>
      </c>
      <c r="C33" s="304"/>
      <c r="D33" s="304"/>
      <c r="E33" s="304"/>
      <c r="F33" s="304"/>
      <c r="G33" s="224"/>
      <c r="H33" s="305"/>
      <c r="I33" s="306"/>
      <c r="J33" s="307"/>
      <c r="K33" s="307"/>
      <c r="L33" s="307"/>
      <c r="M33" s="307"/>
      <c r="N33" s="307"/>
      <c r="O33" s="307"/>
      <c r="P33" s="307"/>
      <c r="Q33" s="308"/>
      <c r="R33" s="308"/>
      <c r="S33" s="309"/>
      <c r="T33" s="306"/>
      <c r="U33" s="307"/>
      <c r="V33" s="307"/>
      <c r="W33" s="307"/>
      <c r="X33" s="307"/>
      <c r="Y33" s="307"/>
      <c r="Z33" s="307"/>
      <c r="AA33" s="307"/>
      <c r="AB33" s="308"/>
      <c r="AC33" s="308"/>
      <c r="AD33" s="309"/>
      <c r="AE33" s="306"/>
      <c r="AF33" s="307"/>
      <c r="AG33" s="307"/>
      <c r="AH33" s="307"/>
      <c r="AI33" s="307"/>
      <c r="AJ33" s="307"/>
      <c r="AK33" s="307"/>
      <c r="AL33" s="307"/>
      <c r="AM33" s="308"/>
      <c r="AN33" s="308"/>
      <c r="AO33" s="309"/>
      <c r="AP33" s="241"/>
      <c r="AQ33" s="238"/>
      <c r="AR33" s="238"/>
      <c r="AS33" s="238"/>
      <c r="AT33" s="238"/>
      <c r="AU33" s="238"/>
      <c r="AV33" s="238"/>
      <c r="AW33" s="238"/>
      <c r="AX33" s="239" t="str">
        <f t="shared" si="3"/>
        <v>-</v>
      </c>
      <c r="AY33" s="239" t="str">
        <f t="shared" si="4"/>
        <v>-</v>
      </c>
      <c r="AZ33" s="240" t="str">
        <f t="shared" si="5"/>
        <v>-</v>
      </c>
      <c r="BB33" s="77"/>
      <c r="BC33" s="77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</row>
    <row r="34" spans="2:104" ht="13.7" customHeight="1" thickBot="1">
      <c r="B34" s="330" t="s">
        <v>31</v>
      </c>
      <c r="C34" s="331"/>
      <c r="D34" s="331"/>
      <c r="E34" s="331"/>
      <c r="F34" s="331"/>
      <c r="G34" s="332"/>
      <c r="H34" s="332"/>
      <c r="I34" s="326"/>
      <c r="J34" s="327"/>
      <c r="K34" s="327"/>
      <c r="L34" s="327"/>
      <c r="M34" s="327"/>
      <c r="N34" s="327"/>
      <c r="O34" s="327"/>
      <c r="P34" s="327"/>
      <c r="Q34" s="324"/>
      <c r="R34" s="324"/>
      <c r="S34" s="325"/>
      <c r="T34" s="326"/>
      <c r="U34" s="327"/>
      <c r="V34" s="327"/>
      <c r="W34" s="327"/>
      <c r="X34" s="327"/>
      <c r="Y34" s="327"/>
      <c r="Z34" s="327"/>
      <c r="AA34" s="327"/>
      <c r="AB34" s="324"/>
      <c r="AC34" s="324"/>
      <c r="AD34" s="325"/>
      <c r="AE34" s="326"/>
      <c r="AF34" s="327"/>
      <c r="AG34" s="327"/>
      <c r="AH34" s="327"/>
      <c r="AI34" s="327"/>
      <c r="AJ34" s="327"/>
      <c r="AK34" s="327"/>
      <c r="AL34" s="327"/>
      <c r="AM34" s="324"/>
      <c r="AN34" s="324"/>
      <c r="AO34" s="325"/>
      <c r="AP34" s="328"/>
      <c r="AQ34" s="329"/>
      <c r="AR34" s="329"/>
      <c r="AS34" s="329"/>
      <c r="AT34" s="329"/>
      <c r="AU34" s="329"/>
      <c r="AV34" s="329"/>
      <c r="AW34" s="329"/>
      <c r="AX34" s="321" t="str">
        <f t="shared" si="3"/>
        <v>-</v>
      </c>
      <c r="AY34" s="321" t="str">
        <f t="shared" si="4"/>
        <v>-</v>
      </c>
      <c r="AZ34" s="322" t="str">
        <f t="shared" si="5"/>
        <v>-</v>
      </c>
      <c r="BB34" s="77"/>
      <c r="BC34" s="77"/>
      <c r="BD34" s="77"/>
      <c r="BE34" s="77"/>
      <c r="BF34" s="77"/>
      <c r="BG34" s="77"/>
      <c r="BH34" s="77"/>
      <c r="BI34" s="77"/>
      <c r="BK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</row>
    <row r="35" spans="2:104" ht="13.7" customHeight="1">
      <c r="B35" s="76"/>
      <c r="C35" s="76"/>
      <c r="D35" s="76"/>
      <c r="E35" s="76"/>
      <c r="F35" s="76"/>
      <c r="G35" s="76"/>
      <c r="H35" s="76"/>
      <c r="I35" s="73"/>
      <c r="J35" s="13"/>
      <c r="K35" s="13"/>
      <c r="L35" s="13"/>
      <c r="M35" s="73"/>
      <c r="N35" s="13"/>
      <c r="O35" s="13"/>
      <c r="P35" s="13"/>
      <c r="Q35" s="13"/>
      <c r="R35" s="13"/>
      <c r="S35" s="13"/>
      <c r="T35" s="73"/>
      <c r="U35" s="13"/>
      <c r="V35" s="13"/>
      <c r="W35" s="13"/>
      <c r="X35" s="73"/>
      <c r="Y35" s="13"/>
      <c r="Z35" s="13"/>
      <c r="AA35" s="13"/>
      <c r="AB35" s="13"/>
      <c r="AC35" s="13"/>
      <c r="AD35" s="13"/>
      <c r="AE35" s="73"/>
      <c r="AF35" s="13"/>
      <c r="AG35" s="13"/>
      <c r="AH35" s="13"/>
      <c r="AI35" s="73"/>
      <c r="AJ35" s="13"/>
      <c r="AK35" s="13"/>
      <c r="AL35" s="13"/>
      <c r="AM35" s="13"/>
      <c r="AN35" s="13"/>
      <c r="AO35" s="13"/>
      <c r="AP35" s="73"/>
      <c r="AQ35" s="13"/>
      <c r="AR35" s="13"/>
      <c r="AS35" s="13"/>
      <c r="AT35" s="73"/>
      <c r="AU35" s="13"/>
      <c r="AV35" s="13"/>
      <c r="AW35" s="13"/>
      <c r="AX35" s="13"/>
      <c r="AY35" s="13"/>
      <c r="AZ35" s="13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</row>
    <row r="36" spans="2:104" ht="13.7" customHeight="1">
      <c r="B36" s="76"/>
      <c r="C36" s="76"/>
      <c r="D36" s="76"/>
      <c r="E36" s="76"/>
      <c r="F36" s="76"/>
      <c r="G36" s="76"/>
      <c r="H36" s="76"/>
      <c r="I36" s="73"/>
      <c r="J36" s="13"/>
      <c r="K36" s="13"/>
      <c r="L36" s="13"/>
      <c r="M36" s="73"/>
      <c r="N36" s="13"/>
      <c r="O36" s="13"/>
      <c r="P36" s="13"/>
      <c r="Q36" s="13"/>
      <c r="R36" s="13"/>
      <c r="S36" s="13"/>
      <c r="T36" s="73"/>
      <c r="U36" s="13"/>
      <c r="V36" s="13"/>
      <c r="W36" s="13"/>
      <c r="X36" s="73"/>
      <c r="Y36" s="13"/>
      <c r="Z36" s="13"/>
      <c r="AA36" s="13"/>
      <c r="AB36" s="13"/>
      <c r="AC36" s="13"/>
      <c r="AD36" s="13"/>
      <c r="AE36" s="73"/>
      <c r="AF36" s="13"/>
      <c r="AG36" s="13"/>
      <c r="AH36" s="13"/>
      <c r="AI36" s="73"/>
      <c r="AJ36" s="13"/>
      <c r="AK36" s="13"/>
      <c r="AL36" s="13"/>
      <c r="AM36" s="13"/>
      <c r="AN36" s="13"/>
      <c r="AO36" s="13"/>
      <c r="AP36" s="73"/>
      <c r="AQ36" s="13"/>
      <c r="AR36" s="13"/>
      <c r="AS36" s="13"/>
      <c r="AT36" s="73"/>
      <c r="AU36" s="13"/>
      <c r="AV36" s="13"/>
      <c r="AW36" s="13"/>
      <c r="AX36" s="13"/>
      <c r="AY36" s="13"/>
      <c r="AZ36" s="13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</row>
    <row r="37" spans="2:104" ht="13.7" customHeight="1" thickBot="1">
      <c r="B37" s="53" t="s">
        <v>206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8" t="s">
        <v>3</v>
      </c>
      <c r="AE37" s="53"/>
      <c r="AF37" s="53"/>
      <c r="BA37" s="35"/>
      <c r="BB37" s="39"/>
      <c r="BC37" s="47"/>
      <c r="BD37" s="25" t="s">
        <v>209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10" t="s">
        <v>3</v>
      </c>
      <c r="BY37" s="39"/>
      <c r="BZ37" s="39"/>
      <c r="CA37" s="39"/>
      <c r="CB37" s="39"/>
      <c r="CC37" s="39"/>
      <c r="CD37" s="39"/>
      <c r="CE37" s="39"/>
      <c r="CF37" s="39"/>
      <c r="CG37" s="39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</row>
    <row r="38" spans="2:104" ht="13.7" customHeight="1" thickBot="1">
      <c r="B38" s="323"/>
      <c r="C38" s="206"/>
      <c r="D38" s="206"/>
      <c r="E38" s="206"/>
      <c r="F38" s="206"/>
      <c r="G38" s="206"/>
      <c r="H38" s="206"/>
      <c r="I38" s="194" t="s">
        <v>62</v>
      </c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4" t="s">
        <v>63</v>
      </c>
      <c r="U38" s="195"/>
      <c r="V38" s="195"/>
      <c r="W38" s="195"/>
      <c r="X38" s="195"/>
      <c r="Y38" s="195"/>
      <c r="Z38" s="195"/>
      <c r="AA38" s="195"/>
      <c r="AB38" s="195"/>
      <c r="AC38" s="195"/>
      <c r="AD38" s="196"/>
      <c r="BA38" s="55"/>
      <c r="BB38" s="47"/>
      <c r="BC38" s="56"/>
      <c r="BD38" s="340"/>
      <c r="BE38" s="341"/>
      <c r="BF38" s="341"/>
      <c r="BG38" s="341"/>
      <c r="BH38" s="341"/>
      <c r="BI38" s="341"/>
      <c r="BJ38" s="341"/>
      <c r="BK38" s="342"/>
      <c r="BL38" s="198">
        <f>IF($B$1&lt;&gt;"",$B$1,"")</f>
        <v>0</v>
      </c>
      <c r="BM38" s="199"/>
      <c r="BN38" s="199"/>
      <c r="BO38" s="199"/>
      <c r="BP38" s="200">
        <f>IF($B$1&lt;&gt;"",$B$1-1,"")</f>
        <v>-1</v>
      </c>
      <c r="BQ38" s="199"/>
      <c r="BR38" s="199"/>
      <c r="BS38" s="201"/>
      <c r="BT38" s="202" t="s">
        <v>152</v>
      </c>
      <c r="BU38" s="203"/>
      <c r="BV38" s="204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</row>
    <row r="39" spans="2:104" ht="13.7" customHeight="1" thickBot="1">
      <c r="B39" s="207"/>
      <c r="C39" s="208"/>
      <c r="D39" s="208"/>
      <c r="E39" s="208"/>
      <c r="F39" s="208"/>
      <c r="G39" s="208"/>
      <c r="H39" s="208"/>
      <c r="I39" s="198">
        <f>IF($B$1&lt;&gt;"",$B$1,"")</f>
        <v>0</v>
      </c>
      <c r="J39" s="199"/>
      <c r="K39" s="199"/>
      <c r="L39" s="199"/>
      <c r="M39" s="200">
        <f>IF($B$1&lt;&gt;"",$B$1-1,"")</f>
        <v>-1</v>
      </c>
      <c r="N39" s="199"/>
      <c r="O39" s="199"/>
      <c r="P39" s="201"/>
      <c r="Q39" s="202" t="s">
        <v>151</v>
      </c>
      <c r="R39" s="203"/>
      <c r="S39" s="204"/>
      <c r="T39" s="198">
        <f>IF($B$1&lt;&gt;"",$B$1,"")</f>
        <v>0</v>
      </c>
      <c r="U39" s="199"/>
      <c r="V39" s="199"/>
      <c r="W39" s="199"/>
      <c r="X39" s="200">
        <f>IF($B$1&lt;&gt;"",$B$1-1,"")</f>
        <v>-1</v>
      </c>
      <c r="Y39" s="199"/>
      <c r="Z39" s="199"/>
      <c r="AA39" s="201"/>
      <c r="AB39" s="202" t="s">
        <v>151</v>
      </c>
      <c r="AC39" s="203"/>
      <c r="AD39" s="204"/>
      <c r="BA39" s="56"/>
      <c r="BB39" s="56"/>
      <c r="BC39" s="87"/>
      <c r="BD39" s="337" t="s">
        <v>73</v>
      </c>
      <c r="BE39" s="338"/>
      <c r="BF39" s="338"/>
      <c r="BG39" s="338"/>
      <c r="BH39" s="338"/>
      <c r="BI39" s="338"/>
      <c r="BJ39" s="338"/>
      <c r="BK39" s="339"/>
      <c r="BL39" s="217"/>
      <c r="BM39" s="214"/>
      <c r="BN39" s="214"/>
      <c r="BO39" s="214"/>
      <c r="BP39" s="214"/>
      <c r="BQ39" s="214"/>
      <c r="BR39" s="214"/>
      <c r="BS39" s="214"/>
      <c r="BT39" s="336" t="str">
        <f t="shared" ref="BT39:BT45" si="14">IF(BL39="-", "-", IF(BP39="-", "-", IF(ABS(BP39)=0, "-", ROUND(100*(BL39-BP39)/ABS(BP39), 1))))</f>
        <v>-</v>
      </c>
      <c r="BU39" s="215" t="str">
        <f t="shared" ref="BU39:BV45" si="15">IF(BQ39="-", "-", IF(BS39="-", "-", IF(ABS(BS39)=0, "-", ROUND(100*(BQ39-BS39)/ABS(BS39), 1))))</f>
        <v>-</v>
      </c>
      <c r="BV39" s="216" t="str">
        <f t="shared" si="15"/>
        <v>-</v>
      </c>
      <c r="CJ39" s="80"/>
      <c r="CK39" s="80"/>
      <c r="CL39" s="80"/>
      <c r="CM39" s="80"/>
      <c r="CN39" s="80"/>
      <c r="CO39" s="80"/>
      <c r="CP39" s="80"/>
    </row>
    <row r="40" spans="2:104" ht="13.7" customHeight="1">
      <c r="B40" s="349" t="s">
        <v>62</v>
      </c>
      <c r="C40" s="350"/>
      <c r="D40" s="350"/>
      <c r="E40" s="350"/>
      <c r="F40" s="350"/>
      <c r="G40" s="350"/>
      <c r="H40" s="351"/>
      <c r="I40" s="241"/>
      <c r="J40" s="238"/>
      <c r="K40" s="238"/>
      <c r="L40" s="238"/>
      <c r="M40" s="238"/>
      <c r="N40" s="238"/>
      <c r="O40" s="238"/>
      <c r="P40" s="238"/>
      <c r="Q40" s="239" t="str">
        <f t="shared" ref="Q40:Q49" si="16">IF(I40="-", "-", IF(M40="-", "-", IF(ABS(M40)=0, "-", ROUND(100*(I40-M40)/ABS(M40), 1))))</f>
        <v>-</v>
      </c>
      <c r="R40" s="239" t="str">
        <f t="shared" ref="R40:S49" si="17">IF(N40="-", "-", IF(P40="-", "-", IF(ABS(P40)=0, "-", ROUND(100*(N40-P40)/ABS(P40), 1))))</f>
        <v>-</v>
      </c>
      <c r="S40" s="240" t="str">
        <f t="shared" si="17"/>
        <v>-</v>
      </c>
      <c r="T40" s="241"/>
      <c r="U40" s="238"/>
      <c r="V40" s="238"/>
      <c r="W40" s="238"/>
      <c r="X40" s="238"/>
      <c r="Y40" s="238"/>
      <c r="Z40" s="238"/>
      <c r="AA40" s="238"/>
      <c r="AB40" s="239" t="str">
        <f>IF(T40="-", "-", IF(X40="-", "-", IF(ABS(X40)=0, "-", ROUND(100*(T40-X40)/ABS(X40), 1))))</f>
        <v>-</v>
      </c>
      <c r="AC40" s="239" t="str">
        <f t="shared" ref="AC40:AD42" si="18">IF(Y40="-", "-", IF(AA40="-", "-", IF(ABS(AA40)=0, "-", ROUND(100*(Y40-AA40)/ABS(AA40), 1))))</f>
        <v>-</v>
      </c>
      <c r="AD40" s="240" t="str">
        <f t="shared" si="18"/>
        <v>-</v>
      </c>
      <c r="BA40" s="87"/>
      <c r="BB40" s="87"/>
      <c r="BC40" s="53"/>
      <c r="BD40" s="346" t="s">
        <v>85</v>
      </c>
      <c r="BE40" s="347"/>
      <c r="BF40" s="347"/>
      <c r="BG40" s="347"/>
      <c r="BH40" s="347"/>
      <c r="BI40" s="347"/>
      <c r="BJ40" s="347"/>
      <c r="BK40" s="348"/>
      <c r="BL40" s="285"/>
      <c r="BM40" s="282"/>
      <c r="BN40" s="282"/>
      <c r="BO40" s="282"/>
      <c r="BP40" s="227"/>
      <c r="BQ40" s="227"/>
      <c r="BR40" s="227"/>
      <c r="BS40" s="227"/>
      <c r="BT40" s="345" t="str">
        <f t="shared" si="14"/>
        <v>-</v>
      </c>
      <c r="BU40" s="228" t="str">
        <f t="shared" si="15"/>
        <v>-</v>
      </c>
      <c r="BV40" s="229" t="str">
        <f t="shared" si="15"/>
        <v>-</v>
      </c>
      <c r="CJ40" s="80"/>
      <c r="CK40" s="80"/>
      <c r="CL40" s="80"/>
      <c r="CM40" s="80"/>
      <c r="CN40" s="80"/>
      <c r="CO40" s="80"/>
      <c r="CP40" s="80"/>
    </row>
    <row r="41" spans="2:104" ht="13.7" customHeight="1">
      <c r="B41" s="49"/>
      <c r="C41" s="224" t="s">
        <v>65</v>
      </c>
      <c r="D41" s="225"/>
      <c r="E41" s="225"/>
      <c r="F41" s="225"/>
      <c r="G41" s="225"/>
      <c r="H41" s="225"/>
      <c r="I41" s="226"/>
      <c r="J41" s="227"/>
      <c r="K41" s="227"/>
      <c r="L41" s="227"/>
      <c r="M41" s="227"/>
      <c r="N41" s="227"/>
      <c r="O41" s="227"/>
      <c r="P41" s="227"/>
      <c r="Q41" s="228" t="str">
        <f t="shared" si="16"/>
        <v>-</v>
      </c>
      <c r="R41" s="228" t="str">
        <f t="shared" si="17"/>
        <v>-</v>
      </c>
      <c r="S41" s="229" t="str">
        <f t="shared" si="17"/>
        <v>-</v>
      </c>
      <c r="T41" s="226"/>
      <c r="U41" s="227"/>
      <c r="V41" s="227"/>
      <c r="W41" s="227"/>
      <c r="X41" s="227"/>
      <c r="Y41" s="227"/>
      <c r="Z41" s="227"/>
      <c r="AA41" s="227"/>
      <c r="AB41" s="228" t="str">
        <f>IF(T41="-", "-", IF(X41="-", "-", IF(ABS(X41)=0, "-", ROUND(100*(T41-X41)/ABS(X41), 1))))</f>
        <v>-</v>
      </c>
      <c r="AC41" s="228" t="str">
        <f t="shared" si="18"/>
        <v>-</v>
      </c>
      <c r="AD41" s="229" t="str">
        <f t="shared" si="18"/>
        <v>-</v>
      </c>
      <c r="AE41" s="53"/>
      <c r="AF41" s="53"/>
      <c r="BA41" s="53"/>
      <c r="BB41" s="53"/>
      <c r="BD41" s="346" t="s">
        <v>86</v>
      </c>
      <c r="BE41" s="347"/>
      <c r="BF41" s="347"/>
      <c r="BG41" s="347"/>
      <c r="BH41" s="347"/>
      <c r="BI41" s="347"/>
      <c r="BJ41" s="347"/>
      <c r="BK41" s="348"/>
      <c r="BL41" s="285"/>
      <c r="BM41" s="282"/>
      <c r="BN41" s="282"/>
      <c r="BO41" s="282"/>
      <c r="BP41" s="227"/>
      <c r="BQ41" s="227"/>
      <c r="BR41" s="227"/>
      <c r="BS41" s="227"/>
      <c r="BT41" s="345" t="str">
        <f t="shared" si="14"/>
        <v>-</v>
      </c>
      <c r="BU41" s="228" t="str">
        <f t="shared" si="15"/>
        <v>-</v>
      </c>
      <c r="BV41" s="229" t="str">
        <f t="shared" si="15"/>
        <v>-</v>
      </c>
      <c r="CJ41" s="80"/>
      <c r="CK41" s="80"/>
      <c r="CL41" s="80"/>
      <c r="CM41" s="80"/>
      <c r="CN41" s="80"/>
      <c r="CO41" s="80"/>
      <c r="CP41" s="80"/>
    </row>
    <row r="42" spans="2:104" ht="13.7" customHeight="1">
      <c r="B42" s="50"/>
      <c r="C42" s="224" t="s">
        <v>66</v>
      </c>
      <c r="D42" s="225"/>
      <c r="E42" s="225"/>
      <c r="F42" s="225"/>
      <c r="G42" s="225"/>
      <c r="H42" s="225"/>
      <c r="I42" s="226"/>
      <c r="J42" s="227"/>
      <c r="K42" s="227"/>
      <c r="L42" s="227"/>
      <c r="M42" s="227"/>
      <c r="N42" s="227"/>
      <c r="O42" s="227"/>
      <c r="P42" s="227"/>
      <c r="Q42" s="228" t="str">
        <f t="shared" si="16"/>
        <v>-</v>
      </c>
      <c r="R42" s="228" t="str">
        <f t="shared" si="17"/>
        <v>-</v>
      </c>
      <c r="S42" s="229" t="str">
        <f t="shared" si="17"/>
        <v>-</v>
      </c>
      <c r="T42" s="226"/>
      <c r="U42" s="227"/>
      <c r="V42" s="227"/>
      <c r="W42" s="227"/>
      <c r="X42" s="227"/>
      <c r="Y42" s="227"/>
      <c r="Z42" s="227"/>
      <c r="AA42" s="227"/>
      <c r="AB42" s="228" t="str">
        <f>IF(T42="-", "-", IF(X42="-", "-", IF(ABS(X42)=0, "-", ROUND(100*(T42-X42)/ABS(X42), 1))))</f>
        <v>-</v>
      </c>
      <c r="AC42" s="228" t="str">
        <f t="shared" si="18"/>
        <v>-</v>
      </c>
      <c r="AD42" s="229" t="str">
        <f t="shared" si="18"/>
        <v>-</v>
      </c>
      <c r="BD42" s="346" t="s">
        <v>87</v>
      </c>
      <c r="BE42" s="343"/>
      <c r="BF42" s="343"/>
      <c r="BG42" s="343"/>
      <c r="BH42" s="343"/>
      <c r="BI42" s="343"/>
      <c r="BJ42" s="343"/>
      <c r="BK42" s="344"/>
      <c r="BL42" s="285"/>
      <c r="BM42" s="282"/>
      <c r="BN42" s="282"/>
      <c r="BO42" s="282"/>
      <c r="BP42" s="227"/>
      <c r="BQ42" s="227"/>
      <c r="BR42" s="227"/>
      <c r="BS42" s="227"/>
      <c r="BT42" s="345" t="str">
        <f t="shared" si="14"/>
        <v>-</v>
      </c>
      <c r="BU42" s="228" t="str">
        <f t="shared" si="15"/>
        <v>-</v>
      </c>
      <c r="BV42" s="229" t="str">
        <f t="shared" si="15"/>
        <v>-</v>
      </c>
      <c r="CH42" s="80"/>
      <c r="CK42" s="80"/>
      <c r="CL42" s="80"/>
      <c r="CM42" s="80"/>
      <c r="CN42" s="80"/>
      <c r="CO42" s="80"/>
      <c r="CP42" s="80"/>
      <c r="CQ42" s="80"/>
      <c r="CZ42" s="77"/>
    </row>
    <row r="43" spans="2:104" ht="13.7" customHeight="1">
      <c r="B43" s="333" t="s">
        <v>64</v>
      </c>
      <c r="C43" s="224" t="s">
        <v>67</v>
      </c>
      <c r="D43" s="225"/>
      <c r="E43" s="225"/>
      <c r="F43" s="225"/>
      <c r="G43" s="225"/>
      <c r="H43" s="225"/>
      <c r="I43" s="226"/>
      <c r="J43" s="227"/>
      <c r="K43" s="227"/>
      <c r="L43" s="227"/>
      <c r="M43" s="227"/>
      <c r="N43" s="227"/>
      <c r="O43" s="227"/>
      <c r="P43" s="227"/>
      <c r="Q43" s="228" t="str">
        <f t="shared" si="16"/>
        <v>-</v>
      </c>
      <c r="R43" s="228" t="str">
        <f t="shared" si="17"/>
        <v>-</v>
      </c>
      <c r="S43" s="229" t="str">
        <f t="shared" si="17"/>
        <v>-</v>
      </c>
      <c r="T43" s="230"/>
      <c r="U43" s="231"/>
      <c r="V43" s="231"/>
      <c r="W43" s="231"/>
      <c r="X43" s="231"/>
      <c r="Y43" s="231"/>
      <c r="Z43" s="231"/>
      <c r="AA43" s="231"/>
      <c r="AB43" s="308"/>
      <c r="AC43" s="308"/>
      <c r="AD43" s="309"/>
      <c r="BD43" s="78"/>
      <c r="BE43" s="343" t="s">
        <v>88</v>
      </c>
      <c r="BF43" s="343"/>
      <c r="BG43" s="343"/>
      <c r="BH43" s="343"/>
      <c r="BI43" s="343"/>
      <c r="BJ43" s="343"/>
      <c r="BK43" s="344"/>
      <c r="BL43" s="285"/>
      <c r="BM43" s="282"/>
      <c r="BN43" s="282"/>
      <c r="BO43" s="282"/>
      <c r="BP43" s="227"/>
      <c r="BQ43" s="227"/>
      <c r="BR43" s="227"/>
      <c r="BS43" s="227"/>
      <c r="BT43" s="345" t="str">
        <f t="shared" si="14"/>
        <v>-</v>
      </c>
      <c r="BU43" s="228" t="str">
        <f t="shared" si="15"/>
        <v>-</v>
      </c>
      <c r="BV43" s="229" t="str">
        <f t="shared" si="15"/>
        <v>-</v>
      </c>
      <c r="CH43" s="80"/>
      <c r="CK43" s="80"/>
      <c r="CL43" s="80"/>
      <c r="CM43" s="80"/>
      <c r="CN43" s="80"/>
      <c r="CO43" s="80"/>
      <c r="CP43" s="80"/>
      <c r="CQ43" s="80"/>
      <c r="CZ43" s="77"/>
    </row>
    <row r="44" spans="2:104" ht="13.7" customHeight="1">
      <c r="B44" s="334"/>
      <c r="C44" s="224" t="s">
        <v>68</v>
      </c>
      <c r="D44" s="225"/>
      <c r="E44" s="225"/>
      <c r="F44" s="225"/>
      <c r="G44" s="225"/>
      <c r="H44" s="225"/>
      <c r="I44" s="226"/>
      <c r="J44" s="227"/>
      <c r="K44" s="227"/>
      <c r="L44" s="227"/>
      <c r="M44" s="227"/>
      <c r="N44" s="227"/>
      <c r="O44" s="227"/>
      <c r="P44" s="227"/>
      <c r="Q44" s="228" t="str">
        <f t="shared" si="16"/>
        <v>-</v>
      </c>
      <c r="R44" s="228" t="str">
        <f t="shared" si="17"/>
        <v>-</v>
      </c>
      <c r="S44" s="229" t="str">
        <f t="shared" si="17"/>
        <v>-</v>
      </c>
      <c r="T44" s="230"/>
      <c r="U44" s="231"/>
      <c r="V44" s="231"/>
      <c r="W44" s="231"/>
      <c r="X44" s="231"/>
      <c r="Y44" s="231"/>
      <c r="Z44" s="231"/>
      <c r="AA44" s="231"/>
      <c r="AB44" s="308"/>
      <c r="AC44" s="308"/>
      <c r="AD44" s="309"/>
      <c r="BD44" s="346" t="s">
        <v>192</v>
      </c>
      <c r="BE44" s="343"/>
      <c r="BF44" s="343"/>
      <c r="BG44" s="343"/>
      <c r="BH44" s="343"/>
      <c r="BI44" s="343"/>
      <c r="BJ44" s="343"/>
      <c r="BK44" s="344"/>
      <c r="BL44" s="285"/>
      <c r="BM44" s="282"/>
      <c r="BN44" s="282"/>
      <c r="BO44" s="282"/>
      <c r="BP44" s="227"/>
      <c r="BQ44" s="227"/>
      <c r="BR44" s="227"/>
      <c r="BS44" s="227"/>
      <c r="BT44" s="345" t="str">
        <f t="shared" si="14"/>
        <v>-</v>
      </c>
      <c r="BU44" s="228" t="str">
        <f t="shared" si="15"/>
        <v>-</v>
      </c>
      <c r="BV44" s="229" t="str">
        <f t="shared" si="15"/>
        <v>-</v>
      </c>
      <c r="BW44" s="77"/>
      <c r="BX44" s="77"/>
      <c r="CH44" s="80"/>
      <c r="CI44" s="80"/>
      <c r="CK44" s="80"/>
      <c r="CL44" s="80"/>
      <c r="CM44" s="80"/>
      <c r="CN44" s="80"/>
      <c r="CO44" s="80"/>
      <c r="CP44" s="80"/>
      <c r="CQ44" s="80"/>
      <c r="CZ44" s="77"/>
    </row>
    <row r="45" spans="2:104" ht="13.7" customHeight="1" thickBot="1">
      <c r="B45" s="334"/>
      <c r="C45" s="301" t="s">
        <v>69</v>
      </c>
      <c r="D45" s="302"/>
      <c r="E45" s="302"/>
      <c r="F45" s="302"/>
      <c r="G45" s="302"/>
      <c r="H45" s="302"/>
      <c r="I45" s="226"/>
      <c r="J45" s="227"/>
      <c r="K45" s="227"/>
      <c r="L45" s="227"/>
      <c r="M45" s="227"/>
      <c r="N45" s="227"/>
      <c r="O45" s="227"/>
      <c r="P45" s="227"/>
      <c r="Q45" s="228" t="str">
        <f t="shared" si="16"/>
        <v>-</v>
      </c>
      <c r="R45" s="228" t="str">
        <f t="shared" si="17"/>
        <v>-</v>
      </c>
      <c r="S45" s="229" t="str">
        <f t="shared" si="17"/>
        <v>-</v>
      </c>
      <c r="T45" s="230"/>
      <c r="U45" s="231"/>
      <c r="V45" s="231"/>
      <c r="W45" s="231"/>
      <c r="X45" s="231"/>
      <c r="Y45" s="231"/>
      <c r="Z45" s="231"/>
      <c r="AA45" s="231"/>
      <c r="AB45" s="308"/>
      <c r="AC45" s="308"/>
      <c r="AD45" s="309"/>
      <c r="BD45" s="11"/>
      <c r="BE45" s="357" t="s">
        <v>88</v>
      </c>
      <c r="BF45" s="357"/>
      <c r="BG45" s="357"/>
      <c r="BH45" s="357"/>
      <c r="BI45" s="357"/>
      <c r="BJ45" s="357"/>
      <c r="BK45" s="358"/>
      <c r="BL45" s="318"/>
      <c r="BM45" s="319"/>
      <c r="BN45" s="319"/>
      <c r="BO45" s="319"/>
      <c r="BP45" s="359"/>
      <c r="BQ45" s="359"/>
      <c r="BR45" s="359"/>
      <c r="BS45" s="359"/>
      <c r="BT45" s="360" t="str">
        <f t="shared" si="14"/>
        <v>-</v>
      </c>
      <c r="BU45" s="361" t="str">
        <f t="shared" si="15"/>
        <v>-</v>
      </c>
      <c r="BV45" s="362" t="str">
        <f t="shared" si="15"/>
        <v>-</v>
      </c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Z45" s="77"/>
    </row>
    <row r="46" spans="2:104" ht="13.7" customHeight="1">
      <c r="B46" s="334"/>
      <c r="C46" s="53"/>
      <c r="D46" s="186" t="s">
        <v>116</v>
      </c>
      <c r="E46" s="187"/>
      <c r="F46" s="187"/>
      <c r="G46" s="187"/>
      <c r="H46" s="255"/>
      <c r="I46" s="226"/>
      <c r="J46" s="227"/>
      <c r="K46" s="227"/>
      <c r="L46" s="227"/>
      <c r="M46" s="227"/>
      <c r="N46" s="227"/>
      <c r="O46" s="227"/>
      <c r="P46" s="227"/>
      <c r="Q46" s="228" t="str">
        <f t="shared" si="16"/>
        <v>-</v>
      </c>
      <c r="R46" s="228" t="str">
        <f t="shared" si="17"/>
        <v>-</v>
      </c>
      <c r="S46" s="229" t="str">
        <f t="shared" si="17"/>
        <v>-</v>
      </c>
      <c r="T46" s="230"/>
      <c r="U46" s="231"/>
      <c r="V46" s="231"/>
      <c r="W46" s="231"/>
      <c r="X46" s="231"/>
      <c r="Y46" s="231"/>
      <c r="Z46" s="231"/>
      <c r="AA46" s="231"/>
      <c r="AB46" s="308"/>
      <c r="AC46" s="308"/>
      <c r="AD46" s="309"/>
      <c r="BD46" s="81"/>
      <c r="BE46" s="81"/>
      <c r="BF46" s="81"/>
      <c r="BG46" s="81"/>
      <c r="BH46" s="81"/>
      <c r="BI46" s="81"/>
      <c r="BJ46" s="81"/>
      <c r="BK46" s="81"/>
      <c r="BL46" s="79"/>
      <c r="BM46" s="79"/>
      <c r="BN46" s="79"/>
      <c r="BO46" s="79"/>
      <c r="BP46" s="79"/>
      <c r="BQ46" s="79"/>
      <c r="BR46" s="79"/>
      <c r="BS46" s="79"/>
      <c r="BT46" s="70"/>
      <c r="BU46" s="70"/>
      <c r="BV46" s="70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Z46" s="77"/>
    </row>
    <row r="47" spans="2:104" ht="13.7" customHeight="1">
      <c r="B47" s="334"/>
      <c r="C47" s="18"/>
      <c r="D47" s="186" t="s">
        <v>111</v>
      </c>
      <c r="E47" s="187"/>
      <c r="F47" s="187"/>
      <c r="G47" s="187"/>
      <c r="H47" s="187"/>
      <c r="I47" s="226"/>
      <c r="J47" s="227"/>
      <c r="K47" s="227"/>
      <c r="L47" s="227"/>
      <c r="M47" s="227"/>
      <c r="N47" s="227"/>
      <c r="O47" s="227"/>
      <c r="P47" s="227"/>
      <c r="Q47" s="228" t="str">
        <f t="shared" si="16"/>
        <v>-</v>
      </c>
      <c r="R47" s="228" t="str">
        <f t="shared" si="17"/>
        <v>-</v>
      </c>
      <c r="S47" s="229" t="str">
        <f t="shared" si="17"/>
        <v>-</v>
      </c>
      <c r="T47" s="230"/>
      <c r="U47" s="231"/>
      <c r="V47" s="231"/>
      <c r="W47" s="231"/>
      <c r="X47" s="231"/>
      <c r="Y47" s="231"/>
      <c r="Z47" s="231"/>
      <c r="AA47" s="231"/>
      <c r="AB47" s="308"/>
      <c r="AC47" s="308"/>
      <c r="AD47" s="309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Z47" s="77"/>
    </row>
    <row r="48" spans="2:104" ht="13.7" customHeight="1" thickBot="1">
      <c r="B48" s="334"/>
      <c r="C48" s="18"/>
      <c r="D48" s="224" t="s">
        <v>114</v>
      </c>
      <c r="E48" s="225"/>
      <c r="F48" s="225"/>
      <c r="G48" s="225"/>
      <c r="H48" s="225"/>
      <c r="I48" s="226"/>
      <c r="J48" s="227"/>
      <c r="K48" s="227"/>
      <c r="L48" s="227"/>
      <c r="M48" s="227"/>
      <c r="N48" s="227"/>
      <c r="O48" s="227"/>
      <c r="P48" s="227"/>
      <c r="Q48" s="228" t="str">
        <f t="shared" si="16"/>
        <v>-</v>
      </c>
      <c r="R48" s="228" t="str">
        <f t="shared" si="17"/>
        <v>-</v>
      </c>
      <c r="S48" s="229" t="str">
        <f t="shared" si="17"/>
        <v>-</v>
      </c>
      <c r="T48" s="230"/>
      <c r="U48" s="231"/>
      <c r="V48" s="231"/>
      <c r="W48" s="231"/>
      <c r="X48" s="231"/>
      <c r="Y48" s="231"/>
      <c r="Z48" s="231"/>
      <c r="AA48" s="231"/>
      <c r="AB48" s="308"/>
      <c r="AC48" s="308"/>
      <c r="AD48" s="309"/>
      <c r="BC48" s="77"/>
      <c r="BD48" s="2" t="s">
        <v>145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10" t="s">
        <v>3</v>
      </c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</row>
    <row r="49" spans="1:115" ht="13.7" customHeight="1" thickBot="1">
      <c r="A49" s="53"/>
      <c r="B49" s="335"/>
      <c r="C49" s="19"/>
      <c r="D49" s="332" t="s">
        <v>281</v>
      </c>
      <c r="E49" s="266"/>
      <c r="F49" s="266"/>
      <c r="G49" s="266"/>
      <c r="H49" s="266"/>
      <c r="I49" s="389"/>
      <c r="J49" s="359"/>
      <c r="K49" s="359"/>
      <c r="L49" s="359"/>
      <c r="M49" s="359"/>
      <c r="N49" s="359"/>
      <c r="O49" s="359"/>
      <c r="P49" s="359"/>
      <c r="Q49" s="361" t="str">
        <f t="shared" si="16"/>
        <v>-</v>
      </c>
      <c r="R49" s="361" t="str">
        <f t="shared" si="17"/>
        <v>-</v>
      </c>
      <c r="S49" s="362" t="str">
        <f t="shared" si="17"/>
        <v>-</v>
      </c>
      <c r="T49" s="390"/>
      <c r="U49" s="391"/>
      <c r="V49" s="391"/>
      <c r="W49" s="391"/>
      <c r="X49" s="391"/>
      <c r="Y49" s="391"/>
      <c r="Z49" s="391"/>
      <c r="AA49" s="391"/>
      <c r="AB49" s="324"/>
      <c r="AC49" s="324"/>
      <c r="AD49" s="325"/>
      <c r="BA49" s="77"/>
      <c r="BB49" s="77"/>
      <c r="BC49" s="77"/>
      <c r="BD49" s="340"/>
      <c r="BE49" s="341"/>
      <c r="BF49" s="341"/>
      <c r="BG49" s="341"/>
      <c r="BH49" s="341"/>
      <c r="BI49" s="341"/>
      <c r="BJ49" s="341"/>
      <c r="BK49" s="342"/>
      <c r="BL49" s="198">
        <f>IF($B$1&lt;&gt;"",$B$1,"")</f>
        <v>0</v>
      </c>
      <c r="BM49" s="199"/>
      <c r="BN49" s="199"/>
      <c r="BO49" s="199"/>
      <c r="BP49" s="200">
        <f>IF($B$1&lt;&gt;"",$B$1-1,"")</f>
        <v>-1</v>
      </c>
      <c r="BQ49" s="199"/>
      <c r="BR49" s="199"/>
      <c r="BS49" s="201"/>
      <c r="BT49" s="352" t="s">
        <v>151</v>
      </c>
      <c r="BU49" s="353"/>
      <c r="BV49" s="354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</row>
    <row r="50" spans="1:115" s="77" customFormat="1" ht="13.7" customHeight="1">
      <c r="AE50" s="80"/>
      <c r="AF50" s="80"/>
      <c r="AG50" s="80"/>
      <c r="AH50" s="80"/>
      <c r="BD50" s="366" t="s">
        <v>73</v>
      </c>
      <c r="BE50" s="367"/>
      <c r="BF50" s="367"/>
      <c r="BG50" s="367"/>
      <c r="BH50" s="367"/>
      <c r="BI50" s="367"/>
      <c r="BJ50" s="367"/>
      <c r="BK50" s="368"/>
      <c r="BL50" s="355"/>
      <c r="BM50" s="356"/>
      <c r="BN50" s="356"/>
      <c r="BO50" s="356"/>
      <c r="BP50" s="356"/>
      <c r="BQ50" s="356"/>
      <c r="BR50" s="356"/>
      <c r="BS50" s="356"/>
      <c r="BT50" s="363" t="str">
        <f t="shared" ref="BT50:BT56" si="19">IF(BL50="-", "-", IF(BP50="-", "-", IF(ABS(BP50)=0, "-", ROUND(100*(BL50-BP50)/ABS(BP50), 1))))</f>
        <v>-</v>
      </c>
      <c r="BU50" s="364" t="str">
        <f t="shared" ref="BU50:BV56" si="20">IF(BQ50="-", "-", IF(BS50="-", "-", IF(ABS(BS50)=0, "-", ROUND(100*(BQ50-BS50)/ABS(BS50), 1))))</f>
        <v>-</v>
      </c>
      <c r="BV50" s="365" t="str">
        <f t="shared" si="20"/>
        <v>-</v>
      </c>
      <c r="BW50" s="30"/>
      <c r="BX50" s="30"/>
      <c r="CK50" s="80"/>
      <c r="CL50" s="80"/>
      <c r="CM50" s="80"/>
      <c r="CN50" s="80"/>
      <c r="CO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</row>
    <row r="51" spans="1:115" s="77" customFormat="1" ht="13.7" customHeight="1">
      <c r="AE51" s="80"/>
      <c r="AF51" s="80"/>
      <c r="AG51" s="80"/>
      <c r="AH51" s="80"/>
      <c r="BD51" s="346" t="s">
        <v>85</v>
      </c>
      <c r="BE51" s="347"/>
      <c r="BF51" s="347"/>
      <c r="BG51" s="347"/>
      <c r="BH51" s="347"/>
      <c r="BI51" s="347"/>
      <c r="BJ51" s="347"/>
      <c r="BK51" s="348"/>
      <c r="BL51" s="285"/>
      <c r="BM51" s="282"/>
      <c r="BN51" s="282"/>
      <c r="BO51" s="282"/>
      <c r="BP51" s="227"/>
      <c r="BQ51" s="227"/>
      <c r="BR51" s="227"/>
      <c r="BS51" s="227"/>
      <c r="BT51" s="345" t="str">
        <f t="shared" si="19"/>
        <v>-</v>
      </c>
      <c r="BU51" s="228" t="str">
        <f t="shared" si="20"/>
        <v>-</v>
      </c>
      <c r="BV51" s="229" t="str">
        <f t="shared" si="20"/>
        <v>-</v>
      </c>
      <c r="BY51" s="30"/>
      <c r="BZ51" s="30"/>
      <c r="CA51" s="30"/>
      <c r="CB51" s="30"/>
      <c r="CC51" s="30"/>
      <c r="CD51" s="30"/>
      <c r="CE51" s="30"/>
      <c r="CF51" s="30"/>
      <c r="CG51" s="30"/>
      <c r="CK51" s="80"/>
      <c r="CL51" s="80"/>
      <c r="CM51" s="80"/>
      <c r="CN51" s="80"/>
      <c r="CO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  <c r="DK51" s="80"/>
    </row>
    <row r="52" spans="1:115" s="77" customFormat="1" ht="13.7" customHeight="1" thickBot="1">
      <c r="B52" s="25" t="s">
        <v>207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AD52" s="1" t="s">
        <v>3</v>
      </c>
      <c r="BD52" s="346" t="s">
        <v>86</v>
      </c>
      <c r="BE52" s="347"/>
      <c r="BF52" s="347"/>
      <c r="BG52" s="347"/>
      <c r="BH52" s="347"/>
      <c r="BI52" s="347"/>
      <c r="BJ52" s="347"/>
      <c r="BK52" s="348"/>
      <c r="BL52" s="285"/>
      <c r="BM52" s="282"/>
      <c r="BN52" s="282"/>
      <c r="BO52" s="282"/>
      <c r="BP52" s="227"/>
      <c r="BQ52" s="227"/>
      <c r="BR52" s="227"/>
      <c r="BS52" s="227"/>
      <c r="BT52" s="345" t="str">
        <f t="shared" si="19"/>
        <v>-</v>
      </c>
      <c r="BU52" s="228" t="str">
        <f t="shared" si="20"/>
        <v>-</v>
      </c>
      <c r="BV52" s="229" t="str">
        <f t="shared" si="20"/>
        <v>-</v>
      </c>
      <c r="CK52" s="80"/>
      <c r="CL52" s="80"/>
      <c r="CM52" s="80"/>
      <c r="CN52" s="80"/>
      <c r="CO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</row>
    <row r="53" spans="1:115" s="77" customFormat="1" ht="13.7" customHeight="1">
      <c r="B53" s="379"/>
      <c r="C53" s="380"/>
      <c r="D53" s="380"/>
      <c r="E53" s="380"/>
      <c r="F53" s="380"/>
      <c r="G53" s="380"/>
      <c r="H53" s="381"/>
      <c r="I53" s="194" t="s">
        <v>117</v>
      </c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4" t="s">
        <v>63</v>
      </c>
      <c r="U53" s="195"/>
      <c r="V53" s="195"/>
      <c r="W53" s="195"/>
      <c r="X53" s="195"/>
      <c r="Y53" s="195"/>
      <c r="Z53" s="195"/>
      <c r="AA53" s="195"/>
      <c r="AB53" s="195"/>
      <c r="AC53" s="195"/>
      <c r="AD53" s="196"/>
      <c r="BD53" s="346" t="s">
        <v>87</v>
      </c>
      <c r="BE53" s="343"/>
      <c r="BF53" s="343"/>
      <c r="BG53" s="343"/>
      <c r="BH53" s="343"/>
      <c r="BI53" s="343"/>
      <c r="BJ53" s="343"/>
      <c r="BK53" s="344"/>
      <c r="BL53" s="285"/>
      <c r="BM53" s="282"/>
      <c r="BN53" s="282"/>
      <c r="BO53" s="282"/>
      <c r="BP53" s="227"/>
      <c r="BQ53" s="227"/>
      <c r="BR53" s="227"/>
      <c r="BS53" s="227"/>
      <c r="BT53" s="345" t="str">
        <f t="shared" si="19"/>
        <v>-</v>
      </c>
      <c r="BU53" s="228" t="str">
        <f t="shared" si="20"/>
        <v>-</v>
      </c>
      <c r="BV53" s="229" t="str">
        <f t="shared" si="20"/>
        <v>-</v>
      </c>
      <c r="CK53" s="80"/>
      <c r="CL53" s="80"/>
      <c r="CM53" s="80"/>
      <c r="CN53" s="80"/>
      <c r="CO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</row>
    <row r="54" spans="1:115" s="77" customFormat="1" ht="13.7" customHeight="1">
      <c r="B54" s="379"/>
      <c r="C54" s="380"/>
      <c r="D54" s="380"/>
      <c r="E54" s="380"/>
      <c r="F54" s="380"/>
      <c r="G54" s="380"/>
      <c r="H54" s="381"/>
      <c r="I54" s="382">
        <f>IF($B$1&lt;&gt;"",$B$1,"")</f>
        <v>0</v>
      </c>
      <c r="J54" s="383"/>
      <c r="K54" s="383"/>
      <c r="L54" s="383"/>
      <c r="M54" s="384">
        <f>IF($B$1&lt;&gt;"",$B$1-1,"")</f>
        <v>-1</v>
      </c>
      <c r="N54" s="383"/>
      <c r="O54" s="383"/>
      <c r="P54" s="385"/>
      <c r="Q54" s="369" t="s">
        <v>151</v>
      </c>
      <c r="R54" s="370"/>
      <c r="S54" s="371"/>
      <c r="T54" s="382">
        <f>IF($B$1&lt;&gt;"",$B$1,"")</f>
        <v>0</v>
      </c>
      <c r="U54" s="383"/>
      <c r="V54" s="383"/>
      <c r="W54" s="383"/>
      <c r="X54" s="384">
        <f>IF($B$1&lt;&gt;"",$B$1-1,"")</f>
        <v>-1</v>
      </c>
      <c r="Y54" s="383"/>
      <c r="Z54" s="383"/>
      <c r="AA54" s="385"/>
      <c r="AB54" s="369" t="s">
        <v>151</v>
      </c>
      <c r="AC54" s="370"/>
      <c r="AD54" s="371"/>
      <c r="BC54" s="30"/>
      <c r="BD54" s="78"/>
      <c r="BE54" s="343" t="s">
        <v>88</v>
      </c>
      <c r="BF54" s="343"/>
      <c r="BG54" s="343"/>
      <c r="BH54" s="343"/>
      <c r="BI54" s="343"/>
      <c r="BJ54" s="343"/>
      <c r="BK54" s="344"/>
      <c r="BL54" s="285"/>
      <c r="BM54" s="282"/>
      <c r="BN54" s="282"/>
      <c r="BO54" s="282"/>
      <c r="BP54" s="227"/>
      <c r="BQ54" s="227"/>
      <c r="BR54" s="227"/>
      <c r="BS54" s="227"/>
      <c r="BT54" s="345" t="str">
        <f t="shared" si="19"/>
        <v>-</v>
      </c>
      <c r="BU54" s="228" t="str">
        <f t="shared" si="20"/>
        <v>-</v>
      </c>
      <c r="BV54" s="229" t="str">
        <f t="shared" si="20"/>
        <v>-</v>
      </c>
      <c r="CI54" s="30"/>
      <c r="CK54" s="80"/>
      <c r="CL54" s="80"/>
      <c r="CM54" s="80"/>
      <c r="CN54" s="80"/>
      <c r="CO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</row>
    <row r="55" spans="1:115" s="30" customFormat="1" ht="13.7" customHeight="1" thickBot="1">
      <c r="B55" s="372" t="s">
        <v>112</v>
      </c>
      <c r="C55" s="373"/>
      <c r="D55" s="373"/>
      <c r="E55" s="373"/>
      <c r="F55" s="373"/>
      <c r="G55" s="373"/>
      <c r="H55" s="374"/>
      <c r="I55" s="375"/>
      <c r="J55" s="376"/>
      <c r="K55" s="376"/>
      <c r="L55" s="376"/>
      <c r="M55" s="376"/>
      <c r="N55" s="376"/>
      <c r="O55" s="376"/>
      <c r="P55" s="376"/>
      <c r="Q55" s="377" t="str">
        <f>IF(I55="-", "-", IF(M55="-", "-", IF(ABS(M55)=0, "-", ROUND(100*(I55-M55)/ABS(M55), 1))))</f>
        <v>-</v>
      </c>
      <c r="R55" s="377" t="str">
        <f t="shared" ref="R55:S55" si="21">IF(N55="-", "-", IF(P55="-", "-", IF(ABS(P55)=0, "-", ROUND(100*(N55-P55)/ABS(P55), 1))))</f>
        <v>-</v>
      </c>
      <c r="S55" s="378" t="str">
        <f t="shared" si="21"/>
        <v>-</v>
      </c>
      <c r="T55" s="375"/>
      <c r="U55" s="376"/>
      <c r="V55" s="376"/>
      <c r="W55" s="376"/>
      <c r="X55" s="376"/>
      <c r="Y55" s="376"/>
      <c r="Z55" s="376"/>
      <c r="AA55" s="376"/>
      <c r="AB55" s="386" t="str">
        <f>IF(T55="-", "-", IF(X55="-", "-", IF(ABS(X55)=0, "-", ROUND(100*(T55-X55)/ABS(X55), 1))))</f>
        <v>-</v>
      </c>
      <c r="AC55" s="387" t="str">
        <f t="shared" ref="AC55:AD55" si="22">IF(Y55="-", "-", IF(AA55="-", "-", IF(ABS(AA55)=0, "-", ROUND(100*(Y55-AA55)/ABS(AA55), 1))))</f>
        <v>-</v>
      </c>
      <c r="AD55" s="388" t="str">
        <f t="shared" si="22"/>
        <v>-</v>
      </c>
      <c r="AE55" s="48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BC55" s="77"/>
      <c r="BD55" s="346" t="s">
        <v>192</v>
      </c>
      <c r="BE55" s="343"/>
      <c r="BF55" s="343"/>
      <c r="BG55" s="343"/>
      <c r="BH55" s="343"/>
      <c r="BI55" s="343"/>
      <c r="BJ55" s="343"/>
      <c r="BK55" s="344"/>
      <c r="BL55" s="285"/>
      <c r="BM55" s="282"/>
      <c r="BN55" s="282"/>
      <c r="BO55" s="282"/>
      <c r="BP55" s="227"/>
      <c r="BQ55" s="227"/>
      <c r="BR55" s="227"/>
      <c r="BS55" s="227"/>
      <c r="BT55" s="345" t="str">
        <f t="shared" si="19"/>
        <v>-</v>
      </c>
      <c r="BU55" s="228" t="str">
        <f t="shared" si="20"/>
        <v>-</v>
      </c>
      <c r="BV55" s="229" t="str">
        <f t="shared" si="20"/>
        <v>-</v>
      </c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I55" s="77"/>
      <c r="CK55" s="34"/>
      <c r="CL55" s="34"/>
      <c r="CM55" s="34"/>
      <c r="CN55" s="34"/>
      <c r="CO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</row>
    <row r="56" spans="1:115" s="77" customFormat="1" ht="13.7" customHeight="1" thickBot="1">
      <c r="B56" s="36"/>
      <c r="C56" s="36"/>
      <c r="D56" s="27"/>
      <c r="E56" s="28"/>
      <c r="F56" s="88"/>
      <c r="G56" s="88"/>
      <c r="H56" s="88"/>
      <c r="I56" s="89"/>
      <c r="J56" s="89"/>
      <c r="K56" s="89"/>
      <c r="L56" s="89"/>
      <c r="M56" s="89"/>
      <c r="N56" s="89"/>
      <c r="O56" s="89"/>
      <c r="P56" s="89"/>
      <c r="Q56" s="90"/>
      <c r="R56" s="90"/>
      <c r="S56" s="90"/>
      <c r="T56" s="89"/>
      <c r="U56" s="89"/>
      <c r="V56" s="89"/>
      <c r="W56" s="89"/>
      <c r="X56" s="89"/>
      <c r="Y56" s="89"/>
      <c r="Z56" s="89"/>
      <c r="AA56" s="89"/>
      <c r="AB56" s="90"/>
      <c r="AC56" s="90"/>
      <c r="AD56" s="90"/>
      <c r="AE56" s="91"/>
      <c r="AF56" s="91"/>
      <c r="AG56" s="91"/>
      <c r="AH56" s="91"/>
      <c r="AI56" s="91"/>
      <c r="AJ56" s="91"/>
      <c r="AK56" s="91"/>
      <c r="AL56" s="91"/>
      <c r="AM56" s="92"/>
      <c r="AN56" s="92"/>
      <c r="AO56" s="92"/>
      <c r="BD56" s="11"/>
      <c r="BE56" s="357" t="s">
        <v>88</v>
      </c>
      <c r="BF56" s="357"/>
      <c r="BG56" s="357"/>
      <c r="BH56" s="357"/>
      <c r="BI56" s="357"/>
      <c r="BJ56" s="357"/>
      <c r="BK56" s="358"/>
      <c r="BL56" s="318"/>
      <c r="BM56" s="319"/>
      <c r="BN56" s="319"/>
      <c r="BO56" s="319"/>
      <c r="BP56" s="359"/>
      <c r="BQ56" s="359"/>
      <c r="BR56" s="359"/>
      <c r="BS56" s="359"/>
      <c r="BT56" s="360" t="str">
        <f t="shared" si="19"/>
        <v>-</v>
      </c>
      <c r="BU56" s="361" t="str">
        <f t="shared" si="20"/>
        <v>-</v>
      </c>
      <c r="BV56" s="362" t="str">
        <f t="shared" si="20"/>
        <v>-</v>
      </c>
      <c r="CK56" s="80"/>
      <c r="CL56" s="80"/>
      <c r="CM56" s="80"/>
      <c r="CN56" s="80"/>
      <c r="CO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</row>
    <row r="57" spans="1:115" s="77" customFormat="1" ht="13.7" customHeight="1">
      <c r="B57" s="36"/>
      <c r="C57" s="36"/>
      <c r="D57" s="36"/>
      <c r="E57" s="36"/>
      <c r="F57" s="36"/>
      <c r="G57" s="36"/>
      <c r="H57" s="36"/>
      <c r="I57" s="91"/>
      <c r="J57" s="91"/>
      <c r="K57" s="91"/>
      <c r="L57" s="91"/>
      <c r="M57" s="91"/>
      <c r="N57" s="91"/>
      <c r="O57" s="91"/>
      <c r="P57" s="91"/>
      <c r="Q57" s="92"/>
      <c r="R57" s="92"/>
      <c r="S57" s="92"/>
      <c r="T57" s="91"/>
      <c r="U57" s="91"/>
      <c r="V57" s="91"/>
      <c r="W57" s="91"/>
      <c r="X57" s="91"/>
      <c r="Y57" s="91"/>
      <c r="Z57" s="91"/>
      <c r="AA57" s="91"/>
      <c r="AB57" s="92"/>
      <c r="AC57" s="92"/>
      <c r="AD57" s="92"/>
      <c r="AE57" s="91"/>
      <c r="AF57" s="91"/>
      <c r="AG57" s="91"/>
      <c r="AH57" s="91"/>
      <c r="AI57" s="91"/>
      <c r="AJ57" s="91"/>
      <c r="AK57" s="91"/>
      <c r="AL57" s="91"/>
      <c r="AM57" s="92"/>
      <c r="AN57" s="92"/>
      <c r="AO57" s="92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</row>
    <row r="58" spans="1:115" s="77" customFormat="1" ht="13.7" customHeight="1">
      <c r="B58" s="36"/>
      <c r="C58" s="36"/>
      <c r="D58" s="36"/>
      <c r="E58" s="36"/>
      <c r="F58" s="36"/>
      <c r="G58" s="36"/>
      <c r="H58" s="36"/>
      <c r="I58" s="91"/>
      <c r="J58" s="91"/>
      <c r="K58" s="91"/>
      <c r="L58" s="91"/>
      <c r="M58" s="91"/>
      <c r="N58" s="91"/>
      <c r="O58" s="91"/>
      <c r="P58" s="91"/>
      <c r="Q58" s="92"/>
      <c r="R58" s="92"/>
      <c r="S58" s="92"/>
      <c r="T58" s="91"/>
      <c r="U58" s="91"/>
      <c r="V58" s="91"/>
      <c r="W58" s="91"/>
      <c r="X58" s="91"/>
      <c r="Y58" s="91"/>
      <c r="Z58" s="91"/>
      <c r="AA58" s="91"/>
      <c r="AB58" s="92"/>
      <c r="AC58" s="92"/>
      <c r="AD58" s="92"/>
      <c r="AE58" s="91"/>
      <c r="AF58" s="91"/>
      <c r="AG58" s="91"/>
      <c r="AH58" s="91"/>
      <c r="AI58" s="91"/>
      <c r="AJ58" s="91"/>
      <c r="AK58" s="91"/>
      <c r="AL58" s="91"/>
      <c r="AM58" s="92"/>
      <c r="AN58" s="92"/>
      <c r="AO58" s="92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</row>
    <row r="59" spans="1:115" s="77" customFormat="1" ht="13.7" customHeight="1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</row>
    <row r="60" spans="1:115" s="77" customFormat="1" ht="13.7" customHeight="1"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</row>
    <row r="61" spans="1:115" s="77" customFormat="1" ht="13.7" customHeight="1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BA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</row>
    <row r="62" spans="1:115" s="77" customFormat="1" ht="13.7" customHeight="1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</row>
    <row r="63" spans="1:115" ht="13.7" customHeight="1">
      <c r="CS63" s="80"/>
      <c r="CT63" s="80"/>
      <c r="CU63" s="80"/>
      <c r="CV63" s="80"/>
      <c r="CW63" s="80"/>
      <c r="CX63" s="80"/>
      <c r="CY63" s="80"/>
    </row>
    <row r="64" spans="1:115" ht="13.7" customHeight="1">
      <c r="CS64" s="80"/>
      <c r="CT64" s="80"/>
      <c r="CU64" s="80"/>
      <c r="CV64" s="80"/>
      <c r="CW64" s="80"/>
      <c r="CX64" s="80"/>
      <c r="CY64" s="80"/>
    </row>
    <row r="65" spans="86:103" ht="13.7" customHeight="1">
      <c r="CS65" s="80"/>
      <c r="CT65" s="80"/>
      <c r="CU65" s="80"/>
      <c r="CV65" s="80"/>
      <c r="CW65" s="80"/>
      <c r="CX65" s="80"/>
      <c r="CY65" s="80"/>
    </row>
    <row r="66" spans="86:103" ht="13.7" customHeight="1"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</row>
    <row r="67" spans="86:103" ht="13.7" customHeight="1"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</row>
    <row r="68" spans="86:103" ht="13.7" customHeight="1"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</row>
    <row r="69" spans="86:103" ht="13.7" customHeight="1"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</row>
    <row r="70" spans="86:103" ht="13.7" customHeight="1"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</row>
    <row r="71" spans="86:103" ht="13.7" customHeight="1"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</row>
    <row r="72" spans="86:103" ht="13.7" customHeight="1"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</row>
    <row r="73" spans="86:103" ht="13.7" customHeight="1"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</row>
    <row r="74" spans="86:103" ht="13.7" customHeight="1"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</row>
    <row r="75" spans="86:103" ht="13.7" customHeight="1"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</row>
    <row r="76" spans="86:103" ht="13.7" customHeight="1"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</row>
    <row r="77" spans="86:103" ht="13.7" customHeight="1"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</row>
    <row r="78" spans="86:103" ht="13.7" customHeight="1">
      <c r="CI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</row>
    <row r="79" spans="86:103" ht="13.7" customHeight="1">
      <c r="CH79" s="80"/>
      <c r="CI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</row>
    <row r="80" spans="86:103" ht="13.7" customHeight="1">
      <c r="CH80" s="80"/>
      <c r="CI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</row>
    <row r="81" spans="86:103" ht="13.7" customHeight="1">
      <c r="CH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</row>
    <row r="82" spans="86:103" ht="13.7" customHeight="1"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</row>
    <row r="83" spans="86:103" ht="13.7" customHeight="1"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</row>
  </sheetData>
  <mergeCells count="673">
    <mergeCell ref="AB54:AD54"/>
    <mergeCell ref="BD49:BK49"/>
    <mergeCell ref="B55:H55"/>
    <mergeCell ref="I55:L55"/>
    <mergeCell ref="M55:P55"/>
    <mergeCell ref="Q55:S55"/>
    <mergeCell ref="Q54:S54"/>
    <mergeCell ref="B53:H54"/>
    <mergeCell ref="I53:S53"/>
    <mergeCell ref="T55:W55"/>
    <mergeCell ref="X55:AA55"/>
    <mergeCell ref="T53:AD53"/>
    <mergeCell ref="I54:L54"/>
    <mergeCell ref="M54:P54"/>
    <mergeCell ref="T54:W54"/>
    <mergeCell ref="X54:AA54"/>
    <mergeCell ref="AB55:AD55"/>
    <mergeCell ref="D49:H49"/>
    <mergeCell ref="I49:L49"/>
    <mergeCell ref="M49:P49"/>
    <mergeCell ref="Q49:S49"/>
    <mergeCell ref="T49:W49"/>
    <mergeCell ref="X49:AA49"/>
    <mergeCell ref="AB49:AD49"/>
    <mergeCell ref="BL56:BO56"/>
    <mergeCell ref="BP56:BS56"/>
    <mergeCell ref="BT56:BV56"/>
    <mergeCell ref="BE54:BK54"/>
    <mergeCell ref="BL54:BO54"/>
    <mergeCell ref="BP54:BS54"/>
    <mergeCell ref="BT54:BV54"/>
    <mergeCell ref="BD55:BK55"/>
    <mergeCell ref="BL55:BO55"/>
    <mergeCell ref="BP55:BS55"/>
    <mergeCell ref="BT55:BV55"/>
    <mergeCell ref="BE56:BK56"/>
    <mergeCell ref="BT43:BV43"/>
    <mergeCell ref="BE45:BK45"/>
    <mergeCell ref="BL45:BO45"/>
    <mergeCell ref="BP45:BS45"/>
    <mergeCell ref="BT45:BV45"/>
    <mergeCell ref="BP50:BS50"/>
    <mergeCell ref="BT50:BV50"/>
    <mergeCell ref="BD51:BK51"/>
    <mergeCell ref="BL51:BO51"/>
    <mergeCell ref="BP51:BS51"/>
    <mergeCell ref="BT51:BV51"/>
    <mergeCell ref="BD50:BK50"/>
    <mergeCell ref="BL49:BO49"/>
    <mergeCell ref="BD44:BK44"/>
    <mergeCell ref="BL44:BO44"/>
    <mergeCell ref="BD52:BK52"/>
    <mergeCell ref="BL52:BO52"/>
    <mergeCell ref="BP52:BS52"/>
    <mergeCell ref="BT52:BV52"/>
    <mergeCell ref="BP49:BS49"/>
    <mergeCell ref="BT49:BV49"/>
    <mergeCell ref="BD53:BK53"/>
    <mergeCell ref="BL53:BO53"/>
    <mergeCell ref="BP53:BS53"/>
    <mergeCell ref="BT53:BV53"/>
    <mergeCell ref="BL50:BO50"/>
    <mergeCell ref="BT40:BV40"/>
    <mergeCell ref="D46:H46"/>
    <mergeCell ref="I46:L46"/>
    <mergeCell ref="M46:P46"/>
    <mergeCell ref="Q46:S46"/>
    <mergeCell ref="T46:W46"/>
    <mergeCell ref="X46:AA46"/>
    <mergeCell ref="AB46:AD46"/>
    <mergeCell ref="BD41:BK41"/>
    <mergeCell ref="BL41:BO41"/>
    <mergeCell ref="BP41:BS41"/>
    <mergeCell ref="BT41:BV41"/>
    <mergeCell ref="BD40:BK40"/>
    <mergeCell ref="BL40:BO40"/>
    <mergeCell ref="BT42:BV42"/>
    <mergeCell ref="BT44:BV44"/>
    <mergeCell ref="AB44:AD44"/>
    <mergeCell ref="BP44:BS44"/>
    <mergeCell ref="Q40:S40"/>
    <mergeCell ref="T40:W40"/>
    <mergeCell ref="Q42:S42"/>
    <mergeCell ref="T42:W42"/>
    <mergeCell ref="B40:H40"/>
    <mergeCell ref="BD42:BK42"/>
    <mergeCell ref="D48:H48"/>
    <mergeCell ref="I48:L48"/>
    <mergeCell ref="M48:P48"/>
    <mergeCell ref="Q48:S48"/>
    <mergeCell ref="T48:W48"/>
    <mergeCell ref="X48:AA48"/>
    <mergeCell ref="D47:H47"/>
    <mergeCell ref="I47:L47"/>
    <mergeCell ref="M47:P47"/>
    <mergeCell ref="Q47:S47"/>
    <mergeCell ref="T47:W47"/>
    <mergeCell ref="X47:AA47"/>
    <mergeCell ref="AB47:AD47"/>
    <mergeCell ref="AB48:AD48"/>
    <mergeCell ref="BD39:BK39"/>
    <mergeCell ref="BL39:BO39"/>
    <mergeCell ref="BP39:BS39"/>
    <mergeCell ref="BP40:BS40"/>
    <mergeCell ref="X43:AA43"/>
    <mergeCell ref="AB43:AD43"/>
    <mergeCell ref="BD38:BK38"/>
    <mergeCell ref="BL38:BO38"/>
    <mergeCell ref="BP38:BS38"/>
    <mergeCell ref="BP42:BS42"/>
    <mergeCell ref="X40:AA40"/>
    <mergeCell ref="X42:AA42"/>
    <mergeCell ref="AB42:AD42"/>
    <mergeCell ref="BL42:BO42"/>
    <mergeCell ref="BE43:BK43"/>
    <mergeCell ref="BL43:BO43"/>
    <mergeCell ref="BP43:BS43"/>
    <mergeCell ref="BT38:BV38"/>
    <mergeCell ref="B43:B49"/>
    <mergeCell ref="C43:H43"/>
    <mergeCell ref="I43:L43"/>
    <mergeCell ref="M43:P43"/>
    <mergeCell ref="Q43:S43"/>
    <mergeCell ref="T43:W43"/>
    <mergeCell ref="C44:H44"/>
    <mergeCell ref="I44:L44"/>
    <mergeCell ref="M44:P44"/>
    <mergeCell ref="Q44:S44"/>
    <mergeCell ref="BT39:BV39"/>
    <mergeCell ref="C45:H45"/>
    <mergeCell ref="I45:L45"/>
    <mergeCell ref="M45:P45"/>
    <mergeCell ref="Q45:S45"/>
    <mergeCell ref="T45:W45"/>
    <mergeCell ref="X45:AA45"/>
    <mergeCell ref="AB45:AD45"/>
    <mergeCell ref="T44:W44"/>
    <mergeCell ref="X44:AA44"/>
    <mergeCell ref="C42:H42"/>
    <mergeCell ref="I42:L42"/>
    <mergeCell ref="M42:P42"/>
    <mergeCell ref="Q39:S39"/>
    <mergeCell ref="T39:W39"/>
    <mergeCell ref="X39:AA39"/>
    <mergeCell ref="AB39:AD39"/>
    <mergeCell ref="C41:H41"/>
    <mergeCell ref="I41:L41"/>
    <mergeCell ref="M41:P41"/>
    <mergeCell ref="Q41:S41"/>
    <mergeCell ref="T41:W41"/>
    <mergeCell ref="X41:AA41"/>
    <mergeCell ref="AB40:AD40"/>
    <mergeCell ref="AB41:AD41"/>
    <mergeCell ref="I40:L40"/>
    <mergeCell ref="M40:P40"/>
    <mergeCell ref="AP33:AS33"/>
    <mergeCell ref="AT33:AW33"/>
    <mergeCell ref="AX33:AZ33"/>
    <mergeCell ref="AX34:AZ34"/>
    <mergeCell ref="B38:H39"/>
    <mergeCell ref="I38:S38"/>
    <mergeCell ref="T38:AD38"/>
    <mergeCell ref="AB34:AD34"/>
    <mergeCell ref="AE34:AH34"/>
    <mergeCell ref="AI34:AL34"/>
    <mergeCell ref="AM34:AO34"/>
    <mergeCell ref="AP34:AS34"/>
    <mergeCell ref="AT34:AW34"/>
    <mergeCell ref="B34:H34"/>
    <mergeCell ref="I34:L34"/>
    <mergeCell ref="M34:P34"/>
    <mergeCell ref="Q34:S34"/>
    <mergeCell ref="T34:W34"/>
    <mergeCell ref="X34:AA34"/>
    <mergeCell ref="B33:H33"/>
    <mergeCell ref="X33:AA33"/>
    <mergeCell ref="AB33:AD33"/>
    <mergeCell ref="I39:L39"/>
    <mergeCell ref="M39:P39"/>
    <mergeCell ref="AE33:AH33"/>
    <mergeCell ref="AB32:AD32"/>
    <mergeCell ref="AE32:AH32"/>
    <mergeCell ref="AI32:AL32"/>
    <mergeCell ref="AM32:AO32"/>
    <mergeCell ref="B31:H31"/>
    <mergeCell ref="I31:L31"/>
    <mergeCell ref="M31:P31"/>
    <mergeCell ref="Q31:S31"/>
    <mergeCell ref="T31:W31"/>
    <mergeCell ref="X31:AA31"/>
    <mergeCell ref="AB31:AD31"/>
    <mergeCell ref="AE31:AH31"/>
    <mergeCell ref="AI31:AL31"/>
    <mergeCell ref="X32:AA32"/>
    <mergeCell ref="AI33:AL33"/>
    <mergeCell ref="AM33:AO33"/>
    <mergeCell ref="B30:H30"/>
    <mergeCell ref="I30:L30"/>
    <mergeCell ref="M30:P30"/>
    <mergeCell ref="Q30:S30"/>
    <mergeCell ref="T30:W30"/>
    <mergeCell ref="I33:L33"/>
    <mergeCell ref="M33:P33"/>
    <mergeCell ref="Q33:S33"/>
    <mergeCell ref="T33:W33"/>
    <mergeCell ref="B32:H32"/>
    <mergeCell ref="I32:L32"/>
    <mergeCell ref="M32:P32"/>
    <mergeCell ref="Q32:S32"/>
    <mergeCell ref="T32:W32"/>
    <mergeCell ref="AX32:AZ32"/>
    <mergeCell ref="AP32:AS32"/>
    <mergeCell ref="AT32:AW32"/>
    <mergeCell ref="AP31:AS31"/>
    <mergeCell ref="AT31:AW31"/>
    <mergeCell ref="AM31:AO31"/>
    <mergeCell ref="CE29:CG29"/>
    <mergeCell ref="BD29:BK29"/>
    <mergeCell ref="BL29:BO29"/>
    <mergeCell ref="BP29:BS29"/>
    <mergeCell ref="BT29:BV29"/>
    <mergeCell ref="BW29:BZ29"/>
    <mergeCell ref="AX30:AZ30"/>
    <mergeCell ref="AX31:AZ31"/>
    <mergeCell ref="CA29:CD29"/>
    <mergeCell ref="X30:AA30"/>
    <mergeCell ref="BL28:BO28"/>
    <mergeCell ref="BP28:BS28"/>
    <mergeCell ref="BT28:BV28"/>
    <mergeCell ref="BW28:BZ28"/>
    <mergeCell ref="CA28:CD28"/>
    <mergeCell ref="CE28:CG28"/>
    <mergeCell ref="AI29:AL29"/>
    <mergeCell ref="AM29:AO29"/>
    <mergeCell ref="AP29:AS29"/>
    <mergeCell ref="AT29:AW29"/>
    <mergeCell ref="AX29:AZ29"/>
    <mergeCell ref="BD28:BK28"/>
    <mergeCell ref="AB30:AD30"/>
    <mergeCell ref="AE30:AH30"/>
    <mergeCell ref="AI30:AL30"/>
    <mergeCell ref="AM30:AO30"/>
    <mergeCell ref="AP30:AS30"/>
    <mergeCell ref="AT30:AW30"/>
    <mergeCell ref="BT27:BV27"/>
    <mergeCell ref="BW27:BZ27"/>
    <mergeCell ref="B29:H29"/>
    <mergeCell ref="I29:L29"/>
    <mergeCell ref="M29:P29"/>
    <mergeCell ref="Q29:S29"/>
    <mergeCell ref="T29:W29"/>
    <mergeCell ref="X29:AA29"/>
    <mergeCell ref="AB29:AD29"/>
    <mergeCell ref="AE29:AH29"/>
    <mergeCell ref="AX28:AZ28"/>
    <mergeCell ref="AB28:AD28"/>
    <mergeCell ref="AE28:AH28"/>
    <mergeCell ref="AI28:AL28"/>
    <mergeCell ref="AM28:AO28"/>
    <mergeCell ref="AP28:AS28"/>
    <mergeCell ref="AT28:AW28"/>
    <mergeCell ref="B28:H28"/>
    <mergeCell ref="I28:L28"/>
    <mergeCell ref="M28:P28"/>
    <mergeCell ref="Q28:S28"/>
    <mergeCell ref="T28:W28"/>
    <mergeCell ref="X28:AA28"/>
    <mergeCell ref="B27:H27"/>
    <mergeCell ref="CE26:CG26"/>
    <mergeCell ref="AI27:AL27"/>
    <mergeCell ref="AM27:AO27"/>
    <mergeCell ref="AP27:AS27"/>
    <mergeCell ref="AT27:AW27"/>
    <mergeCell ref="AX27:AZ27"/>
    <mergeCell ref="CA25:CD25"/>
    <mergeCell ref="CE25:CG25"/>
    <mergeCell ref="BL25:BO25"/>
    <mergeCell ref="BP25:BS25"/>
    <mergeCell ref="BT25:BV25"/>
    <mergeCell ref="BW25:BZ25"/>
    <mergeCell ref="BE25:BK25"/>
    <mergeCell ref="BE26:BK26"/>
    <mergeCell ref="CE27:CG27"/>
    <mergeCell ref="BL26:BO26"/>
    <mergeCell ref="BP26:BS26"/>
    <mergeCell ref="BT26:BV26"/>
    <mergeCell ref="BW26:BZ26"/>
    <mergeCell ref="CA26:CD26"/>
    <mergeCell ref="CA27:CD27"/>
    <mergeCell ref="BD27:BK27"/>
    <mergeCell ref="BL27:BO27"/>
    <mergeCell ref="BP27:BS27"/>
    <mergeCell ref="I27:L27"/>
    <mergeCell ref="M27:P27"/>
    <mergeCell ref="Q27:S27"/>
    <mergeCell ref="T27:W27"/>
    <mergeCell ref="X27:AA27"/>
    <mergeCell ref="AB27:AD27"/>
    <mergeCell ref="AE27:AH27"/>
    <mergeCell ref="AX26:AZ26"/>
    <mergeCell ref="AB26:AD26"/>
    <mergeCell ref="AE26:AH26"/>
    <mergeCell ref="AI26:AL26"/>
    <mergeCell ref="AM26:AO26"/>
    <mergeCell ref="AP26:AS26"/>
    <mergeCell ref="AT26:AW26"/>
    <mergeCell ref="B26:H26"/>
    <mergeCell ref="I26:L26"/>
    <mergeCell ref="M26:P26"/>
    <mergeCell ref="Q26:S26"/>
    <mergeCell ref="T26:W26"/>
    <mergeCell ref="X26:AA26"/>
    <mergeCell ref="BL24:BO24"/>
    <mergeCell ref="BP24:BS24"/>
    <mergeCell ref="BT24:BV24"/>
    <mergeCell ref="I24:L24"/>
    <mergeCell ref="AI25:AL25"/>
    <mergeCell ref="AM25:AO25"/>
    <mergeCell ref="AP25:AS25"/>
    <mergeCell ref="AT25:AW25"/>
    <mergeCell ref="AX25:AZ25"/>
    <mergeCell ref="BW24:BZ24"/>
    <mergeCell ref="CA24:CD24"/>
    <mergeCell ref="CE24:CG24"/>
    <mergeCell ref="M24:P24"/>
    <mergeCell ref="Q24:S24"/>
    <mergeCell ref="T24:W24"/>
    <mergeCell ref="X24:AA24"/>
    <mergeCell ref="BD24:BK24"/>
    <mergeCell ref="C25:H25"/>
    <mergeCell ref="I25:L25"/>
    <mergeCell ref="M25:P25"/>
    <mergeCell ref="Q25:S25"/>
    <mergeCell ref="T25:W25"/>
    <mergeCell ref="X25:AA25"/>
    <mergeCell ref="AB25:AD25"/>
    <mergeCell ref="AE25:AH25"/>
    <mergeCell ref="AX24:AZ24"/>
    <mergeCell ref="AB24:AD24"/>
    <mergeCell ref="AE24:AH24"/>
    <mergeCell ref="AI24:AL24"/>
    <mergeCell ref="AM24:AO24"/>
    <mergeCell ref="AP24:AS24"/>
    <mergeCell ref="AT24:AW24"/>
    <mergeCell ref="C24:H24"/>
    <mergeCell ref="CA22:CD22"/>
    <mergeCell ref="CE22:CG22"/>
    <mergeCell ref="BL22:BO22"/>
    <mergeCell ref="BP22:BS22"/>
    <mergeCell ref="BT22:BV22"/>
    <mergeCell ref="BW22:BZ22"/>
    <mergeCell ref="BD22:BG23"/>
    <mergeCell ref="BH22:BK22"/>
    <mergeCell ref="BH23:BK23"/>
    <mergeCell ref="CA23:CD23"/>
    <mergeCell ref="CE23:CG23"/>
    <mergeCell ref="BL23:BO23"/>
    <mergeCell ref="BP23:BS23"/>
    <mergeCell ref="BT23:BV23"/>
    <mergeCell ref="BW23:BZ23"/>
    <mergeCell ref="M22:P22"/>
    <mergeCell ref="Q22:S22"/>
    <mergeCell ref="T22:W22"/>
    <mergeCell ref="X22:AA22"/>
    <mergeCell ref="AI23:AL23"/>
    <mergeCell ref="AM23:AO23"/>
    <mergeCell ref="AP23:AS23"/>
    <mergeCell ref="AT23:AW23"/>
    <mergeCell ref="AX23:AZ23"/>
    <mergeCell ref="C20:H20"/>
    <mergeCell ref="I20:L20"/>
    <mergeCell ref="AI21:AL21"/>
    <mergeCell ref="AM21:AO21"/>
    <mergeCell ref="AP21:AS21"/>
    <mergeCell ref="AT21:AW21"/>
    <mergeCell ref="AX21:AZ21"/>
    <mergeCell ref="B23:H23"/>
    <mergeCell ref="I23:L23"/>
    <mergeCell ref="M23:P23"/>
    <mergeCell ref="Q23:S23"/>
    <mergeCell ref="T23:W23"/>
    <mergeCell ref="X23:AA23"/>
    <mergeCell ref="AB23:AD23"/>
    <mergeCell ref="AE23:AH23"/>
    <mergeCell ref="AX22:AZ22"/>
    <mergeCell ref="AB22:AD22"/>
    <mergeCell ref="AE22:AH22"/>
    <mergeCell ref="AI22:AL22"/>
    <mergeCell ref="AM22:AO22"/>
    <mergeCell ref="AP22:AS22"/>
    <mergeCell ref="AT22:AW22"/>
    <mergeCell ref="C22:H22"/>
    <mergeCell ref="I22:L22"/>
    <mergeCell ref="CA21:CD21"/>
    <mergeCell ref="CE21:CG21"/>
    <mergeCell ref="C21:H21"/>
    <mergeCell ref="I21:L21"/>
    <mergeCell ref="M21:P21"/>
    <mergeCell ref="Q21:S21"/>
    <mergeCell ref="T21:W21"/>
    <mergeCell ref="X21:AA21"/>
    <mergeCell ref="AB21:AD21"/>
    <mergeCell ref="AE21:AH21"/>
    <mergeCell ref="BD21:BK21"/>
    <mergeCell ref="BL21:BO21"/>
    <mergeCell ref="BP21:BS21"/>
    <mergeCell ref="BT21:BV21"/>
    <mergeCell ref="BW21:BZ21"/>
    <mergeCell ref="M20:P20"/>
    <mergeCell ref="Q20:S20"/>
    <mergeCell ref="T20:W20"/>
    <mergeCell ref="X20:AA20"/>
    <mergeCell ref="AM19:AO19"/>
    <mergeCell ref="AP19:AS19"/>
    <mergeCell ref="AT19:AW19"/>
    <mergeCell ref="AX19:AZ19"/>
    <mergeCell ref="BL20:BO20"/>
    <mergeCell ref="AX20:AZ20"/>
    <mergeCell ref="AB20:AD20"/>
    <mergeCell ref="AE20:AH20"/>
    <mergeCell ref="AI20:AL20"/>
    <mergeCell ref="AM20:AO20"/>
    <mergeCell ref="AP20:AS20"/>
    <mergeCell ref="AT20:AW20"/>
    <mergeCell ref="BP20:BS20"/>
    <mergeCell ref="CR18:CW18"/>
    <mergeCell ref="C19:H19"/>
    <mergeCell ref="I19:L19"/>
    <mergeCell ref="M19:P19"/>
    <mergeCell ref="Q19:S19"/>
    <mergeCell ref="T19:W19"/>
    <mergeCell ref="X19:AA19"/>
    <mergeCell ref="AB19:AD19"/>
    <mergeCell ref="AE19:AH19"/>
    <mergeCell ref="AI19:AL19"/>
    <mergeCell ref="AT18:AW18"/>
    <mergeCell ref="AX18:AZ18"/>
    <mergeCell ref="BD19:BK20"/>
    <mergeCell ref="BL19:BV19"/>
    <mergeCell ref="BW19:CG19"/>
    <mergeCell ref="CL18:CQ18"/>
    <mergeCell ref="BT20:BV20"/>
    <mergeCell ref="BW20:BZ20"/>
    <mergeCell ref="CA20:CD20"/>
    <mergeCell ref="CE20:CG20"/>
    <mergeCell ref="X18:AA18"/>
    <mergeCell ref="AB18:AD18"/>
    <mergeCell ref="AE18:AH18"/>
    <mergeCell ref="AI18:AL18"/>
    <mergeCell ref="AM18:AO18"/>
    <mergeCell ref="AP18:AS18"/>
    <mergeCell ref="AI17:AL17"/>
    <mergeCell ref="AM17:AO17"/>
    <mergeCell ref="AP17:AS17"/>
    <mergeCell ref="AT17:AW17"/>
    <mergeCell ref="AX17:AZ17"/>
    <mergeCell ref="C18:H18"/>
    <mergeCell ref="I18:L18"/>
    <mergeCell ref="M18:P18"/>
    <mergeCell ref="Q18:S18"/>
    <mergeCell ref="T18:W18"/>
    <mergeCell ref="C17:H17"/>
    <mergeCell ref="I17:L17"/>
    <mergeCell ref="M17:P17"/>
    <mergeCell ref="Q17:S17"/>
    <mergeCell ref="T17:W17"/>
    <mergeCell ref="X17:AA17"/>
    <mergeCell ref="AB17:AD17"/>
    <mergeCell ref="AE17:AH17"/>
    <mergeCell ref="X16:AA16"/>
    <mergeCell ref="AB16:AD16"/>
    <mergeCell ref="AE16:AH16"/>
    <mergeCell ref="BW15:BZ15"/>
    <mergeCell ref="CA15:CD15"/>
    <mergeCell ref="CE15:CG15"/>
    <mergeCell ref="C16:H16"/>
    <mergeCell ref="I16:L16"/>
    <mergeCell ref="M16:P16"/>
    <mergeCell ref="Q16:S16"/>
    <mergeCell ref="T16:W16"/>
    <mergeCell ref="AM15:AO15"/>
    <mergeCell ref="AP15:AS15"/>
    <mergeCell ref="AT15:AW15"/>
    <mergeCell ref="AX15:AZ15"/>
    <mergeCell ref="BD15:BK15"/>
    <mergeCell ref="BL15:BO15"/>
    <mergeCell ref="AT16:AW16"/>
    <mergeCell ref="AX16:AZ16"/>
    <mergeCell ref="AI16:AL16"/>
    <mergeCell ref="AM16:AO16"/>
    <mergeCell ref="AP16:AS16"/>
    <mergeCell ref="CE14:CG14"/>
    <mergeCell ref="C15:H15"/>
    <mergeCell ref="I15:L15"/>
    <mergeCell ref="M15:P15"/>
    <mergeCell ref="Q15:S15"/>
    <mergeCell ref="T15:W15"/>
    <mergeCell ref="X15:AA15"/>
    <mergeCell ref="AB15:AD15"/>
    <mergeCell ref="AE15:AH15"/>
    <mergeCell ref="AI15:AL15"/>
    <mergeCell ref="BD14:BK14"/>
    <mergeCell ref="BL14:BO14"/>
    <mergeCell ref="BP14:BS14"/>
    <mergeCell ref="BT14:BV14"/>
    <mergeCell ref="BW14:BZ14"/>
    <mergeCell ref="CA14:CD14"/>
    <mergeCell ref="AE14:AH14"/>
    <mergeCell ref="AI14:AL14"/>
    <mergeCell ref="AM14:AO14"/>
    <mergeCell ref="AP14:AS14"/>
    <mergeCell ref="AT14:AW14"/>
    <mergeCell ref="AX14:AZ14"/>
    <mergeCell ref="BP15:BS15"/>
    <mergeCell ref="BT15:BV15"/>
    <mergeCell ref="C14:H14"/>
    <mergeCell ref="I14:L14"/>
    <mergeCell ref="M14:P14"/>
    <mergeCell ref="Q14:S14"/>
    <mergeCell ref="T14:W14"/>
    <mergeCell ref="X14:AA14"/>
    <mergeCell ref="AB14:AD14"/>
    <mergeCell ref="AT13:AW13"/>
    <mergeCell ref="AX13:AZ13"/>
    <mergeCell ref="X13:AA13"/>
    <mergeCell ref="AB13:AD13"/>
    <mergeCell ref="AE13:AH13"/>
    <mergeCell ref="AI13:AL13"/>
    <mergeCell ref="AM13:AO13"/>
    <mergeCell ref="AP13:AS13"/>
    <mergeCell ref="CE12:CG12"/>
    <mergeCell ref="C13:H13"/>
    <mergeCell ref="I13:L13"/>
    <mergeCell ref="M13:P13"/>
    <mergeCell ref="Q13:S13"/>
    <mergeCell ref="T13:W13"/>
    <mergeCell ref="AM12:AO12"/>
    <mergeCell ref="AP12:AS12"/>
    <mergeCell ref="AT12:AW12"/>
    <mergeCell ref="AX12:AZ12"/>
    <mergeCell ref="BE12:BK12"/>
    <mergeCell ref="BL12:BO12"/>
    <mergeCell ref="BW13:BZ13"/>
    <mergeCell ref="CA13:CD13"/>
    <mergeCell ref="CE13:CG13"/>
    <mergeCell ref="BD13:BK13"/>
    <mergeCell ref="BL13:BO13"/>
    <mergeCell ref="BP13:BS13"/>
    <mergeCell ref="BT13:BV13"/>
    <mergeCell ref="BD10:BD12"/>
    <mergeCell ref="AM11:AO11"/>
    <mergeCell ref="AP11:AS11"/>
    <mergeCell ref="CE11:CG11"/>
    <mergeCell ref="C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E11:BK11"/>
    <mergeCell ref="BL11:BO11"/>
    <mergeCell ref="BP11:BS11"/>
    <mergeCell ref="BT11:BV11"/>
    <mergeCell ref="BW11:BZ11"/>
    <mergeCell ref="CA11:CD11"/>
    <mergeCell ref="AT11:AW11"/>
    <mergeCell ref="AX11:AZ11"/>
    <mergeCell ref="BP12:BS12"/>
    <mergeCell ref="BT12:BV12"/>
    <mergeCell ref="BW12:BZ12"/>
    <mergeCell ref="CA12:CD12"/>
    <mergeCell ref="BT9:BV9"/>
    <mergeCell ref="BW9:BZ9"/>
    <mergeCell ref="B8:H9"/>
    <mergeCell ref="CE10:CG10"/>
    <mergeCell ref="C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E10:BK10"/>
    <mergeCell ref="BL10:BO10"/>
    <mergeCell ref="BP10:BS10"/>
    <mergeCell ref="BT10:BV10"/>
    <mergeCell ref="BW10:BZ10"/>
    <mergeCell ref="CA10:CD10"/>
    <mergeCell ref="AI10:AL10"/>
    <mergeCell ref="AM10:AO10"/>
    <mergeCell ref="AP10:AS10"/>
    <mergeCell ref="AT10:AW10"/>
    <mergeCell ref="AX10:AZ10"/>
    <mergeCell ref="B10:H10"/>
    <mergeCell ref="I10:L10"/>
    <mergeCell ref="M10:P10"/>
    <mergeCell ref="Q10:S10"/>
    <mergeCell ref="T10:W10"/>
    <mergeCell ref="X10:AA10"/>
    <mergeCell ref="AB10:AD10"/>
    <mergeCell ref="AE10:AH10"/>
    <mergeCell ref="AT9:AW9"/>
    <mergeCell ref="BL8:BV8"/>
    <mergeCell ref="BW8:CG8"/>
    <mergeCell ref="CL8:CQ8"/>
    <mergeCell ref="CR8:CW8"/>
    <mergeCell ref="I9:L9"/>
    <mergeCell ref="M9:P9"/>
    <mergeCell ref="Q9:S9"/>
    <mergeCell ref="T9:W9"/>
    <mergeCell ref="X9:AA9"/>
    <mergeCell ref="AB9:AD9"/>
    <mergeCell ref="I8:S8"/>
    <mergeCell ref="T8:AD8"/>
    <mergeCell ref="AE8:AO8"/>
    <mergeCell ref="AP8:AZ8"/>
    <mergeCell ref="BD8:BK9"/>
    <mergeCell ref="AE9:AH9"/>
    <mergeCell ref="AI9:AL9"/>
    <mergeCell ref="AM9:AO9"/>
    <mergeCell ref="AP9:AS9"/>
    <mergeCell ref="CA9:CD9"/>
    <mergeCell ref="CE9:CG9"/>
    <mergeCell ref="AX9:AZ9"/>
    <mergeCell ref="BL9:BO9"/>
    <mergeCell ref="BP9:BS9"/>
    <mergeCell ref="CR7:CW7"/>
    <mergeCell ref="CE1:CH1"/>
    <mergeCell ref="CE2:CH2"/>
    <mergeCell ref="B5:F5"/>
    <mergeCell ref="J5:P5"/>
    <mergeCell ref="Q5:U5"/>
    <mergeCell ref="V5:Z5"/>
    <mergeCell ref="AB3:AF3"/>
    <mergeCell ref="AG3:AK3"/>
    <mergeCell ref="AL3:AP3"/>
    <mergeCell ref="AQ3:AU3"/>
    <mergeCell ref="AV3:AZ3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G4:I4"/>
    <mergeCell ref="G5:I5"/>
    <mergeCell ref="AH4:AK4"/>
    <mergeCell ref="B1:D1"/>
    <mergeCell ref="BA3:BE3"/>
    <mergeCell ref="BF3:BJ3"/>
    <mergeCell ref="BK3:BO3"/>
    <mergeCell ref="AB4:AF4"/>
    <mergeCell ref="CL7:CQ7"/>
    <mergeCell ref="BP3:BT3"/>
    <mergeCell ref="BU3:BY3"/>
    <mergeCell ref="BZ3:CD3"/>
    <mergeCell ref="AM4:AP4"/>
    <mergeCell ref="AR4:AU4"/>
    <mergeCell ref="AW4:AZ4"/>
    <mergeCell ref="BB4:BE4"/>
    <mergeCell ref="BG4:BJ4"/>
    <mergeCell ref="BL4:BO4"/>
    <mergeCell ref="BQ4:BT4"/>
    <mergeCell ref="BV4:BY4"/>
    <mergeCell ref="CA4:CD4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U56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35" width="2.7109375" style="80" customWidth="1"/>
    <col min="36" max="54" width="2.7109375" style="77" customWidth="1"/>
    <col min="55" max="16384" width="2.7109375" style="80"/>
  </cols>
  <sheetData>
    <row r="1" spans="1:125" ht="13.7" customHeight="1">
      <c r="A1" s="146"/>
      <c r="B1" s="147" t="str">
        <f>AB4</f>
        <v/>
      </c>
      <c r="C1" s="147"/>
      <c r="D1" s="147"/>
      <c r="E1" s="23" t="s">
        <v>280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31"/>
      <c r="AG1" s="93"/>
      <c r="AH1" s="93"/>
      <c r="AI1" s="93"/>
      <c r="AJ1" s="93"/>
      <c r="AK1" s="93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C1" s="53"/>
      <c r="CE1" s="159"/>
      <c r="CF1" s="160"/>
      <c r="CG1" s="160"/>
      <c r="CH1" s="160"/>
    </row>
    <row r="2" spans="1:125" ht="13.7" customHeight="1" thickBot="1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I2" s="53"/>
      <c r="BJ2" s="53"/>
      <c r="BK2" s="53"/>
      <c r="CC2" s="53"/>
      <c r="CE2" s="159"/>
      <c r="CF2" s="160"/>
      <c r="CG2" s="160"/>
      <c r="CH2" s="160"/>
    </row>
    <row r="3" spans="1:125" ht="13.7" customHeight="1">
      <c r="B3" s="173"/>
      <c r="C3" s="174"/>
      <c r="D3" s="174"/>
      <c r="E3" s="174"/>
      <c r="F3" s="175"/>
      <c r="G3" s="176" t="s">
        <v>260</v>
      </c>
      <c r="H3" s="177"/>
      <c r="I3" s="178"/>
      <c r="J3" s="179" t="s">
        <v>261</v>
      </c>
      <c r="K3" s="180"/>
      <c r="L3" s="180"/>
      <c r="M3" s="180"/>
      <c r="N3" s="180"/>
      <c r="O3" s="180"/>
      <c r="P3" s="181"/>
      <c r="Q3" s="176" t="s">
        <v>262</v>
      </c>
      <c r="R3" s="177"/>
      <c r="S3" s="177"/>
      <c r="T3" s="177"/>
      <c r="U3" s="177"/>
      <c r="V3" s="179" t="s">
        <v>263</v>
      </c>
      <c r="W3" s="180"/>
      <c r="X3" s="180"/>
      <c r="Y3" s="180"/>
      <c r="Z3" s="182"/>
      <c r="AA3" s="93"/>
      <c r="AB3" s="172" t="s">
        <v>269</v>
      </c>
      <c r="AC3" s="149"/>
      <c r="AD3" s="149"/>
      <c r="AE3" s="149"/>
      <c r="AF3" s="149"/>
      <c r="AG3" s="148" t="s">
        <v>258</v>
      </c>
      <c r="AH3" s="149"/>
      <c r="AI3" s="149"/>
      <c r="AJ3" s="149"/>
      <c r="AK3" s="154"/>
      <c r="AL3" s="148" t="s">
        <v>270</v>
      </c>
      <c r="AM3" s="149"/>
      <c r="AN3" s="149"/>
      <c r="AO3" s="149"/>
      <c r="AP3" s="149"/>
      <c r="AQ3" s="148" t="s">
        <v>271</v>
      </c>
      <c r="AR3" s="149"/>
      <c r="AS3" s="149"/>
      <c r="AT3" s="149"/>
      <c r="AU3" s="149"/>
      <c r="AV3" s="148" t="s">
        <v>272</v>
      </c>
      <c r="AW3" s="149"/>
      <c r="AX3" s="149"/>
      <c r="AY3" s="149"/>
      <c r="AZ3" s="149"/>
      <c r="BA3" s="148" t="s">
        <v>1</v>
      </c>
      <c r="BB3" s="149"/>
      <c r="BC3" s="149"/>
      <c r="BD3" s="149"/>
      <c r="BE3" s="149"/>
      <c r="BF3" s="148" t="s">
        <v>273</v>
      </c>
      <c r="BG3" s="149"/>
      <c r="BH3" s="149"/>
      <c r="BI3" s="149"/>
      <c r="BJ3" s="149"/>
      <c r="BK3" s="148" t="s">
        <v>259</v>
      </c>
      <c r="BL3" s="149"/>
      <c r="BM3" s="149"/>
      <c r="BN3" s="149"/>
      <c r="BO3" s="149"/>
      <c r="BP3" s="148" t="s">
        <v>274</v>
      </c>
      <c r="BQ3" s="149"/>
      <c r="BR3" s="149"/>
      <c r="BS3" s="149"/>
      <c r="BT3" s="154"/>
      <c r="BU3" s="148" t="s">
        <v>275</v>
      </c>
      <c r="BV3" s="149"/>
      <c r="BW3" s="149"/>
      <c r="BX3" s="149"/>
      <c r="BY3" s="149"/>
      <c r="BZ3" s="148" t="s">
        <v>276</v>
      </c>
      <c r="CA3" s="149"/>
      <c r="CB3" s="149"/>
      <c r="CC3" s="149"/>
      <c r="CD3" s="155"/>
    </row>
    <row r="4" spans="1:125" ht="13.7" customHeight="1" thickBot="1">
      <c r="B4" s="183" t="s">
        <v>268</v>
      </c>
      <c r="C4" s="184"/>
      <c r="D4" s="184"/>
      <c r="E4" s="184"/>
      <c r="F4" s="185"/>
      <c r="G4" s="186" t="str">
        <f>IF(No.1!G4="","",No.1!G4)</f>
        <v/>
      </c>
      <c r="H4" s="187" t="str">
        <f>IF(No.1!H4="","",No.1!H4)</f>
        <v/>
      </c>
      <c r="I4" s="188" t="str">
        <f>IF(No.1!I4="","",No.1!I4)</f>
        <v/>
      </c>
      <c r="J4" s="186" t="str">
        <f>IF(No.1!J4="","",No.1!J4)</f>
        <v/>
      </c>
      <c r="K4" s="187" t="str">
        <f>IF(No.1!K4="","",No.1!K4)</f>
        <v/>
      </c>
      <c r="L4" s="187" t="str">
        <f>IF(No.1!L4="","",No.1!L4)</f>
        <v/>
      </c>
      <c r="M4" s="187" t="str">
        <f>IF(No.1!M4="","",No.1!M4)</f>
        <v/>
      </c>
      <c r="N4" s="187" t="str">
        <f>IF(No.1!N4="","",No.1!N4)</f>
        <v/>
      </c>
      <c r="O4" s="187" t="str">
        <f>IF(No.1!O4="","",No.1!O4)</f>
        <v/>
      </c>
      <c r="P4" s="188" t="str">
        <f>IF(No.1!P4="","",No.1!P4)</f>
        <v/>
      </c>
      <c r="Q4" s="189" t="str">
        <f>IF(No.1!Q4="","",No.1!Q4)</f>
        <v/>
      </c>
      <c r="R4" s="190" t="str">
        <f>IF(No.1!R4="","",No.1!R4)</f>
        <v/>
      </c>
      <c r="S4" s="190" t="str">
        <f>IF(No.1!S4="","",No.1!S4)</f>
        <v/>
      </c>
      <c r="T4" s="190" t="str">
        <f>IF(No.1!T4="","",No.1!T4)</f>
        <v/>
      </c>
      <c r="U4" s="190" t="str">
        <f>IF(No.1!U4="","",No.1!U4)</f>
        <v/>
      </c>
      <c r="V4" s="191" t="str">
        <f>IF(No.1!V4="","",No.1!V4)</f>
        <v/>
      </c>
      <c r="W4" s="192" t="str">
        <f>IF(No.1!W4="","",No.1!W4)</f>
        <v/>
      </c>
      <c r="X4" s="192" t="str">
        <f>IF(No.1!X4="","",No.1!X4)</f>
        <v/>
      </c>
      <c r="Y4" s="192" t="str">
        <f>IF(No.1!Y4="","",No.1!Y4)</f>
        <v/>
      </c>
      <c r="Z4" s="193" t="str">
        <f>IF(No.1!Z4="","",No.1!Z4)</f>
        <v/>
      </c>
      <c r="AA4" s="93"/>
      <c r="AB4" s="150" t="str">
        <f>IF(No.1!AB4="","",No.1!AB4)</f>
        <v/>
      </c>
      <c r="AC4" s="151" t="str">
        <f>IF(No.1!AC4="","",No.1!AC4)</f>
        <v/>
      </c>
      <c r="AD4" s="151" t="str">
        <f>IF(No.1!AD4="","",No.1!AD4)</f>
        <v/>
      </c>
      <c r="AE4" s="151" t="str">
        <f>IF(No.1!AE4="","",No.1!AE4)</f>
        <v/>
      </c>
      <c r="AF4" s="152" t="str">
        <f>IF(No.1!AF4="","",No.1!AF4)</f>
        <v/>
      </c>
      <c r="AG4" s="125" t="str">
        <f>IF(No.1!AG4="","",No.1!AG4)</f>
        <v/>
      </c>
      <c r="AH4" s="156" t="str">
        <f>IF(No.1!AH4="","",No.1!AH4)</f>
        <v/>
      </c>
      <c r="AI4" s="156" t="str">
        <f>IF(No.1!AI4="","",No.1!AI4)</f>
        <v/>
      </c>
      <c r="AJ4" s="156" t="str">
        <f>IF(No.1!AJ4="","",No.1!AJ4)</f>
        <v/>
      </c>
      <c r="AK4" s="157" t="str">
        <f>IF(No.1!AK4="","",No.1!AK4)</f>
        <v/>
      </c>
      <c r="AL4" s="126" t="str">
        <f>IF(No.1!AL4="","",No.1!AL4)</f>
        <v/>
      </c>
      <c r="AM4" s="156" t="str">
        <f>IF(No.1!AM4="","",No.1!AM4)</f>
        <v/>
      </c>
      <c r="AN4" s="156" t="str">
        <f>IF(No.1!AN4="","",No.1!AN4)</f>
        <v/>
      </c>
      <c r="AO4" s="156" t="str">
        <f>IF(No.1!AO4="","",No.1!AO4)</f>
        <v/>
      </c>
      <c r="AP4" s="157" t="str">
        <f>IF(No.1!AP4="","",No.1!AP4)</f>
        <v/>
      </c>
      <c r="AQ4" s="125" t="str">
        <f>IF(No.1!AQ4="","",No.1!AQ4)</f>
        <v/>
      </c>
      <c r="AR4" s="156" t="str">
        <f>IF(No.1!AR4="","",No.1!AR4)</f>
        <v/>
      </c>
      <c r="AS4" s="156" t="str">
        <f>IF(No.1!AS4="","",No.1!AS4)</f>
        <v/>
      </c>
      <c r="AT4" s="156" t="str">
        <f>IF(No.1!AT4="","",No.1!AT4)</f>
        <v/>
      </c>
      <c r="AU4" s="157" t="str">
        <f>IF(No.1!AU4="","",No.1!AU4)</f>
        <v/>
      </c>
      <c r="AV4" s="125" t="str">
        <f>IF(No.1!AV4="","",No.1!AV4)</f>
        <v/>
      </c>
      <c r="AW4" s="156" t="str">
        <f>IF(No.1!AW4="","",No.1!AW4)</f>
        <v/>
      </c>
      <c r="AX4" s="156" t="str">
        <f>IF(No.1!AX4="","",No.1!AX4)</f>
        <v/>
      </c>
      <c r="AY4" s="156" t="str">
        <f>IF(No.1!AY4="","",No.1!AY4)</f>
        <v/>
      </c>
      <c r="AZ4" s="157" t="str">
        <f>IF(No.1!AZ4="","",No.1!AZ4)</f>
        <v/>
      </c>
      <c r="BA4" s="126" t="str">
        <f>IF(No.1!BA4="","",No.1!BA4)</f>
        <v/>
      </c>
      <c r="BB4" s="156" t="str">
        <f>IF(No.1!BB4="","",No.1!BB4)</f>
        <v/>
      </c>
      <c r="BC4" s="156" t="str">
        <f>IF(No.1!BC4="","",No.1!BC4)</f>
        <v/>
      </c>
      <c r="BD4" s="156" t="str">
        <f>IF(No.1!BD4="","",No.1!BD4)</f>
        <v/>
      </c>
      <c r="BE4" s="157" t="str">
        <f>IF(No.1!BE4="","",No.1!BE4)</f>
        <v/>
      </c>
      <c r="BF4" s="127" t="str">
        <f>IF(No.1!BF4="","",No.1!BF4)</f>
        <v/>
      </c>
      <c r="BG4" s="156" t="str">
        <f>IF(No.1!BG4="","",No.1!BG4)</f>
        <v/>
      </c>
      <c r="BH4" s="156" t="str">
        <f>IF(No.1!BH4="","",No.1!BH4)</f>
        <v/>
      </c>
      <c r="BI4" s="156" t="str">
        <f>IF(No.1!BI4="","",No.1!BI4)</f>
        <v/>
      </c>
      <c r="BJ4" s="157" t="str">
        <f>IF(No.1!BJ4="","",No.1!BJ4)</f>
        <v/>
      </c>
      <c r="BK4" s="127" t="str">
        <f>IF(No.1!BK4="","",No.1!BK4)</f>
        <v/>
      </c>
      <c r="BL4" s="156" t="str">
        <f>IF(No.1!BL4="","",No.1!BL4)</f>
        <v/>
      </c>
      <c r="BM4" s="156" t="str">
        <f>IF(No.1!BM4="","",No.1!BM4)</f>
        <v/>
      </c>
      <c r="BN4" s="156" t="str">
        <f>IF(No.1!BN4="","",No.1!BN4)</f>
        <v/>
      </c>
      <c r="BO4" s="157" t="str">
        <f>IF(No.1!BO4="","",No.1!BO4)</f>
        <v/>
      </c>
      <c r="BP4" s="128" t="str">
        <f>IF(No.1!BP4="","",No.1!BP4)</f>
        <v/>
      </c>
      <c r="BQ4" s="156" t="str">
        <f>IF(No.1!BQ4="","",No.1!BQ4)</f>
        <v/>
      </c>
      <c r="BR4" s="156" t="str">
        <f>IF(No.1!BR4="","",No.1!BR4)</f>
        <v/>
      </c>
      <c r="BS4" s="156" t="str">
        <f>IF(No.1!BS4="","",No.1!BS4)</f>
        <v/>
      </c>
      <c r="BT4" s="157" t="str">
        <f>IF(No.1!BT4="","",No.1!BT4)</f>
        <v/>
      </c>
      <c r="BU4" s="127" t="str">
        <f>IF(No.1!BU4="","",No.1!BU4)</f>
        <v/>
      </c>
      <c r="BV4" s="156" t="str">
        <f>IF(No.1!BV4="","",No.1!BV4)</f>
        <v/>
      </c>
      <c r="BW4" s="156" t="str">
        <f>IF(No.1!BW4="","",No.1!BW4)</f>
        <v/>
      </c>
      <c r="BX4" s="156" t="str">
        <f>IF(No.1!BX4="","",No.1!BX4)</f>
        <v/>
      </c>
      <c r="BY4" s="157" t="str">
        <f>IF(No.1!BY4="","",No.1!BY4)</f>
        <v/>
      </c>
      <c r="BZ4" s="127" t="str">
        <f>IF(No.1!BZ4="","",No.1!BZ4)</f>
        <v/>
      </c>
      <c r="CA4" s="156" t="str">
        <f>IF(No.1!CA4="","",No.1!CA4)</f>
        <v/>
      </c>
      <c r="CB4" s="156" t="str">
        <f>IF(No.1!CB4="","",No.1!CB4)</f>
        <v/>
      </c>
      <c r="CC4" s="156" t="str">
        <f>IF(No.1!CC4="","",No.1!CC4)</f>
        <v/>
      </c>
      <c r="CD4" s="158" t="str">
        <f>IF(No.1!CD4="","",No.1!CD4)</f>
        <v/>
      </c>
      <c r="CE4" s="73"/>
      <c r="CF4" s="73"/>
      <c r="CG4" s="73"/>
      <c r="CH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</row>
    <row r="5" spans="1:125" ht="13.7" customHeight="1" thickBot="1">
      <c r="B5" s="161" t="s">
        <v>264</v>
      </c>
      <c r="C5" s="162"/>
      <c r="D5" s="162"/>
      <c r="E5" s="162"/>
      <c r="F5" s="163"/>
      <c r="G5" s="164" t="str">
        <f>IF(No.1!G5="","",No.1!G5)</f>
        <v/>
      </c>
      <c r="H5" s="165" t="str">
        <f>IF(No.1!H5="","",No.1!H5)</f>
        <v/>
      </c>
      <c r="I5" s="166" t="str">
        <f>IF(No.1!I5="","",No.1!I5)</f>
        <v/>
      </c>
      <c r="J5" s="164" t="str">
        <f>IF(No.1!J5="","",No.1!J5)</f>
        <v/>
      </c>
      <c r="K5" s="165" t="str">
        <f>IF(No.1!K5="","",No.1!K5)</f>
        <v/>
      </c>
      <c r="L5" s="165" t="str">
        <f>IF(No.1!L5="","",No.1!L5)</f>
        <v/>
      </c>
      <c r="M5" s="165" t="str">
        <f>IF(No.1!M5="","",No.1!M5)</f>
        <v/>
      </c>
      <c r="N5" s="165" t="str">
        <f>IF(No.1!N5="","",No.1!N5)</f>
        <v/>
      </c>
      <c r="O5" s="165" t="str">
        <f>IF(No.1!O5="","",No.1!O5)</f>
        <v/>
      </c>
      <c r="P5" s="166" t="str">
        <f>IF(No.1!P5="","",No.1!P5)</f>
        <v/>
      </c>
      <c r="Q5" s="167" t="str">
        <f>IF(No.1!Q5="","",No.1!Q5)</f>
        <v/>
      </c>
      <c r="R5" s="168" t="str">
        <f>IF(No.1!R5="","",No.1!R5)</f>
        <v/>
      </c>
      <c r="S5" s="168" t="str">
        <f>IF(No.1!S5="","",No.1!S5)</f>
        <v/>
      </c>
      <c r="T5" s="168" t="str">
        <f>IF(No.1!T5="","",No.1!T5)</f>
        <v/>
      </c>
      <c r="U5" s="168" t="str">
        <f>IF(No.1!U5="","",No.1!U5)</f>
        <v/>
      </c>
      <c r="V5" s="169" t="str">
        <f>IF(No.1!V5="","",No.1!V5)</f>
        <v/>
      </c>
      <c r="W5" s="170" t="str">
        <f>IF(No.1!W5="","",No.1!W5)</f>
        <v/>
      </c>
      <c r="X5" s="170" t="str">
        <f>IF(No.1!X5="","",No.1!X5)</f>
        <v/>
      </c>
      <c r="Y5" s="170" t="str">
        <f>IF(No.1!Y5="","",No.1!Y5)</f>
        <v/>
      </c>
      <c r="Z5" s="171" t="str">
        <f>IF(No.1!Z5="","",No.1!Z5)</f>
        <v/>
      </c>
      <c r="AA5" s="73"/>
      <c r="AB5" s="73"/>
      <c r="AC5" s="93"/>
      <c r="AD5" s="93"/>
      <c r="AE5" s="93"/>
      <c r="AF5" s="93"/>
      <c r="AG5" s="93"/>
      <c r="AH5" s="9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53"/>
      <c r="BG5" s="53"/>
      <c r="BH5" s="53"/>
      <c r="BI5" s="53"/>
      <c r="BJ5" s="53"/>
      <c r="BK5" s="5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</row>
    <row r="6" spans="1:125" ht="13.7" customHeight="1">
      <c r="B6" s="53"/>
      <c r="C6" s="53"/>
      <c r="D6" s="73"/>
      <c r="E6" s="73"/>
      <c r="F6" s="73"/>
      <c r="G6" s="73"/>
      <c r="H6" s="73"/>
      <c r="I6" s="73"/>
      <c r="J6" s="73"/>
      <c r="K6" s="8"/>
      <c r="L6" s="45"/>
      <c r="M6" s="45"/>
      <c r="N6" s="45"/>
      <c r="O6" s="45"/>
      <c r="P6" s="53"/>
      <c r="Q6" s="53"/>
      <c r="R6" s="73"/>
      <c r="S6" s="8"/>
      <c r="T6" s="46"/>
      <c r="U6" s="46"/>
      <c r="V6" s="46"/>
      <c r="W6" s="73"/>
      <c r="X6" s="73"/>
      <c r="Y6" s="73"/>
      <c r="Z6" s="73"/>
      <c r="AA6" s="73"/>
      <c r="AB6" s="73"/>
      <c r="AC6" s="73"/>
      <c r="AD6" s="73"/>
      <c r="AE6" s="73"/>
      <c r="BC6" s="77"/>
      <c r="BD6" s="77"/>
    </row>
    <row r="7" spans="1:125" ht="13.7" customHeight="1" thickBot="1">
      <c r="B7" s="53" t="s">
        <v>210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4" t="s">
        <v>0</v>
      </c>
      <c r="AT7" s="53" t="s">
        <v>237</v>
      </c>
      <c r="AU7" s="80"/>
      <c r="AV7" s="80"/>
      <c r="AW7" s="80"/>
      <c r="AX7" s="80"/>
      <c r="AY7" s="80"/>
      <c r="AZ7" s="80"/>
      <c r="BA7" s="80"/>
      <c r="BB7" s="80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6"/>
      <c r="CG7" s="4" t="s">
        <v>5</v>
      </c>
    </row>
    <row r="8" spans="1:125" ht="13.7" customHeight="1">
      <c r="B8" s="323"/>
      <c r="C8" s="269"/>
      <c r="D8" s="269"/>
      <c r="E8" s="269"/>
      <c r="F8" s="269"/>
      <c r="G8" s="269"/>
      <c r="H8" s="270"/>
      <c r="I8" s="194" t="s">
        <v>47</v>
      </c>
      <c r="J8" s="195"/>
      <c r="K8" s="195"/>
      <c r="L8" s="195"/>
      <c r="M8" s="195"/>
      <c r="N8" s="195"/>
      <c r="O8" s="195"/>
      <c r="P8" s="195"/>
      <c r="Q8" s="195"/>
      <c r="R8" s="195"/>
      <c r="S8" s="196"/>
      <c r="T8" s="194" t="s">
        <v>48</v>
      </c>
      <c r="U8" s="195"/>
      <c r="V8" s="195"/>
      <c r="W8" s="195"/>
      <c r="X8" s="195"/>
      <c r="Y8" s="195"/>
      <c r="Z8" s="195"/>
      <c r="AA8" s="195"/>
      <c r="AB8" s="195"/>
      <c r="AC8" s="195"/>
      <c r="AD8" s="196"/>
      <c r="AE8" s="194" t="s">
        <v>10</v>
      </c>
      <c r="AF8" s="195"/>
      <c r="AG8" s="195"/>
      <c r="AH8" s="195"/>
      <c r="AI8" s="195"/>
      <c r="AJ8" s="195"/>
      <c r="AK8" s="195"/>
      <c r="AL8" s="195"/>
      <c r="AM8" s="195"/>
      <c r="AN8" s="195"/>
      <c r="AO8" s="196"/>
      <c r="AT8" s="515"/>
      <c r="AU8" s="206"/>
      <c r="AV8" s="206"/>
      <c r="AW8" s="206"/>
      <c r="AX8" s="206"/>
      <c r="AY8" s="206"/>
      <c r="AZ8" s="516"/>
      <c r="BA8" s="194" t="s">
        <v>53</v>
      </c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4" t="s">
        <v>48</v>
      </c>
      <c r="BM8" s="195"/>
      <c r="BN8" s="195"/>
      <c r="BO8" s="195"/>
      <c r="BP8" s="195"/>
      <c r="BQ8" s="195"/>
      <c r="BR8" s="195"/>
      <c r="BS8" s="195"/>
      <c r="BT8" s="195"/>
      <c r="BU8" s="195"/>
      <c r="BV8" s="196"/>
      <c r="BW8" s="194" t="s">
        <v>10</v>
      </c>
      <c r="BX8" s="195"/>
      <c r="BY8" s="195"/>
      <c r="BZ8" s="195"/>
      <c r="CA8" s="195"/>
      <c r="CB8" s="195"/>
      <c r="CC8" s="195"/>
      <c r="CD8" s="195"/>
      <c r="CE8" s="195"/>
      <c r="CF8" s="195"/>
      <c r="CG8" s="196"/>
    </row>
    <row r="9" spans="1:125" ht="13.7" customHeight="1" thickBot="1">
      <c r="B9" s="271"/>
      <c r="C9" s="272"/>
      <c r="D9" s="272"/>
      <c r="E9" s="272"/>
      <c r="F9" s="272"/>
      <c r="G9" s="272"/>
      <c r="H9" s="273"/>
      <c r="I9" s="198" t="str">
        <f>IF($B$1&lt;&gt;"",$B$1,"")</f>
        <v/>
      </c>
      <c r="J9" s="199"/>
      <c r="K9" s="199"/>
      <c r="L9" s="199"/>
      <c r="M9" s="200" t="str">
        <f>IF($B$1&lt;&gt;"",$B$1-1,"")</f>
        <v/>
      </c>
      <c r="N9" s="199"/>
      <c r="O9" s="199"/>
      <c r="P9" s="201"/>
      <c r="Q9" s="518" t="s">
        <v>152</v>
      </c>
      <c r="R9" s="519"/>
      <c r="S9" s="519"/>
      <c r="T9" s="198" t="str">
        <f>IF($B$1&lt;&gt;"",$B$1,"")</f>
        <v/>
      </c>
      <c r="U9" s="199"/>
      <c r="V9" s="199"/>
      <c r="W9" s="199"/>
      <c r="X9" s="200" t="str">
        <f>IF($B$1&lt;&gt;"",$B$1-1,"")</f>
        <v/>
      </c>
      <c r="Y9" s="199"/>
      <c r="Z9" s="199"/>
      <c r="AA9" s="201"/>
      <c r="AB9" s="518" t="s">
        <v>152</v>
      </c>
      <c r="AC9" s="519"/>
      <c r="AD9" s="520"/>
      <c r="AE9" s="198" t="str">
        <f>IF($B$1&lt;&gt;"",$B$1,"")</f>
        <v/>
      </c>
      <c r="AF9" s="199"/>
      <c r="AG9" s="199"/>
      <c r="AH9" s="199"/>
      <c r="AI9" s="200" t="str">
        <f>IF($B$1&lt;&gt;"",$B$1-1,"")</f>
        <v/>
      </c>
      <c r="AJ9" s="199"/>
      <c r="AK9" s="199"/>
      <c r="AL9" s="201"/>
      <c r="AM9" s="518" t="s">
        <v>152</v>
      </c>
      <c r="AN9" s="519"/>
      <c r="AO9" s="520"/>
      <c r="AT9" s="207"/>
      <c r="AU9" s="208"/>
      <c r="AV9" s="208"/>
      <c r="AW9" s="208"/>
      <c r="AX9" s="208"/>
      <c r="AY9" s="208"/>
      <c r="AZ9" s="517"/>
      <c r="BA9" s="198" t="str">
        <f>IF($B$1&lt;&gt;"",$B$1,"")</f>
        <v/>
      </c>
      <c r="BB9" s="199"/>
      <c r="BC9" s="199"/>
      <c r="BD9" s="199"/>
      <c r="BE9" s="200" t="str">
        <f>IF($B$1&lt;&gt;"",$B$1-1,"")</f>
        <v/>
      </c>
      <c r="BF9" s="199"/>
      <c r="BG9" s="199"/>
      <c r="BH9" s="201"/>
      <c r="BI9" s="518" t="s">
        <v>152</v>
      </c>
      <c r="BJ9" s="519"/>
      <c r="BK9" s="519"/>
      <c r="BL9" s="198" t="str">
        <f>IF($B$1&lt;&gt;"",$B$1,"")</f>
        <v/>
      </c>
      <c r="BM9" s="199"/>
      <c r="BN9" s="199"/>
      <c r="BO9" s="199"/>
      <c r="BP9" s="200" t="str">
        <f>IF($B$1&lt;&gt;"",$B$1-1,"")</f>
        <v/>
      </c>
      <c r="BQ9" s="199"/>
      <c r="BR9" s="199"/>
      <c r="BS9" s="201"/>
      <c r="BT9" s="518" t="s">
        <v>152</v>
      </c>
      <c r="BU9" s="519"/>
      <c r="BV9" s="520"/>
      <c r="BW9" s="198" t="str">
        <f>IF($B$1&lt;&gt;"",$B$1,"")</f>
        <v/>
      </c>
      <c r="BX9" s="199"/>
      <c r="BY9" s="199"/>
      <c r="BZ9" s="199"/>
      <c r="CA9" s="200" t="str">
        <f>IF($B$1&lt;&gt;"",$B$1-1,"")</f>
        <v/>
      </c>
      <c r="CB9" s="199"/>
      <c r="CC9" s="199"/>
      <c r="CD9" s="201"/>
      <c r="CE9" s="518" t="s">
        <v>152</v>
      </c>
      <c r="CF9" s="519"/>
      <c r="CG9" s="520"/>
    </row>
    <row r="10" spans="1:125" ht="13.7" customHeight="1">
      <c r="B10" s="349" t="s">
        <v>49</v>
      </c>
      <c r="C10" s="350"/>
      <c r="D10" s="350"/>
      <c r="E10" s="350"/>
      <c r="F10" s="350"/>
      <c r="G10" s="350"/>
      <c r="H10" s="351"/>
      <c r="I10" s="212"/>
      <c r="J10" s="617"/>
      <c r="K10" s="617"/>
      <c r="L10" s="617"/>
      <c r="M10" s="618"/>
      <c r="N10" s="617"/>
      <c r="O10" s="617"/>
      <c r="P10" s="619"/>
      <c r="Q10" s="521" t="str">
        <f t="shared" ref="Q10:Q14" si="0">IF(I10="-", "-", IF(M10="-", "-", IF(ABS(M10)=0, "-", ROUND(100*(I10-M10)/ABS(M10), 1))))</f>
        <v>-</v>
      </c>
      <c r="R10" s="521" t="str">
        <f t="shared" ref="R10:S14" si="1">IF(N10="-", "-", IF(P10="-", "-", IF(ABS(P10)=0, "-", ROUND(100*(N10-P10)/ABS(P10), 1))))</f>
        <v>-</v>
      </c>
      <c r="S10" s="521" t="str">
        <f t="shared" si="1"/>
        <v>-</v>
      </c>
      <c r="T10" s="211"/>
      <c r="U10" s="617"/>
      <c r="V10" s="617"/>
      <c r="W10" s="617"/>
      <c r="X10" s="618"/>
      <c r="Y10" s="617"/>
      <c r="Z10" s="617"/>
      <c r="AA10" s="619"/>
      <c r="AB10" s="521" t="str">
        <f t="shared" ref="AB10:AB14" si="2">IF(T10="-", "-", IF(X10="-", "-", IF(ABS(X10)=0, "-", ROUND(100*(T10-X10)/ABS(X10), 1))))</f>
        <v>-</v>
      </c>
      <c r="AC10" s="521" t="str">
        <f t="shared" ref="AC10:AD14" si="3">IF(Y10="-", "-", IF(AA10="-", "-", IF(ABS(AA10)=0, "-", ROUND(100*(Y10-AA10)/ABS(AA10), 1))))</f>
        <v>-</v>
      </c>
      <c r="AD10" s="522" t="str">
        <f t="shared" si="3"/>
        <v>-</v>
      </c>
      <c r="AE10" s="523"/>
      <c r="AF10" s="524"/>
      <c r="AG10" s="524"/>
      <c r="AH10" s="524"/>
      <c r="AI10" s="525"/>
      <c r="AJ10" s="524"/>
      <c r="AK10" s="524"/>
      <c r="AL10" s="526"/>
      <c r="AM10" s="527" t="str">
        <f t="shared" ref="AM10:AM14" si="4">IF(AE10="-", "-", IF(AI10="-", "-", IF(ABS(AI10)=0, "-", ROUND(100*(AE10-AI10)/ABS(AI10), 1))))</f>
        <v>-</v>
      </c>
      <c r="AN10" s="527" t="str">
        <f t="shared" ref="AN10:AO14" si="5">IF(AJ10="-", "-", IF(AL10="-", "-", IF(ABS(AL10)=0, "-", ROUND(100*(AJ10-AL10)/ABS(AL10), 1))))</f>
        <v>-</v>
      </c>
      <c r="AO10" s="528" t="str">
        <f t="shared" si="5"/>
        <v>-</v>
      </c>
      <c r="AT10" s="529" t="s">
        <v>60</v>
      </c>
      <c r="AU10" s="530"/>
      <c r="AV10" s="557" t="s">
        <v>54</v>
      </c>
      <c r="AW10" s="558"/>
      <c r="AX10" s="558"/>
      <c r="AY10" s="558"/>
      <c r="AZ10" s="559"/>
      <c r="BA10" s="409"/>
      <c r="BB10" s="410"/>
      <c r="BC10" s="410"/>
      <c r="BD10" s="410"/>
      <c r="BE10" s="411"/>
      <c r="BF10" s="410"/>
      <c r="BG10" s="410"/>
      <c r="BH10" s="412"/>
      <c r="BI10" s="228" t="str">
        <f t="shared" ref="BI10:BI11" si="6">IF(BA10="-", "-", IF(BE10="-", "-", IF(ABS(BE10)=0, "-", ROUND(100*(BA10-BE10)/ABS(BE10), 1))))</f>
        <v>-</v>
      </c>
      <c r="BJ10" s="228" t="str">
        <f t="shared" ref="BJ10:BJ11" si="7">IF(BF10="-", "-", IF(BH10="-", "-", IF(ABS(BH10)=0, "-", ROUND(100*(BF10-BH10)/ABS(BH10), 1))))</f>
        <v>-</v>
      </c>
      <c r="BK10" s="229" t="str">
        <f t="shared" ref="BK10:BK11" si="8">IF(BG10="-", "-", IF(BI10="-", "-", IF(ABS(BI10)=0, "-", ROUND(100*(BG10-BI10)/ABS(BI10), 1))))</f>
        <v>-</v>
      </c>
      <c r="BL10" s="409"/>
      <c r="BM10" s="410"/>
      <c r="BN10" s="410"/>
      <c r="BO10" s="410"/>
      <c r="BP10" s="411"/>
      <c r="BQ10" s="410"/>
      <c r="BR10" s="410"/>
      <c r="BS10" s="412"/>
      <c r="BT10" s="228" t="str">
        <f t="shared" ref="BT10:BT11" si="9">IF(BL10="-", "-", IF(BP10="-", "-", IF(ABS(BP10)=0, "-", ROUND(100*(BL10-BP10)/ABS(BP10), 1))))</f>
        <v>-</v>
      </c>
      <c r="BU10" s="228" t="str">
        <f t="shared" ref="BU10:BU11" si="10">IF(BQ10="-", "-", IF(BS10="-", "-", IF(ABS(BS10)=0, "-", ROUND(100*(BQ10-BS10)/ABS(BS10), 1))))</f>
        <v>-</v>
      </c>
      <c r="BV10" s="229" t="str">
        <f t="shared" ref="BV10:BV11" si="11">IF(BR10="-", "-", IF(BT10="-", "-", IF(ABS(BT10)=0, "-", ROUND(100*(BR10-BT10)/ABS(BT10), 1))))</f>
        <v>-</v>
      </c>
      <c r="BW10" s="553"/>
      <c r="BX10" s="554"/>
      <c r="BY10" s="554"/>
      <c r="BZ10" s="554"/>
      <c r="CA10" s="555"/>
      <c r="CB10" s="554"/>
      <c r="CC10" s="554"/>
      <c r="CD10" s="556"/>
      <c r="CE10" s="551" t="str">
        <f t="shared" ref="CE10:CE11" si="12">IF(BW10="-", "-", IF(CA10="-", "-", IF(ABS(CA10)=0, "-", ROUND(100*(BW10-CA10)/ABS(CA10), 1))))</f>
        <v>-</v>
      </c>
      <c r="CF10" s="551" t="str">
        <f t="shared" ref="CF10:CF11" si="13">IF(CB10="-", "-", IF(CD10="-", "-", IF(ABS(CD10)=0, "-", ROUND(100*(CB10-CD10)/ABS(CD10), 1))))</f>
        <v>-</v>
      </c>
      <c r="CG10" s="552" t="str">
        <f t="shared" ref="CG10:CG11" si="14">IF(CC10="-", "-", IF(CE10="-", "-", IF(ABS(CE10)=0, "-", ROUND(100*(CC10-CE10)/ABS(CE10), 1))))</f>
        <v>-</v>
      </c>
    </row>
    <row r="11" spans="1:125" ht="13.7" customHeight="1">
      <c r="B11" s="250" t="s">
        <v>172</v>
      </c>
      <c r="C11" s="302"/>
      <c r="D11" s="302"/>
      <c r="E11" s="302"/>
      <c r="F11" s="302"/>
      <c r="G11" s="302"/>
      <c r="H11" s="493"/>
      <c r="I11" s="243"/>
      <c r="J11" s="408"/>
      <c r="K11" s="408"/>
      <c r="L11" s="408"/>
      <c r="M11" s="503"/>
      <c r="N11" s="408"/>
      <c r="O11" s="408"/>
      <c r="P11" s="504"/>
      <c r="Q11" s="410" t="str">
        <f t="shared" si="0"/>
        <v>-</v>
      </c>
      <c r="R11" s="410" t="str">
        <f t="shared" si="1"/>
        <v>-</v>
      </c>
      <c r="S11" s="410" t="str">
        <f t="shared" si="1"/>
        <v>-</v>
      </c>
      <c r="T11" s="242"/>
      <c r="U11" s="408"/>
      <c r="V11" s="408"/>
      <c r="W11" s="408"/>
      <c r="X11" s="503"/>
      <c r="Y11" s="408"/>
      <c r="Z11" s="408"/>
      <c r="AA11" s="504"/>
      <c r="AB11" s="410" t="str">
        <f t="shared" si="2"/>
        <v>-</v>
      </c>
      <c r="AC11" s="410" t="str">
        <f t="shared" si="3"/>
        <v>-</v>
      </c>
      <c r="AD11" s="505" t="str">
        <f t="shared" si="3"/>
        <v>-</v>
      </c>
      <c r="AE11" s="547"/>
      <c r="AF11" s="548"/>
      <c r="AG11" s="548"/>
      <c r="AH11" s="548"/>
      <c r="AI11" s="549"/>
      <c r="AJ11" s="548"/>
      <c r="AK11" s="548"/>
      <c r="AL11" s="550"/>
      <c r="AM11" s="535" t="str">
        <f t="shared" si="4"/>
        <v>-</v>
      </c>
      <c r="AN11" s="535" t="str">
        <f t="shared" si="5"/>
        <v>-</v>
      </c>
      <c r="AO11" s="536" t="str">
        <f t="shared" si="5"/>
        <v>-</v>
      </c>
      <c r="AT11" s="531"/>
      <c r="AU11" s="532"/>
      <c r="AV11" s="186" t="s">
        <v>55</v>
      </c>
      <c r="AW11" s="187"/>
      <c r="AX11" s="187"/>
      <c r="AY11" s="187"/>
      <c r="AZ11" s="255"/>
      <c r="BA11" s="409"/>
      <c r="BB11" s="410"/>
      <c r="BC11" s="410"/>
      <c r="BD11" s="410"/>
      <c r="BE11" s="411"/>
      <c r="BF11" s="410"/>
      <c r="BG11" s="410"/>
      <c r="BH11" s="412"/>
      <c r="BI11" s="228" t="str">
        <f t="shared" si="6"/>
        <v>-</v>
      </c>
      <c r="BJ11" s="228" t="str">
        <f t="shared" si="7"/>
        <v>-</v>
      </c>
      <c r="BK11" s="229" t="str">
        <f t="shared" si="8"/>
        <v>-</v>
      </c>
      <c r="BL11" s="409"/>
      <c r="BM11" s="410"/>
      <c r="BN11" s="410"/>
      <c r="BO11" s="410"/>
      <c r="BP11" s="411"/>
      <c r="BQ11" s="410"/>
      <c r="BR11" s="410"/>
      <c r="BS11" s="412"/>
      <c r="BT11" s="228" t="str">
        <f t="shared" si="9"/>
        <v>-</v>
      </c>
      <c r="BU11" s="228" t="str">
        <f t="shared" si="10"/>
        <v>-</v>
      </c>
      <c r="BV11" s="229" t="str">
        <f t="shared" si="11"/>
        <v>-</v>
      </c>
      <c r="BW11" s="553"/>
      <c r="BX11" s="554"/>
      <c r="BY11" s="554"/>
      <c r="BZ11" s="554"/>
      <c r="CA11" s="555"/>
      <c r="CB11" s="554"/>
      <c r="CC11" s="554"/>
      <c r="CD11" s="556"/>
      <c r="CE11" s="551" t="str">
        <f t="shared" si="12"/>
        <v>-</v>
      </c>
      <c r="CF11" s="551" t="str">
        <f t="shared" si="13"/>
        <v>-</v>
      </c>
      <c r="CG11" s="552" t="str">
        <f t="shared" si="14"/>
        <v>-</v>
      </c>
    </row>
    <row r="12" spans="1:125" ht="13.7" customHeight="1">
      <c r="B12" s="256" t="s">
        <v>173</v>
      </c>
      <c r="C12" s="225"/>
      <c r="D12" s="225"/>
      <c r="E12" s="225"/>
      <c r="F12" s="225"/>
      <c r="G12" s="225"/>
      <c r="H12" s="249"/>
      <c r="I12" s="243"/>
      <c r="J12" s="408"/>
      <c r="K12" s="408"/>
      <c r="L12" s="408"/>
      <c r="M12" s="503"/>
      <c r="N12" s="408"/>
      <c r="O12" s="408"/>
      <c r="P12" s="504"/>
      <c r="Q12" s="410" t="str">
        <f t="shared" si="0"/>
        <v>-</v>
      </c>
      <c r="R12" s="410" t="str">
        <f t="shared" si="1"/>
        <v>-</v>
      </c>
      <c r="S12" s="410" t="str">
        <f t="shared" si="1"/>
        <v>-</v>
      </c>
      <c r="T12" s="242"/>
      <c r="U12" s="408"/>
      <c r="V12" s="408"/>
      <c r="W12" s="408"/>
      <c r="X12" s="503"/>
      <c r="Y12" s="408"/>
      <c r="Z12" s="408"/>
      <c r="AA12" s="504"/>
      <c r="AB12" s="410" t="str">
        <f t="shared" si="2"/>
        <v>-</v>
      </c>
      <c r="AC12" s="410" t="str">
        <f t="shared" si="3"/>
        <v>-</v>
      </c>
      <c r="AD12" s="505" t="str">
        <f t="shared" si="3"/>
        <v>-</v>
      </c>
      <c r="AE12" s="547"/>
      <c r="AF12" s="548"/>
      <c r="AG12" s="548"/>
      <c r="AH12" s="548"/>
      <c r="AI12" s="549"/>
      <c r="AJ12" s="548"/>
      <c r="AK12" s="548"/>
      <c r="AL12" s="550"/>
      <c r="AM12" s="535" t="str">
        <f t="shared" si="4"/>
        <v>-</v>
      </c>
      <c r="AN12" s="535" t="str">
        <f t="shared" si="5"/>
        <v>-</v>
      </c>
      <c r="AO12" s="536" t="str">
        <f t="shared" si="5"/>
        <v>-</v>
      </c>
      <c r="AT12" s="531"/>
      <c r="AU12" s="532"/>
      <c r="AV12" s="537" t="s">
        <v>56</v>
      </c>
      <c r="AW12" s="538"/>
      <c r="AX12" s="538"/>
      <c r="AY12" s="538"/>
      <c r="AZ12" s="539"/>
      <c r="BA12" s="243"/>
      <c r="BB12" s="408"/>
      <c r="BC12" s="408"/>
      <c r="BD12" s="408"/>
      <c r="BE12" s="503"/>
      <c r="BF12" s="408"/>
      <c r="BG12" s="408"/>
      <c r="BH12" s="504"/>
      <c r="BI12" s="410" t="str">
        <f t="shared" ref="BI12:BI16" si="15">IF(BA12="-", "-", IF(BE12="-", "-", IF(ABS(BE12)=0, "-", ROUND(100*(BA12-BE12)/ABS(BE12), 1))))</f>
        <v>-</v>
      </c>
      <c r="BJ12" s="410" t="str">
        <f t="shared" ref="BJ12:BK16" si="16">IF(BF12="-", "-", IF(BH12="-", "-", IF(ABS(BH12)=0, "-", ROUND(100*(BF12-BH12)/ABS(BH12), 1))))</f>
        <v>-</v>
      </c>
      <c r="BK12" s="410" t="str">
        <f t="shared" si="16"/>
        <v>-</v>
      </c>
      <c r="BL12" s="242"/>
      <c r="BM12" s="408"/>
      <c r="BN12" s="408"/>
      <c r="BO12" s="408"/>
      <c r="BP12" s="503"/>
      <c r="BQ12" s="408"/>
      <c r="BR12" s="408"/>
      <c r="BS12" s="504"/>
      <c r="BT12" s="410" t="str">
        <f t="shared" ref="BT12:BT16" si="17">IF(BL12="-", "-", IF(BP12="-", "-", IF(ABS(BP12)=0, "-", ROUND(100*(BL12-BP12)/ABS(BP12), 1))))</f>
        <v>-</v>
      </c>
      <c r="BU12" s="410" t="str">
        <f t="shared" ref="BU12:BV16" si="18">IF(BQ12="-", "-", IF(BS12="-", "-", IF(ABS(BS12)=0, "-", ROUND(100*(BQ12-BS12)/ABS(BS12), 1))))</f>
        <v>-</v>
      </c>
      <c r="BV12" s="505" t="str">
        <f t="shared" si="18"/>
        <v>-</v>
      </c>
      <c r="BW12" s="450"/>
      <c r="BX12" s="426"/>
      <c r="BY12" s="426"/>
      <c r="BZ12" s="426"/>
      <c r="CA12" s="425"/>
      <c r="CB12" s="426"/>
      <c r="CC12" s="426"/>
      <c r="CD12" s="427"/>
      <c r="CE12" s="554" t="str">
        <f t="shared" ref="CE12:CE17" si="19">IF(BW12="-", "-", IF(CA12="-", "-", IF(ABS(CA12)=0, "-", ROUND(100*(BW12-CA12)/ABS(CA12), 1))))</f>
        <v>-</v>
      </c>
      <c r="CF12" s="554" t="str">
        <f t="shared" ref="CF12:CG17" si="20">IF(CB12="-", "-", IF(CD12="-", "-", IF(ABS(CD12)=0, "-", ROUND(100*(CB12-CD12)/ABS(CD12), 1))))</f>
        <v>-</v>
      </c>
      <c r="CG12" s="560" t="str">
        <f t="shared" si="20"/>
        <v>-</v>
      </c>
    </row>
    <row r="13" spans="1:125" ht="13.7" customHeight="1">
      <c r="B13" s="509" t="s">
        <v>51</v>
      </c>
      <c r="C13" s="233"/>
      <c r="D13" s="233"/>
      <c r="E13" s="233"/>
      <c r="F13" s="233"/>
      <c r="G13" s="233"/>
      <c r="H13" s="510"/>
      <c r="I13" s="243"/>
      <c r="J13" s="408"/>
      <c r="K13" s="408"/>
      <c r="L13" s="408"/>
      <c r="M13" s="503"/>
      <c r="N13" s="408"/>
      <c r="O13" s="408"/>
      <c r="P13" s="504"/>
      <c r="Q13" s="506" t="str">
        <f t="shared" si="0"/>
        <v>-</v>
      </c>
      <c r="R13" s="413"/>
      <c r="S13" s="459"/>
      <c r="T13" s="242"/>
      <c r="U13" s="408"/>
      <c r="V13" s="408"/>
      <c r="W13" s="408"/>
      <c r="X13" s="503"/>
      <c r="Y13" s="408"/>
      <c r="Z13" s="408"/>
      <c r="AA13" s="504"/>
      <c r="AB13" s="506" t="str">
        <f t="shared" si="2"/>
        <v>-</v>
      </c>
      <c r="AC13" s="413"/>
      <c r="AD13" s="459"/>
      <c r="AE13" s="547"/>
      <c r="AF13" s="548"/>
      <c r="AG13" s="548"/>
      <c r="AH13" s="548"/>
      <c r="AI13" s="549"/>
      <c r="AJ13" s="548"/>
      <c r="AK13" s="548"/>
      <c r="AL13" s="550"/>
      <c r="AM13" s="626" t="str">
        <f t="shared" si="4"/>
        <v>-</v>
      </c>
      <c r="AN13" s="535"/>
      <c r="AO13" s="536"/>
      <c r="AT13" s="533"/>
      <c r="AU13" s="534"/>
      <c r="AV13" s="537" t="s">
        <v>57</v>
      </c>
      <c r="AW13" s="538"/>
      <c r="AX13" s="538"/>
      <c r="AY13" s="538"/>
      <c r="AZ13" s="539"/>
      <c r="BA13" s="243"/>
      <c r="BB13" s="408"/>
      <c r="BC13" s="408"/>
      <c r="BD13" s="408"/>
      <c r="BE13" s="503"/>
      <c r="BF13" s="408"/>
      <c r="BG13" s="408"/>
      <c r="BH13" s="504"/>
      <c r="BI13" s="410" t="str">
        <f t="shared" si="15"/>
        <v>-</v>
      </c>
      <c r="BJ13" s="410" t="str">
        <f t="shared" si="16"/>
        <v>-</v>
      </c>
      <c r="BK13" s="410" t="str">
        <f t="shared" si="16"/>
        <v>-</v>
      </c>
      <c r="BL13" s="242"/>
      <c r="BM13" s="408"/>
      <c r="BN13" s="408"/>
      <c r="BO13" s="408"/>
      <c r="BP13" s="503"/>
      <c r="BQ13" s="408"/>
      <c r="BR13" s="408"/>
      <c r="BS13" s="504"/>
      <c r="BT13" s="410" t="str">
        <f t="shared" si="17"/>
        <v>-</v>
      </c>
      <c r="BU13" s="410" t="str">
        <f t="shared" si="18"/>
        <v>-</v>
      </c>
      <c r="BV13" s="505" t="str">
        <f t="shared" si="18"/>
        <v>-</v>
      </c>
      <c r="BW13" s="450"/>
      <c r="BX13" s="426"/>
      <c r="BY13" s="426"/>
      <c r="BZ13" s="426"/>
      <c r="CA13" s="425"/>
      <c r="CB13" s="426"/>
      <c r="CC13" s="426"/>
      <c r="CD13" s="427"/>
      <c r="CE13" s="554" t="str">
        <f t="shared" si="19"/>
        <v>-</v>
      </c>
      <c r="CF13" s="554" t="str">
        <f t="shared" si="20"/>
        <v>-</v>
      </c>
      <c r="CG13" s="560" t="str">
        <f t="shared" si="20"/>
        <v>-</v>
      </c>
    </row>
    <row r="14" spans="1:125" ht="13.7" customHeight="1" thickBot="1">
      <c r="B14" s="620" t="s">
        <v>10</v>
      </c>
      <c r="C14" s="621"/>
      <c r="D14" s="621"/>
      <c r="E14" s="621"/>
      <c r="F14" s="621"/>
      <c r="G14" s="621"/>
      <c r="H14" s="622"/>
      <c r="I14" s="514"/>
      <c r="J14" s="512"/>
      <c r="K14" s="512"/>
      <c r="L14" s="512"/>
      <c r="M14" s="511"/>
      <c r="N14" s="512"/>
      <c r="O14" s="512"/>
      <c r="P14" s="513"/>
      <c r="Q14" s="263" t="str">
        <f t="shared" si="0"/>
        <v>-</v>
      </c>
      <c r="R14" s="263" t="str">
        <f t="shared" si="1"/>
        <v>-</v>
      </c>
      <c r="S14" s="263" t="str">
        <f t="shared" si="1"/>
        <v>-</v>
      </c>
      <c r="T14" s="514"/>
      <c r="U14" s="512"/>
      <c r="V14" s="512"/>
      <c r="W14" s="512"/>
      <c r="X14" s="511"/>
      <c r="Y14" s="512"/>
      <c r="Z14" s="512"/>
      <c r="AA14" s="513"/>
      <c r="AB14" s="263" t="str">
        <f t="shared" si="2"/>
        <v>-</v>
      </c>
      <c r="AC14" s="263" t="str">
        <f t="shared" si="3"/>
        <v>-</v>
      </c>
      <c r="AD14" s="264" t="str">
        <f t="shared" si="3"/>
        <v>-</v>
      </c>
      <c r="AE14" s="514"/>
      <c r="AF14" s="512"/>
      <c r="AG14" s="512"/>
      <c r="AH14" s="512"/>
      <c r="AI14" s="511"/>
      <c r="AJ14" s="512"/>
      <c r="AK14" s="512"/>
      <c r="AL14" s="513"/>
      <c r="AM14" s="263" t="str">
        <f t="shared" si="4"/>
        <v>-</v>
      </c>
      <c r="AN14" s="263" t="str">
        <f t="shared" si="5"/>
        <v>-</v>
      </c>
      <c r="AO14" s="264" t="str">
        <f t="shared" si="5"/>
        <v>-</v>
      </c>
      <c r="AT14" s="540" t="s">
        <v>97</v>
      </c>
      <c r="AU14" s="541"/>
      <c r="AV14" s="537" t="s">
        <v>58</v>
      </c>
      <c r="AW14" s="538"/>
      <c r="AX14" s="538"/>
      <c r="AY14" s="538"/>
      <c r="AZ14" s="539"/>
      <c r="BA14" s="409"/>
      <c r="BB14" s="410"/>
      <c r="BC14" s="410"/>
      <c r="BD14" s="410"/>
      <c r="BE14" s="411"/>
      <c r="BF14" s="410"/>
      <c r="BG14" s="410"/>
      <c r="BH14" s="412"/>
      <c r="BI14" s="228" t="str">
        <f t="shared" si="15"/>
        <v>-</v>
      </c>
      <c r="BJ14" s="228" t="str">
        <f t="shared" si="16"/>
        <v>-</v>
      </c>
      <c r="BK14" s="229" t="str">
        <f t="shared" si="16"/>
        <v>-</v>
      </c>
      <c r="BL14" s="409"/>
      <c r="BM14" s="410"/>
      <c r="BN14" s="410"/>
      <c r="BO14" s="410"/>
      <c r="BP14" s="411"/>
      <c r="BQ14" s="410"/>
      <c r="BR14" s="410"/>
      <c r="BS14" s="412"/>
      <c r="BT14" s="228" t="str">
        <f t="shared" si="17"/>
        <v>-</v>
      </c>
      <c r="BU14" s="228" t="str">
        <f t="shared" si="18"/>
        <v>-</v>
      </c>
      <c r="BV14" s="229" t="str">
        <f t="shared" si="18"/>
        <v>-</v>
      </c>
      <c r="BW14" s="553"/>
      <c r="BX14" s="554"/>
      <c r="BY14" s="554"/>
      <c r="BZ14" s="554"/>
      <c r="CA14" s="555"/>
      <c r="CB14" s="554"/>
      <c r="CC14" s="554"/>
      <c r="CD14" s="556"/>
      <c r="CE14" s="551" t="str">
        <f t="shared" si="19"/>
        <v>-</v>
      </c>
      <c r="CF14" s="551" t="str">
        <f t="shared" si="20"/>
        <v>-</v>
      </c>
      <c r="CG14" s="552" t="str">
        <f t="shared" si="20"/>
        <v>-</v>
      </c>
    </row>
    <row r="15" spans="1:125" ht="13.7" customHeight="1">
      <c r="AT15" s="542"/>
      <c r="AU15" s="543"/>
      <c r="AV15" s="537" t="s">
        <v>59</v>
      </c>
      <c r="AW15" s="538"/>
      <c r="AX15" s="538"/>
      <c r="AY15" s="538"/>
      <c r="AZ15" s="539"/>
      <c r="BA15" s="243"/>
      <c r="BB15" s="408"/>
      <c r="BC15" s="408"/>
      <c r="BD15" s="408"/>
      <c r="BE15" s="503"/>
      <c r="BF15" s="408"/>
      <c r="BG15" s="408"/>
      <c r="BH15" s="504"/>
      <c r="BI15" s="410" t="str">
        <f t="shared" si="15"/>
        <v>-</v>
      </c>
      <c r="BJ15" s="410" t="str">
        <f t="shared" si="16"/>
        <v>-</v>
      </c>
      <c r="BK15" s="410" t="str">
        <f t="shared" si="16"/>
        <v>-</v>
      </c>
      <c r="BL15" s="242"/>
      <c r="BM15" s="408"/>
      <c r="BN15" s="408"/>
      <c r="BO15" s="408"/>
      <c r="BP15" s="503"/>
      <c r="BQ15" s="408"/>
      <c r="BR15" s="408"/>
      <c r="BS15" s="504"/>
      <c r="BT15" s="410" t="str">
        <f t="shared" si="17"/>
        <v>-</v>
      </c>
      <c r="BU15" s="410" t="str">
        <f t="shared" si="18"/>
        <v>-</v>
      </c>
      <c r="BV15" s="505" t="str">
        <f t="shared" si="18"/>
        <v>-</v>
      </c>
      <c r="BW15" s="450"/>
      <c r="BX15" s="426"/>
      <c r="BY15" s="426"/>
      <c r="BZ15" s="426"/>
      <c r="CA15" s="425"/>
      <c r="CB15" s="426"/>
      <c r="CC15" s="426"/>
      <c r="CD15" s="427"/>
      <c r="CE15" s="554" t="str">
        <f t="shared" si="19"/>
        <v>-</v>
      </c>
      <c r="CF15" s="554" t="str">
        <f t="shared" si="20"/>
        <v>-</v>
      </c>
      <c r="CG15" s="560" t="str">
        <f t="shared" si="20"/>
        <v>-</v>
      </c>
    </row>
    <row r="16" spans="1:125" ht="13.7" customHeight="1">
      <c r="AF16" s="53"/>
      <c r="AG16" s="53"/>
      <c r="AH16" s="53"/>
      <c r="AT16" s="542"/>
      <c r="AU16" s="543"/>
      <c r="AV16" s="544" t="s">
        <v>57</v>
      </c>
      <c r="AW16" s="545"/>
      <c r="AX16" s="545"/>
      <c r="AY16" s="545"/>
      <c r="AZ16" s="546"/>
      <c r="BA16" s="243"/>
      <c r="BB16" s="408"/>
      <c r="BC16" s="408"/>
      <c r="BD16" s="408"/>
      <c r="BE16" s="407"/>
      <c r="BF16" s="243"/>
      <c r="BG16" s="243"/>
      <c r="BH16" s="244"/>
      <c r="BI16" s="413" t="str">
        <f t="shared" si="15"/>
        <v>-</v>
      </c>
      <c r="BJ16" s="413" t="str">
        <f t="shared" si="16"/>
        <v>-</v>
      </c>
      <c r="BK16" s="413" t="str">
        <f t="shared" si="16"/>
        <v>-</v>
      </c>
      <c r="BL16" s="242"/>
      <c r="BM16" s="408"/>
      <c r="BN16" s="408"/>
      <c r="BO16" s="408"/>
      <c r="BP16" s="407"/>
      <c r="BQ16" s="243"/>
      <c r="BR16" s="243"/>
      <c r="BS16" s="244"/>
      <c r="BT16" s="413" t="str">
        <f t="shared" si="17"/>
        <v>-</v>
      </c>
      <c r="BU16" s="413" t="str">
        <f t="shared" si="18"/>
        <v>-</v>
      </c>
      <c r="BV16" s="459" t="str">
        <f t="shared" si="18"/>
        <v>-</v>
      </c>
      <c r="BW16" s="450"/>
      <c r="BX16" s="426"/>
      <c r="BY16" s="426"/>
      <c r="BZ16" s="426"/>
      <c r="CA16" s="425"/>
      <c r="CB16" s="426"/>
      <c r="CC16" s="426"/>
      <c r="CD16" s="427"/>
      <c r="CE16" s="554" t="str">
        <f t="shared" si="19"/>
        <v>-</v>
      </c>
      <c r="CF16" s="554" t="str">
        <f t="shared" si="20"/>
        <v>-</v>
      </c>
      <c r="CG16" s="560" t="str">
        <f t="shared" si="20"/>
        <v>-</v>
      </c>
    </row>
    <row r="17" spans="2:85" ht="13.7" customHeight="1" thickBot="1">
      <c r="B17" s="63" t="s">
        <v>179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S17" s="61" t="s">
        <v>0</v>
      </c>
      <c r="AT17" s="580" t="s">
        <v>61</v>
      </c>
      <c r="AU17" s="581"/>
      <c r="AV17" s="581"/>
      <c r="AW17" s="581"/>
      <c r="AX17" s="581"/>
      <c r="AY17" s="581"/>
      <c r="AZ17" s="582"/>
      <c r="BA17" s="577"/>
      <c r="BB17" s="574"/>
      <c r="BC17" s="574"/>
      <c r="BD17" s="574"/>
      <c r="BE17" s="573"/>
      <c r="BF17" s="574"/>
      <c r="BG17" s="574"/>
      <c r="BH17" s="575"/>
      <c r="BI17" s="576" t="str">
        <f t="shared" ref="BI17" si="21">IF(BA17="-", "-", IF(BE17="-", "-", IF(ABS(BE17)=0, "-", ROUND(100*(BA17-BE17)/ABS(BE17), 1))))</f>
        <v>-</v>
      </c>
      <c r="BJ17" s="576" t="str">
        <f t="shared" ref="BJ17" si="22">IF(BF17="-", "-", IF(BH17="-", "-", IF(ABS(BH17)=0, "-", ROUND(100*(BF17-BH17)/ABS(BH17), 1))))</f>
        <v>-</v>
      </c>
      <c r="BK17" s="576" t="str">
        <f t="shared" ref="BK17" si="23">IF(BG17="-", "-", IF(BI17="-", "-", IF(ABS(BI17)=0, "-", ROUND(100*(BG17-BI17)/ABS(BI17), 1))))</f>
        <v>-</v>
      </c>
      <c r="BL17" s="577"/>
      <c r="BM17" s="574"/>
      <c r="BN17" s="574"/>
      <c r="BO17" s="574"/>
      <c r="BP17" s="573"/>
      <c r="BQ17" s="574"/>
      <c r="BR17" s="574"/>
      <c r="BS17" s="575"/>
      <c r="BT17" s="576" t="str">
        <f t="shared" ref="BT17" si="24">IF(BL17="-", "-", IF(BP17="-", "-", IF(ABS(BP17)=0, "-", ROUND(100*(BL17-BP17)/ABS(BP17), 1))))</f>
        <v>-</v>
      </c>
      <c r="BU17" s="576" t="str">
        <f t="shared" ref="BU17" si="25">IF(BQ17="-", "-", IF(BS17="-", "-", IF(ABS(BS17)=0, "-", ROUND(100*(BQ17-BS17)/ABS(BS17), 1))))</f>
        <v>-</v>
      </c>
      <c r="BV17" s="578" t="str">
        <f t="shared" ref="BV17" si="26">IF(BR17="-", "-", IF(BT17="-", "-", IF(ABS(BT17)=0, "-", ROUND(100*(BR17-BT17)/ABS(BT17), 1))))</f>
        <v>-</v>
      </c>
      <c r="BW17" s="579"/>
      <c r="BX17" s="429"/>
      <c r="BY17" s="429"/>
      <c r="BZ17" s="429"/>
      <c r="CA17" s="428"/>
      <c r="CB17" s="429"/>
      <c r="CC17" s="429"/>
      <c r="CD17" s="430"/>
      <c r="CE17" s="561" t="str">
        <f t="shared" si="19"/>
        <v>-</v>
      </c>
      <c r="CF17" s="561" t="str">
        <f t="shared" si="20"/>
        <v>-</v>
      </c>
      <c r="CG17" s="562" t="str">
        <f t="shared" si="20"/>
        <v>-</v>
      </c>
    </row>
    <row r="18" spans="2:85" ht="13.7" customHeight="1" thickBot="1">
      <c r="B18" s="340"/>
      <c r="C18" s="507"/>
      <c r="D18" s="507"/>
      <c r="E18" s="507"/>
      <c r="F18" s="507"/>
      <c r="G18" s="507"/>
      <c r="H18" s="508"/>
      <c r="I18" s="446" t="str">
        <f>IF($B$1&lt;&gt;"",$B$1,"")</f>
        <v/>
      </c>
      <c r="J18" s="447"/>
      <c r="K18" s="447"/>
      <c r="L18" s="447"/>
      <c r="M18" s="449" t="str">
        <f>IF($B$1&lt;&gt;"",$B$1-1,"")</f>
        <v/>
      </c>
      <c r="N18" s="447"/>
      <c r="O18" s="447"/>
      <c r="P18" s="448"/>
      <c r="Q18" s="352" t="s">
        <v>153</v>
      </c>
      <c r="R18" s="353"/>
      <c r="S18" s="354"/>
      <c r="AL18" s="73"/>
      <c r="AM18" s="73"/>
      <c r="AN18" s="73"/>
      <c r="AO18" s="43"/>
      <c r="AP18" s="53"/>
      <c r="AT18" s="76"/>
      <c r="AU18" s="76"/>
      <c r="AV18" s="76"/>
      <c r="AW18" s="76"/>
      <c r="AX18" s="76"/>
      <c r="AY18" s="76"/>
      <c r="AZ18" s="76"/>
      <c r="BA18" s="79"/>
      <c r="BB18" s="79"/>
      <c r="BC18" s="79"/>
      <c r="BD18" s="79"/>
      <c r="BE18" s="79"/>
      <c r="BF18" s="79"/>
      <c r="BG18" s="79"/>
      <c r="BH18" s="79"/>
      <c r="BI18" s="70"/>
      <c r="BJ18" s="70"/>
      <c r="BK18" s="70"/>
      <c r="BL18" s="79"/>
      <c r="BM18" s="79"/>
      <c r="BN18" s="79"/>
      <c r="BO18" s="79"/>
      <c r="BP18" s="79"/>
      <c r="BQ18" s="79"/>
      <c r="BR18" s="79"/>
      <c r="BS18" s="79"/>
      <c r="BT18" s="70"/>
      <c r="BU18" s="70"/>
      <c r="BV18" s="70"/>
      <c r="BW18" s="79"/>
      <c r="BX18" s="79"/>
      <c r="BY18" s="79"/>
      <c r="BZ18" s="79"/>
      <c r="CA18" s="79"/>
      <c r="CB18" s="79"/>
      <c r="CC18" s="79"/>
      <c r="CD18" s="79"/>
      <c r="CE18" s="70"/>
      <c r="CF18" s="70"/>
      <c r="CG18" s="70"/>
    </row>
    <row r="19" spans="2:85" ht="13.7" customHeight="1">
      <c r="B19" s="583" t="s">
        <v>49</v>
      </c>
      <c r="C19" s="584"/>
      <c r="D19" s="584"/>
      <c r="E19" s="584"/>
      <c r="F19" s="584"/>
      <c r="G19" s="585"/>
      <c r="H19" s="586"/>
      <c r="I19" s="409"/>
      <c r="J19" s="410"/>
      <c r="K19" s="410"/>
      <c r="L19" s="410"/>
      <c r="M19" s="411"/>
      <c r="N19" s="410"/>
      <c r="O19" s="410"/>
      <c r="P19" s="412"/>
      <c r="Q19" s="228" t="str">
        <f t="shared" ref="Q19:Q21" si="27">IF(I19="-", "-", IF(M19="-", "-", IF(ABS(M19)=0, "-", ROUND(100*(I19-M19)/ABS(M19), 1))))</f>
        <v>-</v>
      </c>
      <c r="R19" s="228" t="str">
        <f t="shared" ref="R19:R21" si="28">IF(N19="-", "-", IF(P19="-", "-", IF(ABS(P19)=0, "-", ROUND(100*(N19-P19)/ABS(P19), 1))))</f>
        <v>-</v>
      </c>
      <c r="S19" s="229" t="str">
        <f t="shared" ref="S19:S21" si="29">IF(O19="-", "-", IF(Q19="-", "-", IF(ABS(Q19)=0, "-", ROUND(100*(O19-Q19)/ABS(Q19), 1))))</f>
        <v>-</v>
      </c>
      <c r="AL19" s="56"/>
      <c r="AM19" s="55"/>
      <c r="AN19" s="55"/>
      <c r="AO19" s="55"/>
      <c r="AP19" s="53"/>
      <c r="BC19" s="77"/>
      <c r="BD19" s="77"/>
    </row>
    <row r="20" spans="2:85" ht="13.7" customHeight="1" thickBot="1">
      <c r="B20" s="587" t="s">
        <v>50</v>
      </c>
      <c r="C20" s="588"/>
      <c r="D20" s="588"/>
      <c r="E20" s="588"/>
      <c r="F20" s="588"/>
      <c r="G20" s="589"/>
      <c r="H20" s="590"/>
      <c r="I20" s="409"/>
      <c r="J20" s="410"/>
      <c r="K20" s="410"/>
      <c r="L20" s="410"/>
      <c r="M20" s="411"/>
      <c r="N20" s="410"/>
      <c r="O20" s="410"/>
      <c r="P20" s="412"/>
      <c r="Q20" s="228" t="str">
        <f t="shared" si="27"/>
        <v>-</v>
      </c>
      <c r="R20" s="228" t="str">
        <f t="shared" si="28"/>
        <v>-</v>
      </c>
      <c r="S20" s="229" t="str">
        <f t="shared" si="29"/>
        <v>-</v>
      </c>
      <c r="AL20" s="129"/>
      <c r="AM20" s="130"/>
      <c r="AN20" s="130"/>
      <c r="AO20" s="130"/>
      <c r="AP20" s="53"/>
      <c r="AR20" s="80"/>
      <c r="AS20" s="80"/>
      <c r="AT20" s="39" t="s">
        <v>238</v>
      </c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9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26" t="s">
        <v>146</v>
      </c>
    </row>
    <row r="21" spans="2:85" ht="13.7" customHeight="1" thickBot="1">
      <c r="B21" s="501" t="s">
        <v>10</v>
      </c>
      <c r="C21" s="357"/>
      <c r="D21" s="357"/>
      <c r="E21" s="357"/>
      <c r="F21" s="357"/>
      <c r="G21" s="357"/>
      <c r="H21" s="358"/>
      <c r="I21" s="595"/>
      <c r="J21" s="561"/>
      <c r="K21" s="561"/>
      <c r="L21" s="561"/>
      <c r="M21" s="591"/>
      <c r="N21" s="561"/>
      <c r="O21" s="561"/>
      <c r="P21" s="592"/>
      <c r="Q21" s="593" t="str">
        <f t="shared" si="27"/>
        <v>-</v>
      </c>
      <c r="R21" s="593" t="str">
        <f t="shared" si="28"/>
        <v>-</v>
      </c>
      <c r="S21" s="594" t="str">
        <f t="shared" si="29"/>
        <v>-</v>
      </c>
      <c r="AL21" s="129"/>
      <c r="AM21" s="130"/>
      <c r="AN21" s="130"/>
      <c r="AO21" s="130"/>
      <c r="AP21" s="53"/>
      <c r="AR21" s="80"/>
      <c r="AS21" s="80"/>
      <c r="AT21" s="340"/>
      <c r="AU21" s="341"/>
      <c r="AV21" s="341"/>
      <c r="AW21" s="341"/>
      <c r="AX21" s="341"/>
      <c r="AY21" s="341"/>
      <c r="AZ21" s="342"/>
      <c r="BA21" s="446" t="str">
        <f>IF($B$1&lt;&gt;"",$B$1,"")</f>
        <v/>
      </c>
      <c r="BB21" s="447"/>
      <c r="BC21" s="447"/>
      <c r="BD21" s="447"/>
      <c r="BE21" s="449" t="str">
        <f>IF($B$1&lt;&gt;"",$B$1-1,"")</f>
        <v/>
      </c>
      <c r="BF21" s="447"/>
      <c r="BG21" s="447"/>
      <c r="BH21" s="448"/>
      <c r="BI21" s="352" t="s">
        <v>153</v>
      </c>
      <c r="BJ21" s="353"/>
      <c r="BK21" s="354"/>
      <c r="BL21" s="563"/>
      <c r="BM21" s="564"/>
      <c r="BN21" s="564"/>
      <c r="BO21" s="564"/>
      <c r="BP21" s="564"/>
      <c r="BQ21" s="564"/>
      <c r="BR21" s="565"/>
      <c r="BS21" s="566" t="str">
        <f>IF($B$1&lt;&gt;"",$B$1,"")</f>
        <v/>
      </c>
      <c r="BT21" s="567"/>
      <c r="BU21" s="567"/>
      <c r="BV21" s="568"/>
      <c r="BW21" s="569" t="str">
        <f>IF($B$1&lt;&gt;"",$B$1-1,"")</f>
        <v/>
      </c>
      <c r="BX21" s="567"/>
      <c r="BY21" s="567"/>
      <c r="BZ21" s="568"/>
      <c r="CA21" s="570" t="s">
        <v>153</v>
      </c>
      <c r="CB21" s="571"/>
      <c r="CC21" s="572"/>
    </row>
    <row r="22" spans="2:85" ht="13.7" customHeight="1">
      <c r="X22" s="53"/>
      <c r="Y22" s="53"/>
      <c r="Z22" s="53"/>
      <c r="AA22" s="53"/>
      <c r="AB22" s="53"/>
      <c r="AC22" s="53"/>
      <c r="AD22" s="53"/>
      <c r="AE22" s="129"/>
      <c r="AF22" s="129"/>
      <c r="AG22" s="129"/>
      <c r="AH22" s="129"/>
      <c r="AI22" s="129"/>
      <c r="AJ22" s="129"/>
      <c r="AK22" s="129"/>
      <c r="AL22" s="129"/>
      <c r="AM22" s="130"/>
      <c r="AN22" s="130"/>
      <c r="AO22" s="130"/>
      <c r="AP22" s="53"/>
      <c r="AR22" s="80"/>
      <c r="AS22" s="80"/>
      <c r="AT22" s="401" t="s">
        <v>10</v>
      </c>
      <c r="AU22" s="402"/>
      <c r="AV22" s="402"/>
      <c r="AW22" s="402"/>
      <c r="AX22" s="402"/>
      <c r="AY22" s="402"/>
      <c r="AZ22" s="403"/>
      <c r="BA22" s="553"/>
      <c r="BB22" s="554"/>
      <c r="BC22" s="554"/>
      <c r="BD22" s="554"/>
      <c r="BE22" s="555"/>
      <c r="BF22" s="554"/>
      <c r="BG22" s="554"/>
      <c r="BH22" s="556"/>
      <c r="BI22" s="551" t="str">
        <f t="shared" ref="BI22:BI32" si="30">IF(BA22="-", "-", IF(BE22="-", "-", IF(ABS(BE22)=0, "-", ROUND(100*(BA22-BE22)/ABS(BE22), 1))))</f>
        <v>-</v>
      </c>
      <c r="BJ22" s="551" t="str">
        <f t="shared" ref="BJ22:BJ32" si="31">IF(BF22="-", "-", IF(BH22="-", "-", IF(ABS(BH22)=0, "-", ROUND(100*(BF22-BH22)/ABS(BH22), 1))))</f>
        <v>-</v>
      </c>
      <c r="BK22" s="552" t="str">
        <f t="shared" ref="BK22:BK32" si="32">IF(BG22="-", "-", IF(BI22="-", "-", IF(ABS(BI22)=0, "-", ROUND(100*(BG22-BI22)/ABS(BI22), 1))))</f>
        <v>-</v>
      </c>
      <c r="BL22" s="454"/>
      <c r="BM22" s="455"/>
      <c r="BN22" s="455"/>
      <c r="BO22" s="455"/>
      <c r="BP22" s="455"/>
      <c r="BQ22" s="455"/>
      <c r="BR22" s="456"/>
      <c r="BS22" s="457"/>
      <c r="BT22" s="432"/>
      <c r="BU22" s="432"/>
      <c r="BV22" s="458"/>
      <c r="BW22" s="431"/>
      <c r="BX22" s="432"/>
      <c r="BY22" s="432"/>
      <c r="BZ22" s="458"/>
      <c r="CA22" s="431"/>
      <c r="CB22" s="432"/>
      <c r="CC22" s="433"/>
    </row>
    <row r="23" spans="2:85" ht="13.7" customHeight="1">
      <c r="AR23" s="80"/>
      <c r="AS23" s="80"/>
      <c r="AT23" s="596" t="s">
        <v>154</v>
      </c>
      <c r="AU23" s="597"/>
      <c r="AV23" s="597"/>
      <c r="AW23" s="597"/>
      <c r="AX23" s="597"/>
      <c r="AY23" s="597"/>
      <c r="AZ23" s="598"/>
      <c r="BA23" s="409"/>
      <c r="BB23" s="410"/>
      <c r="BC23" s="410"/>
      <c r="BD23" s="410"/>
      <c r="BE23" s="411"/>
      <c r="BF23" s="410"/>
      <c r="BG23" s="410"/>
      <c r="BH23" s="412"/>
      <c r="BI23" s="228" t="str">
        <f t="shared" si="30"/>
        <v>-</v>
      </c>
      <c r="BJ23" s="228" t="str">
        <f t="shared" si="31"/>
        <v>-</v>
      </c>
      <c r="BK23" s="229" t="str">
        <f t="shared" si="32"/>
        <v>-</v>
      </c>
      <c r="BL23" s="451" t="s">
        <v>218</v>
      </c>
      <c r="BM23" s="452"/>
      <c r="BN23" s="452"/>
      <c r="BO23" s="452"/>
      <c r="BP23" s="452"/>
      <c r="BQ23" s="452"/>
      <c r="BR23" s="453"/>
      <c r="BS23" s="409"/>
      <c r="BT23" s="410"/>
      <c r="BU23" s="410"/>
      <c r="BV23" s="410"/>
      <c r="BW23" s="411"/>
      <c r="BX23" s="410"/>
      <c r="BY23" s="410"/>
      <c r="BZ23" s="412"/>
      <c r="CA23" s="228" t="str">
        <f t="shared" ref="CA23:CA32" si="33">IF(BS23="-", "-", IF(BW23="-", "-", IF(ABS(BW23)=0, "-", ROUND(100*(BS23-BW23)/ABS(BW23), 1))))</f>
        <v>-</v>
      </c>
      <c r="CB23" s="228" t="str">
        <f t="shared" ref="CB23:CB32" si="34">IF(BX23="-", "-", IF(BZ23="-", "-", IF(ABS(BZ23)=0, "-", ROUND(100*(BX23-BZ23)/ABS(BZ23), 1))))</f>
        <v>-</v>
      </c>
      <c r="CC23" s="229" t="str">
        <f t="shared" ref="CC23:CC32" si="35">IF(BY23="-", "-", IF(CA23="-", "-", IF(ABS(CA23)=0, "-", ROUND(100*(BY23-CA23)/ABS(CA23), 1))))</f>
        <v>-</v>
      </c>
    </row>
    <row r="24" spans="2:85" ht="13.7" customHeight="1" thickBot="1">
      <c r="B24" s="35" t="s">
        <v>211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5" t="s">
        <v>212</v>
      </c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R24" s="80"/>
      <c r="AS24" s="80"/>
      <c r="AT24" s="596" t="s">
        <v>155</v>
      </c>
      <c r="AU24" s="597"/>
      <c r="AV24" s="597"/>
      <c r="AW24" s="597"/>
      <c r="AX24" s="597"/>
      <c r="AY24" s="597"/>
      <c r="AZ24" s="598"/>
      <c r="BA24" s="409"/>
      <c r="BB24" s="410"/>
      <c r="BC24" s="410"/>
      <c r="BD24" s="410"/>
      <c r="BE24" s="411"/>
      <c r="BF24" s="410"/>
      <c r="BG24" s="410"/>
      <c r="BH24" s="412"/>
      <c r="BI24" s="228" t="str">
        <f t="shared" si="30"/>
        <v>-</v>
      </c>
      <c r="BJ24" s="228" t="str">
        <f t="shared" si="31"/>
        <v>-</v>
      </c>
      <c r="BK24" s="229" t="str">
        <f t="shared" si="32"/>
        <v>-</v>
      </c>
      <c r="BL24" s="599" t="s">
        <v>219</v>
      </c>
      <c r="BM24" s="600"/>
      <c r="BN24" s="600"/>
      <c r="BO24" s="600"/>
      <c r="BP24" s="600"/>
      <c r="BQ24" s="600"/>
      <c r="BR24" s="601"/>
      <c r="BS24" s="409"/>
      <c r="BT24" s="410"/>
      <c r="BU24" s="410"/>
      <c r="BV24" s="410"/>
      <c r="BW24" s="411"/>
      <c r="BX24" s="410"/>
      <c r="BY24" s="410"/>
      <c r="BZ24" s="412"/>
      <c r="CA24" s="228" t="str">
        <f t="shared" si="33"/>
        <v>-</v>
      </c>
      <c r="CB24" s="228" t="str">
        <f t="shared" si="34"/>
        <v>-</v>
      </c>
      <c r="CC24" s="229" t="str">
        <f t="shared" si="35"/>
        <v>-</v>
      </c>
    </row>
    <row r="25" spans="2:85" ht="13.7" customHeight="1">
      <c r="B25" s="494"/>
      <c r="C25" s="495"/>
      <c r="D25" s="495"/>
      <c r="E25" s="495"/>
      <c r="F25" s="495"/>
      <c r="G25" s="495"/>
      <c r="H25" s="495"/>
      <c r="I25" s="496"/>
      <c r="J25" s="500" t="s">
        <v>76</v>
      </c>
      <c r="K25" s="195"/>
      <c r="L25" s="195"/>
      <c r="M25" s="195"/>
      <c r="N25" s="195"/>
      <c r="O25" s="195"/>
      <c r="P25" s="195"/>
      <c r="Q25" s="195"/>
      <c r="R25" s="195"/>
      <c r="S25" s="195"/>
      <c r="T25" s="196"/>
      <c r="U25" s="47"/>
      <c r="V25" s="47"/>
      <c r="W25" s="47"/>
      <c r="X25" s="494"/>
      <c r="Y25" s="495"/>
      <c r="Z25" s="495"/>
      <c r="AA25" s="495"/>
      <c r="AB25" s="495"/>
      <c r="AC25" s="495"/>
      <c r="AD25" s="495"/>
      <c r="AE25" s="496"/>
      <c r="AF25" s="500" t="s">
        <v>76</v>
      </c>
      <c r="AG25" s="195"/>
      <c r="AH25" s="195"/>
      <c r="AI25" s="195"/>
      <c r="AJ25" s="195"/>
      <c r="AK25" s="195"/>
      <c r="AL25" s="195"/>
      <c r="AM25" s="195"/>
      <c r="AN25" s="195"/>
      <c r="AO25" s="195"/>
      <c r="AP25" s="196"/>
      <c r="AR25" s="80"/>
      <c r="AS25" s="80"/>
      <c r="AT25" s="596" t="s">
        <v>156</v>
      </c>
      <c r="AU25" s="597"/>
      <c r="AV25" s="597"/>
      <c r="AW25" s="597"/>
      <c r="AX25" s="597"/>
      <c r="AY25" s="597"/>
      <c r="AZ25" s="598"/>
      <c r="BA25" s="409"/>
      <c r="BB25" s="410"/>
      <c r="BC25" s="410"/>
      <c r="BD25" s="410"/>
      <c r="BE25" s="411"/>
      <c r="BF25" s="410"/>
      <c r="BG25" s="410"/>
      <c r="BH25" s="412"/>
      <c r="BI25" s="228" t="str">
        <f t="shared" si="30"/>
        <v>-</v>
      </c>
      <c r="BJ25" s="228" t="str">
        <f t="shared" si="31"/>
        <v>-</v>
      </c>
      <c r="BK25" s="229" t="str">
        <f t="shared" si="32"/>
        <v>-</v>
      </c>
      <c r="BL25" s="599" t="s">
        <v>220</v>
      </c>
      <c r="BM25" s="600"/>
      <c r="BN25" s="600"/>
      <c r="BO25" s="600"/>
      <c r="BP25" s="600"/>
      <c r="BQ25" s="600"/>
      <c r="BR25" s="601"/>
      <c r="BS25" s="409"/>
      <c r="BT25" s="410"/>
      <c r="BU25" s="410"/>
      <c r="BV25" s="410"/>
      <c r="BW25" s="411"/>
      <c r="BX25" s="410"/>
      <c r="BY25" s="410"/>
      <c r="BZ25" s="412"/>
      <c r="CA25" s="228" t="str">
        <f t="shared" si="33"/>
        <v>-</v>
      </c>
      <c r="CB25" s="228" t="str">
        <f t="shared" si="34"/>
        <v>-</v>
      </c>
      <c r="CC25" s="229" t="str">
        <f t="shared" si="35"/>
        <v>-</v>
      </c>
    </row>
    <row r="26" spans="2:85" ht="13.7" customHeight="1" thickBot="1">
      <c r="B26" s="497"/>
      <c r="C26" s="498"/>
      <c r="D26" s="498"/>
      <c r="E26" s="498"/>
      <c r="F26" s="498"/>
      <c r="G26" s="498"/>
      <c r="H26" s="498"/>
      <c r="I26" s="499"/>
      <c r="J26" s="198" t="str">
        <f>IF($B$1&lt;&gt;"",$B$1,"")</f>
        <v/>
      </c>
      <c r="K26" s="199"/>
      <c r="L26" s="199"/>
      <c r="M26" s="201"/>
      <c r="N26" s="200" t="str">
        <f>IF($B$1&lt;&gt;"",$B$1-1,"")</f>
        <v/>
      </c>
      <c r="O26" s="199"/>
      <c r="P26" s="199"/>
      <c r="Q26" s="201"/>
      <c r="R26" s="623" t="s">
        <v>203</v>
      </c>
      <c r="S26" s="624"/>
      <c r="T26" s="625"/>
      <c r="U26" s="59"/>
      <c r="V26" s="59"/>
      <c r="W26" s="59"/>
      <c r="X26" s="497"/>
      <c r="Y26" s="498"/>
      <c r="Z26" s="498"/>
      <c r="AA26" s="498"/>
      <c r="AB26" s="498"/>
      <c r="AC26" s="498"/>
      <c r="AD26" s="498"/>
      <c r="AE26" s="499"/>
      <c r="AF26" s="198" t="str">
        <f>IF($B$1&lt;&gt;"",$B$1,"")</f>
        <v/>
      </c>
      <c r="AG26" s="199"/>
      <c r="AH26" s="199"/>
      <c r="AI26" s="201"/>
      <c r="AJ26" s="200" t="str">
        <f>IF($B$1&lt;&gt;"",$B$1-1,"")</f>
        <v/>
      </c>
      <c r="AK26" s="199"/>
      <c r="AL26" s="199"/>
      <c r="AM26" s="201"/>
      <c r="AN26" s="623" t="s">
        <v>203</v>
      </c>
      <c r="AO26" s="624"/>
      <c r="AP26" s="625"/>
      <c r="AR26" s="80"/>
      <c r="AT26" s="596" t="s">
        <v>157</v>
      </c>
      <c r="AU26" s="597"/>
      <c r="AV26" s="597"/>
      <c r="AW26" s="597"/>
      <c r="AX26" s="597"/>
      <c r="AY26" s="597"/>
      <c r="AZ26" s="598"/>
      <c r="BA26" s="409"/>
      <c r="BB26" s="410"/>
      <c r="BC26" s="410"/>
      <c r="BD26" s="410"/>
      <c r="BE26" s="411"/>
      <c r="BF26" s="410"/>
      <c r="BG26" s="410"/>
      <c r="BH26" s="412"/>
      <c r="BI26" s="228" t="str">
        <f t="shared" si="30"/>
        <v>-</v>
      </c>
      <c r="BJ26" s="228" t="str">
        <f t="shared" si="31"/>
        <v>-</v>
      </c>
      <c r="BK26" s="229" t="str">
        <f t="shared" si="32"/>
        <v>-</v>
      </c>
      <c r="BL26" s="599" t="s">
        <v>221</v>
      </c>
      <c r="BM26" s="600"/>
      <c r="BN26" s="600"/>
      <c r="BO26" s="600"/>
      <c r="BP26" s="600"/>
      <c r="BQ26" s="600"/>
      <c r="BR26" s="601"/>
      <c r="BS26" s="409"/>
      <c r="BT26" s="410"/>
      <c r="BU26" s="410"/>
      <c r="BV26" s="410"/>
      <c r="BW26" s="411"/>
      <c r="BX26" s="410"/>
      <c r="BY26" s="410"/>
      <c r="BZ26" s="412"/>
      <c r="CA26" s="228" t="str">
        <f t="shared" si="33"/>
        <v>-</v>
      </c>
      <c r="CB26" s="228" t="str">
        <f t="shared" si="34"/>
        <v>-</v>
      </c>
      <c r="CC26" s="229" t="str">
        <f t="shared" si="35"/>
        <v>-</v>
      </c>
    </row>
    <row r="27" spans="2:85" ht="13.7" customHeight="1">
      <c r="B27" s="276" t="s">
        <v>178</v>
      </c>
      <c r="C27" s="277"/>
      <c r="D27" s="277"/>
      <c r="E27" s="277"/>
      <c r="F27" s="277"/>
      <c r="G27" s="277"/>
      <c r="H27" s="612"/>
      <c r="I27" s="64" t="s">
        <v>204</v>
      </c>
      <c r="J27" s="409"/>
      <c r="K27" s="410"/>
      <c r="L27" s="410"/>
      <c r="M27" s="410"/>
      <c r="N27" s="411"/>
      <c r="O27" s="410"/>
      <c r="P27" s="410"/>
      <c r="Q27" s="412"/>
      <c r="R27" s="228" t="str">
        <f t="shared" ref="R27:R31" si="36">IF(J27="-", "-", IF(N27="-", "-", IF(ABS(N27)=0, "-", ROUND(100*(J27-N27)/ABS(N27), 1))))</f>
        <v>-</v>
      </c>
      <c r="S27" s="228" t="str">
        <f t="shared" ref="S27:T31" si="37">IF(O27="-", "-", IF(Q27="-", "-", IF(ABS(Q27)=0, "-", ROUND(100*(O27-Q27)/ABS(Q27), 1))))</f>
        <v>-</v>
      </c>
      <c r="T27" s="229" t="str">
        <f t="shared" si="37"/>
        <v>-</v>
      </c>
      <c r="U27" s="59"/>
      <c r="V27" s="59"/>
      <c r="W27" s="59"/>
      <c r="X27" s="276" t="s">
        <v>79</v>
      </c>
      <c r="Y27" s="277"/>
      <c r="Z27" s="277"/>
      <c r="AA27" s="277"/>
      <c r="AB27" s="277"/>
      <c r="AC27" s="277"/>
      <c r="AD27" s="612"/>
      <c r="AE27" s="64" t="s">
        <v>204</v>
      </c>
      <c r="AF27" s="409"/>
      <c r="AG27" s="410"/>
      <c r="AH27" s="410"/>
      <c r="AI27" s="410"/>
      <c r="AJ27" s="411"/>
      <c r="AK27" s="410"/>
      <c r="AL27" s="410"/>
      <c r="AM27" s="412"/>
      <c r="AN27" s="228" t="str">
        <f t="shared" ref="AN27:AN30" si="38">IF(AF27="-", "-", IF(AJ27="-", "-", IF(ABS(AJ27)=0, "-", ROUND(100*(AF27-AJ27)/ABS(AJ27), 1))))</f>
        <v>-</v>
      </c>
      <c r="AO27" s="228" t="str">
        <f t="shared" ref="AO27:AP30" si="39">IF(AK27="-", "-", IF(AM27="-", "-", IF(ABS(AM27)=0, "-", ROUND(100*(AK27-AM27)/ABS(AM27), 1))))</f>
        <v>-</v>
      </c>
      <c r="AP27" s="229" t="str">
        <f t="shared" si="39"/>
        <v>-</v>
      </c>
      <c r="AS27" s="80"/>
      <c r="AT27" s="596" t="s">
        <v>158</v>
      </c>
      <c r="AU27" s="597"/>
      <c r="AV27" s="597"/>
      <c r="AW27" s="597"/>
      <c r="AX27" s="597"/>
      <c r="AY27" s="597"/>
      <c r="AZ27" s="598"/>
      <c r="BA27" s="409"/>
      <c r="BB27" s="410"/>
      <c r="BC27" s="410"/>
      <c r="BD27" s="410"/>
      <c r="BE27" s="411"/>
      <c r="BF27" s="410"/>
      <c r="BG27" s="410"/>
      <c r="BH27" s="412"/>
      <c r="BI27" s="228" t="str">
        <f t="shared" si="30"/>
        <v>-</v>
      </c>
      <c r="BJ27" s="228" t="str">
        <f t="shared" si="31"/>
        <v>-</v>
      </c>
      <c r="BK27" s="229" t="str">
        <f t="shared" si="32"/>
        <v>-</v>
      </c>
      <c r="BL27" s="599" t="s">
        <v>222</v>
      </c>
      <c r="BM27" s="600"/>
      <c r="BN27" s="600"/>
      <c r="BO27" s="600"/>
      <c r="BP27" s="600"/>
      <c r="BQ27" s="600"/>
      <c r="BR27" s="601"/>
      <c r="BS27" s="409"/>
      <c r="BT27" s="410"/>
      <c r="BU27" s="410"/>
      <c r="BV27" s="410"/>
      <c r="BW27" s="411"/>
      <c r="BX27" s="410"/>
      <c r="BY27" s="410"/>
      <c r="BZ27" s="412"/>
      <c r="CA27" s="228" t="str">
        <f t="shared" si="33"/>
        <v>-</v>
      </c>
      <c r="CB27" s="228" t="str">
        <f t="shared" si="34"/>
        <v>-</v>
      </c>
      <c r="CC27" s="229" t="str">
        <f t="shared" si="35"/>
        <v>-</v>
      </c>
    </row>
    <row r="28" spans="2:85" ht="13.7" customHeight="1">
      <c r="B28" s="613" t="s">
        <v>79</v>
      </c>
      <c r="C28" s="343"/>
      <c r="D28" s="343"/>
      <c r="E28" s="343"/>
      <c r="F28" s="343"/>
      <c r="G28" s="343"/>
      <c r="H28" s="614"/>
      <c r="I28" s="65" t="s">
        <v>204</v>
      </c>
      <c r="J28" s="409"/>
      <c r="K28" s="410"/>
      <c r="L28" s="410"/>
      <c r="M28" s="410"/>
      <c r="N28" s="411"/>
      <c r="O28" s="410"/>
      <c r="P28" s="410"/>
      <c r="Q28" s="412"/>
      <c r="R28" s="228" t="str">
        <f t="shared" si="36"/>
        <v>-</v>
      </c>
      <c r="S28" s="228" t="str">
        <f t="shared" si="37"/>
        <v>-</v>
      </c>
      <c r="T28" s="229" t="str">
        <f t="shared" si="37"/>
        <v>-</v>
      </c>
      <c r="U28" s="56"/>
      <c r="V28" s="56"/>
      <c r="W28" s="56"/>
      <c r="X28" s="613" t="s">
        <v>119</v>
      </c>
      <c r="Y28" s="343"/>
      <c r="Z28" s="343"/>
      <c r="AA28" s="343"/>
      <c r="AB28" s="343"/>
      <c r="AC28" s="343"/>
      <c r="AD28" s="614"/>
      <c r="AE28" s="65" t="s">
        <v>204</v>
      </c>
      <c r="AF28" s="409"/>
      <c r="AG28" s="410"/>
      <c r="AH28" s="410"/>
      <c r="AI28" s="410"/>
      <c r="AJ28" s="411"/>
      <c r="AK28" s="410"/>
      <c r="AL28" s="410"/>
      <c r="AM28" s="412"/>
      <c r="AN28" s="228" t="str">
        <f t="shared" si="38"/>
        <v>-</v>
      </c>
      <c r="AO28" s="228" t="str">
        <f t="shared" si="39"/>
        <v>-</v>
      </c>
      <c r="AP28" s="229" t="str">
        <f t="shared" si="39"/>
        <v>-</v>
      </c>
      <c r="AR28" s="80"/>
      <c r="AS28" s="80"/>
      <c r="AT28" s="596" t="s">
        <v>159</v>
      </c>
      <c r="AU28" s="597"/>
      <c r="AV28" s="597"/>
      <c r="AW28" s="597"/>
      <c r="AX28" s="597"/>
      <c r="AY28" s="597"/>
      <c r="AZ28" s="598"/>
      <c r="BA28" s="409"/>
      <c r="BB28" s="410"/>
      <c r="BC28" s="410"/>
      <c r="BD28" s="410"/>
      <c r="BE28" s="411"/>
      <c r="BF28" s="410"/>
      <c r="BG28" s="410"/>
      <c r="BH28" s="412"/>
      <c r="BI28" s="228" t="str">
        <f t="shared" si="30"/>
        <v>-</v>
      </c>
      <c r="BJ28" s="228" t="str">
        <f t="shared" si="31"/>
        <v>-</v>
      </c>
      <c r="BK28" s="229" t="str">
        <f t="shared" si="32"/>
        <v>-</v>
      </c>
      <c r="BL28" s="599" t="s">
        <v>223</v>
      </c>
      <c r="BM28" s="600"/>
      <c r="BN28" s="600"/>
      <c r="BO28" s="600"/>
      <c r="BP28" s="600"/>
      <c r="BQ28" s="600"/>
      <c r="BR28" s="601"/>
      <c r="BS28" s="409"/>
      <c r="BT28" s="410"/>
      <c r="BU28" s="410"/>
      <c r="BV28" s="410"/>
      <c r="BW28" s="411"/>
      <c r="BX28" s="410"/>
      <c r="BY28" s="410"/>
      <c r="BZ28" s="412"/>
      <c r="CA28" s="228" t="str">
        <f t="shared" si="33"/>
        <v>-</v>
      </c>
      <c r="CB28" s="228" t="str">
        <f t="shared" si="34"/>
        <v>-</v>
      </c>
      <c r="CC28" s="229" t="str">
        <f t="shared" si="35"/>
        <v>-</v>
      </c>
    </row>
    <row r="29" spans="2:85" ht="13.7" customHeight="1">
      <c r="B29" s="613" t="s">
        <v>119</v>
      </c>
      <c r="C29" s="343"/>
      <c r="D29" s="343"/>
      <c r="E29" s="343"/>
      <c r="F29" s="343"/>
      <c r="G29" s="343"/>
      <c r="H29" s="614"/>
      <c r="I29" s="65" t="s">
        <v>204</v>
      </c>
      <c r="J29" s="409"/>
      <c r="K29" s="410"/>
      <c r="L29" s="410"/>
      <c r="M29" s="410"/>
      <c r="N29" s="411"/>
      <c r="O29" s="410"/>
      <c r="P29" s="410"/>
      <c r="Q29" s="412"/>
      <c r="R29" s="228" t="str">
        <f t="shared" si="36"/>
        <v>-</v>
      </c>
      <c r="S29" s="228" t="str">
        <f t="shared" si="37"/>
        <v>-</v>
      </c>
      <c r="T29" s="229" t="str">
        <f t="shared" si="37"/>
        <v>-</v>
      </c>
      <c r="U29" s="131"/>
      <c r="V29" s="131"/>
      <c r="W29" s="131"/>
      <c r="X29" s="613" t="s">
        <v>39</v>
      </c>
      <c r="Y29" s="343"/>
      <c r="Z29" s="343"/>
      <c r="AA29" s="343"/>
      <c r="AB29" s="343"/>
      <c r="AC29" s="343"/>
      <c r="AD29" s="614"/>
      <c r="AE29" s="65" t="s">
        <v>204</v>
      </c>
      <c r="AF29" s="409"/>
      <c r="AG29" s="410"/>
      <c r="AH29" s="410"/>
      <c r="AI29" s="410"/>
      <c r="AJ29" s="411"/>
      <c r="AK29" s="410"/>
      <c r="AL29" s="410"/>
      <c r="AM29" s="412"/>
      <c r="AN29" s="228" t="str">
        <f t="shared" si="38"/>
        <v>-</v>
      </c>
      <c r="AO29" s="228" t="str">
        <f t="shared" si="39"/>
        <v>-</v>
      </c>
      <c r="AP29" s="229" t="str">
        <f t="shared" si="39"/>
        <v>-</v>
      </c>
      <c r="AR29" s="80"/>
      <c r="AS29" s="80"/>
      <c r="AT29" s="596" t="s">
        <v>160</v>
      </c>
      <c r="AU29" s="597"/>
      <c r="AV29" s="597"/>
      <c r="AW29" s="597"/>
      <c r="AX29" s="597"/>
      <c r="AY29" s="597"/>
      <c r="AZ29" s="598"/>
      <c r="BA29" s="409"/>
      <c r="BB29" s="410"/>
      <c r="BC29" s="410"/>
      <c r="BD29" s="410"/>
      <c r="BE29" s="411"/>
      <c r="BF29" s="410"/>
      <c r="BG29" s="410"/>
      <c r="BH29" s="412"/>
      <c r="BI29" s="228" t="str">
        <f t="shared" si="30"/>
        <v>-</v>
      </c>
      <c r="BJ29" s="228" t="str">
        <f t="shared" si="31"/>
        <v>-</v>
      </c>
      <c r="BK29" s="229" t="str">
        <f t="shared" si="32"/>
        <v>-</v>
      </c>
      <c r="BL29" s="599" t="s">
        <v>224</v>
      </c>
      <c r="BM29" s="600"/>
      <c r="BN29" s="600"/>
      <c r="BO29" s="600"/>
      <c r="BP29" s="600"/>
      <c r="BQ29" s="600"/>
      <c r="BR29" s="601"/>
      <c r="BS29" s="409"/>
      <c r="BT29" s="410"/>
      <c r="BU29" s="410"/>
      <c r="BV29" s="410"/>
      <c r="BW29" s="411"/>
      <c r="BX29" s="410"/>
      <c r="BY29" s="410"/>
      <c r="BZ29" s="412"/>
      <c r="CA29" s="228" t="str">
        <f t="shared" si="33"/>
        <v>-</v>
      </c>
      <c r="CB29" s="228" t="str">
        <f t="shared" si="34"/>
        <v>-</v>
      </c>
      <c r="CC29" s="229" t="str">
        <f t="shared" si="35"/>
        <v>-</v>
      </c>
    </row>
    <row r="30" spans="2:85" ht="13.7" customHeight="1">
      <c r="B30" s="613" t="s">
        <v>39</v>
      </c>
      <c r="C30" s="343"/>
      <c r="D30" s="343"/>
      <c r="E30" s="343"/>
      <c r="F30" s="343"/>
      <c r="G30" s="343"/>
      <c r="H30" s="614"/>
      <c r="I30" s="65" t="s">
        <v>204</v>
      </c>
      <c r="J30" s="409"/>
      <c r="K30" s="410"/>
      <c r="L30" s="410"/>
      <c r="M30" s="410"/>
      <c r="N30" s="411"/>
      <c r="O30" s="410"/>
      <c r="P30" s="410"/>
      <c r="Q30" s="412"/>
      <c r="R30" s="228" t="str">
        <f t="shared" si="36"/>
        <v>-</v>
      </c>
      <c r="S30" s="228" t="str">
        <f t="shared" si="37"/>
        <v>-</v>
      </c>
      <c r="T30" s="229" t="str">
        <f t="shared" si="37"/>
        <v>-</v>
      </c>
      <c r="U30" s="131"/>
      <c r="V30" s="131"/>
      <c r="W30" s="131"/>
      <c r="X30" s="613" t="s">
        <v>80</v>
      </c>
      <c r="Y30" s="343"/>
      <c r="Z30" s="343"/>
      <c r="AA30" s="343"/>
      <c r="AB30" s="343"/>
      <c r="AC30" s="343"/>
      <c r="AD30" s="614"/>
      <c r="AE30" s="65" t="s">
        <v>204</v>
      </c>
      <c r="AF30" s="409"/>
      <c r="AG30" s="410"/>
      <c r="AH30" s="410"/>
      <c r="AI30" s="410"/>
      <c r="AJ30" s="411"/>
      <c r="AK30" s="410"/>
      <c r="AL30" s="410"/>
      <c r="AM30" s="412"/>
      <c r="AN30" s="228" t="str">
        <f t="shared" si="38"/>
        <v>-</v>
      </c>
      <c r="AO30" s="228" t="str">
        <f t="shared" si="39"/>
        <v>-</v>
      </c>
      <c r="AP30" s="229" t="str">
        <f t="shared" si="39"/>
        <v>-</v>
      </c>
      <c r="AR30" s="80"/>
      <c r="AS30" s="80"/>
      <c r="AT30" s="596" t="s">
        <v>195</v>
      </c>
      <c r="AU30" s="597"/>
      <c r="AV30" s="597"/>
      <c r="AW30" s="597"/>
      <c r="AX30" s="597"/>
      <c r="AY30" s="597"/>
      <c r="AZ30" s="598"/>
      <c r="BA30" s="409"/>
      <c r="BB30" s="410"/>
      <c r="BC30" s="410"/>
      <c r="BD30" s="410"/>
      <c r="BE30" s="411"/>
      <c r="BF30" s="410"/>
      <c r="BG30" s="410"/>
      <c r="BH30" s="412"/>
      <c r="BI30" s="228" t="str">
        <f t="shared" si="30"/>
        <v>-</v>
      </c>
      <c r="BJ30" s="228" t="str">
        <f t="shared" si="31"/>
        <v>-</v>
      </c>
      <c r="BK30" s="229" t="str">
        <f t="shared" si="32"/>
        <v>-</v>
      </c>
      <c r="BL30" s="599" t="s">
        <v>225</v>
      </c>
      <c r="BM30" s="600"/>
      <c r="BN30" s="600"/>
      <c r="BO30" s="600"/>
      <c r="BP30" s="600"/>
      <c r="BQ30" s="600"/>
      <c r="BR30" s="601"/>
      <c r="BS30" s="409"/>
      <c r="BT30" s="410"/>
      <c r="BU30" s="410"/>
      <c r="BV30" s="410"/>
      <c r="BW30" s="411"/>
      <c r="BX30" s="410"/>
      <c r="BY30" s="410"/>
      <c r="BZ30" s="412"/>
      <c r="CA30" s="228" t="str">
        <f t="shared" si="33"/>
        <v>-</v>
      </c>
      <c r="CB30" s="228" t="str">
        <f t="shared" si="34"/>
        <v>-</v>
      </c>
      <c r="CC30" s="229" t="str">
        <f t="shared" si="35"/>
        <v>-</v>
      </c>
    </row>
    <row r="31" spans="2:85" ht="13.7" customHeight="1" thickBot="1">
      <c r="B31" s="613" t="s">
        <v>80</v>
      </c>
      <c r="C31" s="343"/>
      <c r="D31" s="343"/>
      <c r="E31" s="343"/>
      <c r="F31" s="343"/>
      <c r="G31" s="343"/>
      <c r="H31" s="614"/>
      <c r="I31" s="65" t="s">
        <v>204</v>
      </c>
      <c r="J31" s="409"/>
      <c r="K31" s="410"/>
      <c r="L31" s="410"/>
      <c r="M31" s="410"/>
      <c r="N31" s="411"/>
      <c r="O31" s="410"/>
      <c r="P31" s="410"/>
      <c r="Q31" s="412"/>
      <c r="R31" s="228" t="str">
        <f t="shared" si="36"/>
        <v>-</v>
      </c>
      <c r="S31" s="228" t="str">
        <f t="shared" si="37"/>
        <v>-</v>
      </c>
      <c r="T31" s="229" t="str">
        <f t="shared" si="37"/>
        <v>-</v>
      </c>
      <c r="U31" s="131"/>
      <c r="V31" s="131"/>
      <c r="W31" s="131"/>
      <c r="X31" s="501" t="s">
        <v>81</v>
      </c>
      <c r="Y31" s="357"/>
      <c r="Z31" s="357"/>
      <c r="AA31" s="357"/>
      <c r="AB31" s="357"/>
      <c r="AC31" s="357"/>
      <c r="AD31" s="502"/>
      <c r="AE31" s="66" t="s">
        <v>205</v>
      </c>
      <c r="AF31" s="577"/>
      <c r="AG31" s="615"/>
      <c r="AH31" s="615"/>
      <c r="AI31" s="616"/>
      <c r="AJ31" s="609"/>
      <c r="AK31" s="417"/>
      <c r="AL31" s="417"/>
      <c r="AM31" s="418"/>
      <c r="AN31" s="610" t="str">
        <f t="shared" ref="AN31" si="40">IF(AF31="-", "-", IF(AJ31="-", "-", IF(ABS(AJ31)=0, "-", ROUND(100*(AF31-AJ31)/ABS(AJ31), 1))))</f>
        <v>-</v>
      </c>
      <c r="AO31" s="423" t="str">
        <f t="shared" ref="AO31:AP31" si="41">IF(AK31="-", "-", IF(AM31="-", "-", IF(ABS(AM31)=0, "-", ROUND(100*(AK31-AM31)/ABS(AM31), 1))))</f>
        <v>-</v>
      </c>
      <c r="AP31" s="611" t="str">
        <f t="shared" si="41"/>
        <v>-</v>
      </c>
      <c r="AQ31" s="80"/>
      <c r="AR31" s="80"/>
      <c r="AS31" s="80"/>
      <c r="AT31" s="596" t="s">
        <v>161</v>
      </c>
      <c r="AU31" s="597"/>
      <c r="AV31" s="597"/>
      <c r="AW31" s="597"/>
      <c r="AX31" s="597"/>
      <c r="AY31" s="597"/>
      <c r="AZ31" s="598"/>
      <c r="BA31" s="409"/>
      <c r="BB31" s="410"/>
      <c r="BC31" s="410"/>
      <c r="BD31" s="410"/>
      <c r="BE31" s="411"/>
      <c r="BF31" s="410"/>
      <c r="BG31" s="410"/>
      <c r="BH31" s="412"/>
      <c r="BI31" s="228" t="str">
        <f t="shared" si="30"/>
        <v>-</v>
      </c>
      <c r="BJ31" s="228" t="str">
        <f t="shared" si="31"/>
        <v>-</v>
      </c>
      <c r="BK31" s="229" t="str">
        <f t="shared" si="32"/>
        <v>-</v>
      </c>
      <c r="BL31" s="599" t="s">
        <v>226</v>
      </c>
      <c r="BM31" s="600"/>
      <c r="BN31" s="600"/>
      <c r="BO31" s="600"/>
      <c r="BP31" s="600"/>
      <c r="BQ31" s="600"/>
      <c r="BR31" s="601"/>
      <c r="BS31" s="409"/>
      <c r="BT31" s="410"/>
      <c r="BU31" s="410"/>
      <c r="BV31" s="410"/>
      <c r="BW31" s="411"/>
      <c r="BX31" s="410"/>
      <c r="BY31" s="410"/>
      <c r="BZ31" s="412"/>
      <c r="CA31" s="228" t="str">
        <f t="shared" si="33"/>
        <v>-</v>
      </c>
      <c r="CB31" s="228" t="str">
        <f t="shared" si="34"/>
        <v>-</v>
      </c>
      <c r="CC31" s="229" t="str">
        <f t="shared" si="35"/>
        <v>-</v>
      </c>
    </row>
    <row r="32" spans="2:85" ht="13.7" customHeight="1" thickBot="1">
      <c r="B32" s="501" t="s">
        <v>81</v>
      </c>
      <c r="C32" s="357"/>
      <c r="D32" s="357"/>
      <c r="E32" s="357"/>
      <c r="F32" s="357"/>
      <c r="G32" s="357"/>
      <c r="H32" s="502"/>
      <c r="I32" s="66" t="s">
        <v>205</v>
      </c>
      <c r="J32" s="577"/>
      <c r="K32" s="615"/>
      <c r="L32" s="615"/>
      <c r="M32" s="616"/>
      <c r="N32" s="609"/>
      <c r="O32" s="417"/>
      <c r="P32" s="417"/>
      <c r="Q32" s="418"/>
      <c r="R32" s="610" t="str">
        <f t="shared" ref="R32" si="42">IF(J32="-", "-", IF(N32="-", "-", IF(ABS(N32)=0, "-", ROUND(100*(J32-N32)/ABS(N32), 1))))</f>
        <v>-</v>
      </c>
      <c r="S32" s="423" t="str">
        <f t="shared" ref="S32:T32" si="43">IF(O32="-", "-", IF(Q32="-", "-", IF(ABS(Q32)=0, "-", ROUND(100*(O32-Q32)/ABS(Q32), 1))))</f>
        <v>-</v>
      </c>
      <c r="T32" s="611" t="str">
        <f t="shared" si="43"/>
        <v>-</v>
      </c>
      <c r="U32" s="131"/>
      <c r="V32" s="131"/>
      <c r="W32" s="131"/>
      <c r="X32" s="131"/>
      <c r="Y32" s="131"/>
      <c r="Z32" s="131"/>
      <c r="AA32" s="131"/>
      <c r="AB32" s="132"/>
      <c r="AC32" s="132"/>
      <c r="AD32" s="132"/>
      <c r="AE32" s="53"/>
      <c r="AF32" s="53"/>
      <c r="AG32" s="53"/>
      <c r="AH32" s="53"/>
      <c r="AI32" s="53"/>
      <c r="AR32" s="80"/>
      <c r="AS32" s="80"/>
      <c r="AT32" s="602" t="s">
        <v>162</v>
      </c>
      <c r="AU32" s="603"/>
      <c r="AV32" s="603"/>
      <c r="AW32" s="603"/>
      <c r="AX32" s="603"/>
      <c r="AY32" s="603"/>
      <c r="AZ32" s="604"/>
      <c r="BA32" s="605"/>
      <c r="BB32" s="435"/>
      <c r="BC32" s="435"/>
      <c r="BD32" s="435"/>
      <c r="BE32" s="434"/>
      <c r="BF32" s="435"/>
      <c r="BG32" s="435"/>
      <c r="BH32" s="436"/>
      <c r="BI32" s="361" t="str">
        <f t="shared" si="30"/>
        <v>-</v>
      </c>
      <c r="BJ32" s="361" t="str">
        <f t="shared" si="31"/>
        <v>-</v>
      </c>
      <c r="BK32" s="362" t="str">
        <f t="shared" si="32"/>
        <v>-</v>
      </c>
      <c r="BL32" s="606" t="s">
        <v>227</v>
      </c>
      <c r="BM32" s="607"/>
      <c r="BN32" s="607"/>
      <c r="BO32" s="607"/>
      <c r="BP32" s="607"/>
      <c r="BQ32" s="607"/>
      <c r="BR32" s="608"/>
      <c r="BS32" s="605"/>
      <c r="BT32" s="435"/>
      <c r="BU32" s="435"/>
      <c r="BV32" s="435"/>
      <c r="BW32" s="434"/>
      <c r="BX32" s="435"/>
      <c r="BY32" s="435"/>
      <c r="BZ32" s="436"/>
      <c r="CA32" s="361" t="str">
        <f t="shared" si="33"/>
        <v>-</v>
      </c>
      <c r="CB32" s="361" t="str">
        <f t="shared" si="34"/>
        <v>-</v>
      </c>
      <c r="CC32" s="362" t="str">
        <f t="shared" si="35"/>
        <v>-</v>
      </c>
    </row>
    <row r="33" spans="1:81" ht="13.7" customHeight="1">
      <c r="AR33" s="80"/>
      <c r="AS33" s="80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</row>
    <row r="34" spans="1:81" ht="13.7" customHeight="1">
      <c r="AR34" s="80"/>
      <c r="AS34" s="80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</row>
    <row r="35" spans="1:81" ht="13.7" customHeight="1" thickBot="1">
      <c r="B35" s="35" t="s">
        <v>213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4" t="s">
        <v>3</v>
      </c>
    </row>
    <row r="36" spans="1:81" ht="13.7" customHeight="1" thickBot="1">
      <c r="B36" s="487"/>
      <c r="C36" s="488"/>
      <c r="D36" s="488"/>
      <c r="E36" s="488"/>
      <c r="F36" s="488"/>
      <c r="G36" s="488"/>
      <c r="H36" s="489"/>
      <c r="I36" s="446" t="str">
        <f>IF($B$1&lt;&gt;"",$B$1,"")</f>
        <v/>
      </c>
      <c r="J36" s="447"/>
      <c r="K36" s="447"/>
      <c r="L36" s="448"/>
      <c r="M36" s="449" t="str">
        <f>IF($B$1&lt;&gt;"",$B$1-1,"")</f>
        <v/>
      </c>
      <c r="N36" s="447"/>
      <c r="O36" s="447"/>
      <c r="P36" s="448"/>
      <c r="Q36" s="476" t="s">
        <v>142</v>
      </c>
      <c r="R36" s="477"/>
      <c r="S36" s="478"/>
    </row>
    <row r="37" spans="1:81" ht="13.7" customHeight="1">
      <c r="B37" s="276" t="s">
        <v>169</v>
      </c>
      <c r="C37" s="277"/>
      <c r="D37" s="277"/>
      <c r="E37" s="277"/>
      <c r="F37" s="277"/>
      <c r="G37" s="277"/>
      <c r="H37" s="278"/>
      <c r="I37" s="480"/>
      <c r="J37" s="480"/>
      <c r="K37" s="480"/>
      <c r="L37" s="481"/>
      <c r="M37" s="479"/>
      <c r="N37" s="480"/>
      <c r="O37" s="480"/>
      <c r="P37" s="481"/>
      <c r="Q37" s="472" t="str">
        <f t="shared" ref="Q37:Q38" si="44">IF(I37="-", "-", IF(M37="-", "-", IF(ABS(M37)=0, "-", ROUND(100*(I37-M37)/ABS(M37), 1))))</f>
        <v>-</v>
      </c>
      <c r="R37" s="473" t="str">
        <f t="shared" ref="R37:S38" si="45">IF(N37="-", "-", IF(P37="-", "-", IF(ABS(P37)=0, "-", ROUND(100*(N37-P37)/ABS(P37), 1))))</f>
        <v>-</v>
      </c>
      <c r="S37" s="474" t="str">
        <f t="shared" si="45"/>
        <v>-</v>
      </c>
    </row>
    <row r="38" spans="1:81" ht="13.7" customHeight="1" thickBot="1">
      <c r="B38" s="501" t="s">
        <v>170</v>
      </c>
      <c r="C38" s="357"/>
      <c r="D38" s="357"/>
      <c r="E38" s="357"/>
      <c r="F38" s="357"/>
      <c r="G38" s="357"/>
      <c r="H38" s="358"/>
      <c r="I38" s="417"/>
      <c r="J38" s="417"/>
      <c r="K38" s="417"/>
      <c r="L38" s="418"/>
      <c r="M38" s="609"/>
      <c r="N38" s="417"/>
      <c r="O38" s="417"/>
      <c r="P38" s="418"/>
      <c r="Q38" s="610" t="str">
        <f t="shared" si="44"/>
        <v>-</v>
      </c>
      <c r="R38" s="423" t="str">
        <f t="shared" si="45"/>
        <v>-</v>
      </c>
      <c r="S38" s="611" t="str">
        <f t="shared" si="45"/>
        <v>-</v>
      </c>
    </row>
    <row r="41" spans="1:81" ht="13.7" customHeight="1">
      <c r="B41" s="34" t="s">
        <v>265</v>
      </c>
      <c r="AG41" s="133"/>
      <c r="AH41" s="133"/>
      <c r="AI41" s="397"/>
      <c r="AJ41" s="397"/>
      <c r="AK41" s="397"/>
      <c r="AL41" s="397"/>
      <c r="AM41" s="393"/>
      <c r="AN41" s="393"/>
      <c r="AO41" s="393"/>
      <c r="AP41" s="133"/>
      <c r="AQ41" s="79"/>
      <c r="AR41" s="80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</row>
    <row r="42" spans="1:81" ht="13.7" customHeight="1" thickBot="1">
      <c r="B42" s="80" t="s">
        <v>266</v>
      </c>
      <c r="AG42" s="134"/>
      <c r="AH42" s="4" t="s">
        <v>0</v>
      </c>
      <c r="AI42" s="482"/>
      <c r="AJ42" s="482"/>
      <c r="AK42" s="482"/>
      <c r="AL42" s="482"/>
      <c r="AM42" s="483"/>
      <c r="AN42" s="483"/>
      <c r="AO42" s="483"/>
      <c r="AP42" s="79"/>
      <c r="AQ42" s="79"/>
      <c r="AS42" s="135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</row>
    <row r="43" spans="1:81" ht="13.7" customHeight="1">
      <c r="B43" s="463" t="s">
        <v>228</v>
      </c>
      <c r="C43" s="464"/>
      <c r="D43" s="464"/>
      <c r="E43" s="464"/>
      <c r="F43" s="464"/>
      <c r="G43" s="464"/>
      <c r="H43" s="464"/>
      <c r="I43" s="464"/>
      <c r="J43" s="464"/>
      <c r="K43" s="464"/>
      <c r="L43" s="465"/>
      <c r="M43" s="466" t="s">
        <v>229</v>
      </c>
      <c r="N43" s="467"/>
      <c r="O43" s="467"/>
      <c r="P43" s="467"/>
      <c r="Q43" s="467"/>
      <c r="R43" s="467"/>
      <c r="S43" s="467"/>
      <c r="T43" s="467"/>
      <c r="U43" s="467"/>
      <c r="V43" s="467"/>
      <c r="W43" s="468"/>
      <c r="X43" s="466" t="s">
        <v>10</v>
      </c>
      <c r="Y43" s="467"/>
      <c r="Z43" s="467"/>
      <c r="AA43" s="467"/>
      <c r="AB43" s="467"/>
      <c r="AC43" s="467"/>
      <c r="AD43" s="467"/>
      <c r="AE43" s="467"/>
      <c r="AF43" s="467"/>
      <c r="AG43" s="467"/>
      <c r="AH43" s="475"/>
      <c r="AI43" s="79"/>
      <c r="AK43" s="135"/>
      <c r="AL43" s="52"/>
      <c r="AM43" s="80"/>
      <c r="AN43" s="80"/>
      <c r="AO43" s="80"/>
      <c r="AP43" s="80"/>
      <c r="AQ43" s="80"/>
      <c r="AR43" s="80"/>
      <c r="AS43" s="80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</row>
    <row r="44" spans="1:81" ht="13.7" customHeight="1" thickBot="1">
      <c r="B44" s="198" t="str">
        <f>IF($B$1&lt;&gt;"",$B$1,"")</f>
        <v/>
      </c>
      <c r="C44" s="199"/>
      <c r="D44" s="199"/>
      <c r="E44" s="201"/>
      <c r="F44" s="200" t="str">
        <f>IF($B$1&lt;&gt;"",$B$1-1,"")</f>
        <v/>
      </c>
      <c r="G44" s="199"/>
      <c r="H44" s="199"/>
      <c r="I44" s="201"/>
      <c r="J44" s="202" t="s">
        <v>142</v>
      </c>
      <c r="K44" s="203"/>
      <c r="L44" s="460"/>
      <c r="M44" s="200" t="str">
        <f>IF($B$1&lt;&gt;"",$B$1,"")</f>
        <v/>
      </c>
      <c r="N44" s="199"/>
      <c r="O44" s="199"/>
      <c r="P44" s="201"/>
      <c r="Q44" s="200" t="str">
        <f>IF($B$1&lt;&gt;"",$B$1-1,"")</f>
        <v/>
      </c>
      <c r="R44" s="199"/>
      <c r="S44" s="199"/>
      <c r="T44" s="201"/>
      <c r="U44" s="202" t="s">
        <v>142</v>
      </c>
      <c r="V44" s="203"/>
      <c r="W44" s="460"/>
      <c r="X44" s="200" t="str">
        <f>IF($B$1&lt;&gt;"",$B$1,"")</f>
        <v/>
      </c>
      <c r="Y44" s="199"/>
      <c r="Z44" s="199"/>
      <c r="AA44" s="201"/>
      <c r="AB44" s="200" t="str">
        <f>IF($B$1&lt;&gt;"",$B$1-1,"")</f>
        <v/>
      </c>
      <c r="AC44" s="199"/>
      <c r="AD44" s="199"/>
      <c r="AE44" s="201"/>
      <c r="AF44" s="202" t="s">
        <v>142</v>
      </c>
      <c r="AG44" s="203"/>
      <c r="AH44" s="204"/>
      <c r="AI44" s="77"/>
      <c r="AK44" s="52"/>
      <c r="AL44" s="133"/>
      <c r="AM44" s="80"/>
      <c r="AN44" s="80"/>
      <c r="AO44" s="80"/>
      <c r="AP44" s="80"/>
      <c r="AQ44" s="80"/>
      <c r="AR44" s="80"/>
      <c r="AS44" s="80"/>
      <c r="AY44" s="80"/>
      <c r="AZ44" s="80"/>
      <c r="BA44" s="80"/>
      <c r="BB44" s="80"/>
    </row>
    <row r="45" spans="1:81" ht="13.7" customHeight="1" thickBot="1">
      <c r="B45" s="414"/>
      <c r="C45" s="415"/>
      <c r="D45" s="415"/>
      <c r="E45" s="415"/>
      <c r="F45" s="461"/>
      <c r="G45" s="415"/>
      <c r="H45" s="415"/>
      <c r="I45" s="462"/>
      <c r="J45" s="420" t="str">
        <f t="shared" ref="J45:AF45" si="46">IF(B45="-", "-", IF(F45="-", "-", IF(ABS(F45)=0, "-", ROUND(100*(B45-F45)/ABS(F45), 1))))</f>
        <v>-</v>
      </c>
      <c r="K45" s="420" t="str">
        <f t="shared" ref="K45:AH45" si="47">IF(G45="-", "-", IF(I45="-", "-", IF(ABS(I45)=0, "-", ROUND(100*(G45-I45)/ABS(I45), 1))))</f>
        <v>-</v>
      </c>
      <c r="L45" s="421" t="str">
        <f t="shared" si="47"/>
        <v>-</v>
      </c>
      <c r="M45" s="414"/>
      <c r="N45" s="415"/>
      <c r="O45" s="415"/>
      <c r="P45" s="415"/>
      <c r="Q45" s="461"/>
      <c r="R45" s="415"/>
      <c r="S45" s="415"/>
      <c r="T45" s="462"/>
      <c r="U45" s="420" t="str">
        <f t="shared" si="46"/>
        <v>-</v>
      </c>
      <c r="V45" s="420" t="str">
        <f t="shared" si="47"/>
        <v>-</v>
      </c>
      <c r="W45" s="421" t="str">
        <f t="shared" si="47"/>
        <v>-</v>
      </c>
      <c r="X45" s="414"/>
      <c r="Y45" s="415"/>
      <c r="Z45" s="415"/>
      <c r="AA45" s="415"/>
      <c r="AB45" s="461"/>
      <c r="AC45" s="415"/>
      <c r="AD45" s="415"/>
      <c r="AE45" s="462"/>
      <c r="AF45" s="420" t="str">
        <f t="shared" si="46"/>
        <v>-</v>
      </c>
      <c r="AG45" s="420" t="str">
        <f t="shared" si="47"/>
        <v>-</v>
      </c>
      <c r="AH45" s="421" t="str">
        <f t="shared" si="47"/>
        <v>-</v>
      </c>
      <c r="AR45" s="133"/>
      <c r="AS45" s="79"/>
      <c r="AT45" s="484"/>
      <c r="AU45" s="485"/>
      <c r="AV45" s="485"/>
      <c r="AW45" s="485"/>
      <c r="AX45" s="485"/>
      <c r="AY45" s="485"/>
      <c r="AZ45" s="485"/>
      <c r="BA45" s="392"/>
      <c r="BB45" s="392"/>
      <c r="BC45" s="392"/>
      <c r="BD45" s="392"/>
      <c r="BE45" s="392"/>
      <c r="BF45" s="392"/>
      <c r="BG45" s="392"/>
      <c r="BH45" s="392"/>
      <c r="BI45" s="70"/>
      <c r="BJ45" s="70"/>
      <c r="BK45" s="70"/>
      <c r="BL45" s="39" t="s">
        <v>188</v>
      </c>
    </row>
    <row r="46" spans="1:81" ht="13.7" customHeight="1" thickBot="1">
      <c r="A46" s="5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R46" s="133"/>
      <c r="AS46" s="79"/>
      <c r="AT46" s="484"/>
      <c r="AU46" s="485"/>
      <c r="AV46" s="485"/>
      <c r="AW46" s="485"/>
      <c r="AX46" s="485"/>
      <c r="AY46" s="485"/>
      <c r="AZ46" s="485"/>
      <c r="BL46" s="487"/>
      <c r="BM46" s="488"/>
      <c r="BN46" s="488"/>
      <c r="BO46" s="488"/>
      <c r="BP46" s="488"/>
      <c r="BQ46" s="488"/>
      <c r="BR46" s="489"/>
      <c r="BS46" s="446" t="str">
        <f>IF($B$1&lt;&gt;"",$B$1,"")</f>
        <v/>
      </c>
      <c r="BT46" s="447"/>
      <c r="BU46" s="447"/>
      <c r="BV46" s="448"/>
      <c r="BW46" s="449" t="str">
        <f>IF($B$1&lt;&gt;"",$B$1-1,"")</f>
        <v/>
      </c>
      <c r="BX46" s="447"/>
      <c r="BY46" s="447"/>
      <c r="BZ46" s="448"/>
      <c r="CA46" s="476" t="s">
        <v>142</v>
      </c>
      <c r="CB46" s="477"/>
      <c r="CC46" s="478"/>
    </row>
    <row r="47" spans="1:81" ht="13.7" customHeight="1" thickBot="1">
      <c r="A47" s="53"/>
      <c r="B47" s="80" t="s">
        <v>267</v>
      </c>
      <c r="AR47" s="79"/>
      <c r="AS47" s="4" t="s">
        <v>0</v>
      </c>
      <c r="AT47" s="80"/>
      <c r="AU47" s="80"/>
      <c r="AV47" s="80"/>
      <c r="AW47" s="80"/>
      <c r="AX47" s="80"/>
      <c r="AY47" s="80"/>
      <c r="AZ47" s="80"/>
      <c r="BL47" s="490" t="s">
        <v>189</v>
      </c>
      <c r="BM47" s="491"/>
      <c r="BN47" s="491"/>
      <c r="BO47" s="491"/>
      <c r="BP47" s="491"/>
      <c r="BQ47" s="491"/>
      <c r="BR47" s="492"/>
      <c r="BS47" s="398"/>
      <c r="BT47" s="399"/>
      <c r="BU47" s="399"/>
      <c r="BV47" s="400"/>
      <c r="BW47" s="443"/>
      <c r="BX47" s="399"/>
      <c r="BY47" s="399"/>
      <c r="BZ47" s="400"/>
      <c r="CA47" s="444" t="str">
        <f t="shared" ref="CA47:CA56" si="48">IF(BS47="-", "-", IF(BW47="-", "-", IF(ABS(BW47)=0, "-", ROUND(100*(BS47-BW47)/ABS(BW47), 1))))</f>
        <v>-</v>
      </c>
      <c r="CB47" s="444" t="str">
        <f t="shared" ref="CB47:CB56" si="49">IF(BX47="-", "-", IF(BZ47="-", "-", IF(ABS(BZ47)=0, "-", ROUND(100*(BX47-BZ47)/ABS(BZ47), 1))))</f>
        <v>-</v>
      </c>
      <c r="CC47" s="445" t="str">
        <f t="shared" ref="CC47:CC56" si="50">IF(BY47="-", "-", IF(CA47="-", "-", IF(ABS(CA47)=0, "-", ROUND(100*(BY47-CA47)/ABS(CA47), 1))))</f>
        <v>-</v>
      </c>
    </row>
    <row r="48" spans="1:81" ht="13.7" customHeight="1">
      <c r="A48" s="53"/>
      <c r="B48" s="469" t="s">
        <v>230</v>
      </c>
      <c r="C48" s="470"/>
      <c r="D48" s="470"/>
      <c r="E48" s="470"/>
      <c r="F48" s="470"/>
      <c r="G48" s="470"/>
      <c r="H48" s="470"/>
      <c r="I48" s="470"/>
      <c r="J48" s="470"/>
      <c r="K48" s="470"/>
      <c r="L48" s="471"/>
      <c r="M48" s="486" t="s">
        <v>231</v>
      </c>
      <c r="N48" s="470"/>
      <c r="O48" s="470"/>
      <c r="P48" s="470"/>
      <c r="Q48" s="470"/>
      <c r="R48" s="470"/>
      <c r="S48" s="470"/>
      <c r="T48" s="470"/>
      <c r="U48" s="470"/>
      <c r="V48" s="470"/>
      <c r="W48" s="471"/>
      <c r="X48" s="486" t="s">
        <v>232</v>
      </c>
      <c r="Y48" s="470"/>
      <c r="Z48" s="470"/>
      <c r="AA48" s="470"/>
      <c r="AB48" s="470"/>
      <c r="AC48" s="470"/>
      <c r="AD48" s="470"/>
      <c r="AE48" s="470"/>
      <c r="AF48" s="470"/>
      <c r="AG48" s="470"/>
      <c r="AH48" s="471"/>
      <c r="AI48" s="467" t="s">
        <v>10</v>
      </c>
      <c r="AJ48" s="467"/>
      <c r="AK48" s="467"/>
      <c r="AL48" s="467"/>
      <c r="AM48" s="467"/>
      <c r="AN48" s="467"/>
      <c r="AO48" s="467"/>
      <c r="AP48" s="467"/>
      <c r="AQ48" s="467"/>
      <c r="AR48" s="467"/>
      <c r="AS48" s="475"/>
      <c r="AT48" s="80"/>
      <c r="AU48" s="80"/>
      <c r="AV48" s="80"/>
      <c r="AW48" s="80"/>
      <c r="AX48" s="80"/>
      <c r="AY48" s="80"/>
      <c r="AZ48" s="80"/>
      <c r="BA48" s="80"/>
      <c r="BB48" s="80"/>
      <c r="BL48" s="404" t="s">
        <v>190</v>
      </c>
      <c r="BM48" s="405"/>
      <c r="BN48" s="405"/>
      <c r="BO48" s="405"/>
      <c r="BP48" s="405"/>
      <c r="BQ48" s="405"/>
      <c r="BR48" s="406"/>
      <c r="BS48" s="398"/>
      <c r="BT48" s="399"/>
      <c r="BU48" s="399"/>
      <c r="BV48" s="400"/>
      <c r="BW48" s="443"/>
      <c r="BX48" s="399"/>
      <c r="BY48" s="399"/>
      <c r="BZ48" s="400"/>
      <c r="CA48" s="444" t="str">
        <f t="shared" si="48"/>
        <v>-</v>
      </c>
      <c r="CB48" s="444" t="str">
        <f t="shared" si="49"/>
        <v>-</v>
      </c>
      <c r="CC48" s="445" t="str">
        <f t="shared" si="50"/>
        <v>-</v>
      </c>
    </row>
    <row r="49" spans="1:85" ht="13.7" customHeight="1" thickBot="1">
      <c r="A49" s="53"/>
      <c r="B49" s="198" t="str">
        <f>IF($B$1&lt;&gt;"",$B$1,"")</f>
        <v/>
      </c>
      <c r="C49" s="199"/>
      <c r="D49" s="199"/>
      <c r="E49" s="201"/>
      <c r="F49" s="200" t="str">
        <f>IF($B$1&lt;&gt;"",$B$1-1,"")</f>
        <v/>
      </c>
      <c r="G49" s="199"/>
      <c r="H49" s="199"/>
      <c r="I49" s="201"/>
      <c r="J49" s="202" t="s">
        <v>142</v>
      </c>
      <c r="K49" s="203"/>
      <c r="L49" s="460"/>
      <c r="M49" s="200" t="str">
        <f>IF($B$1&lt;&gt;"",$B$1,"")</f>
        <v/>
      </c>
      <c r="N49" s="199"/>
      <c r="O49" s="199"/>
      <c r="P49" s="201"/>
      <c r="Q49" s="200" t="str">
        <f>IF($B$1&lt;&gt;"",$B$1-1,"")</f>
        <v/>
      </c>
      <c r="R49" s="199"/>
      <c r="S49" s="199"/>
      <c r="T49" s="201"/>
      <c r="U49" s="202" t="s">
        <v>142</v>
      </c>
      <c r="V49" s="203"/>
      <c r="W49" s="460"/>
      <c r="X49" s="200" t="str">
        <f>IF($B$1&lt;&gt;"",$B$1,"")</f>
        <v/>
      </c>
      <c r="Y49" s="199"/>
      <c r="Z49" s="199"/>
      <c r="AA49" s="201"/>
      <c r="AB49" s="200" t="str">
        <f>IF($B$1&lt;&gt;"",$B$1-1,"")</f>
        <v/>
      </c>
      <c r="AC49" s="199"/>
      <c r="AD49" s="199"/>
      <c r="AE49" s="201"/>
      <c r="AF49" s="202" t="s">
        <v>142</v>
      </c>
      <c r="AG49" s="203"/>
      <c r="AH49" s="460"/>
      <c r="AI49" s="199" t="str">
        <f>IF($B$1&lt;&gt;"",$B$1,"")</f>
        <v/>
      </c>
      <c r="AJ49" s="199"/>
      <c r="AK49" s="199"/>
      <c r="AL49" s="201"/>
      <c r="AM49" s="200" t="str">
        <f>IF($B$1&lt;&gt;"",$B$1-1,"")</f>
        <v/>
      </c>
      <c r="AN49" s="199"/>
      <c r="AO49" s="199"/>
      <c r="AP49" s="201"/>
      <c r="AQ49" s="202" t="s">
        <v>142</v>
      </c>
      <c r="AR49" s="203"/>
      <c r="AS49" s="204"/>
      <c r="AT49" s="80"/>
      <c r="AU49" s="80"/>
      <c r="AV49" s="80"/>
      <c r="AW49" s="80"/>
      <c r="AX49" s="80"/>
      <c r="AY49" s="80"/>
      <c r="AZ49" s="80"/>
      <c r="BA49" s="80"/>
      <c r="BB49" s="80"/>
      <c r="BL49" s="404" t="s">
        <v>196</v>
      </c>
      <c r="BM49" s="405"/>
      <c r="BN49" s="405"/>
      <c r="BO49" s="405"/>
      <c r="BP49" s="405"/>
      <c r="BQ49" s="405"/>
      <c r="BR49" s="406"/>
      <c r="BS49" s="398"/>
      <c r="BT49" s="399"/>
      <c r="BU49" s="399"/>
      <c r="BV49" s="400"/>
      <c r="BW49" s="443"/>
      <c r="BX49" s="399"/>
      <c r="BY49" s="399"/>
      <c r="BZ49" s="400"/>
      <c r="CA49" s="444" t="str">
        <f t="shared" si="48"/>
        <v>-</v>
      </c>
      <c r="CB49" s="444" t="str">
        <f t="shared" si="49"/>
        <v>-</v>
      </c>
      <c r="CC49" s="445" t="str">
        <f t="shared" si="50"/>
        <v>-</v>
      </c>
    </row>
    <row r="50" spans="1:85" ht="13.7" customHeight="1" thickBot="1">
      <c r="A50" s="53"/>
      <c r="B50" s="414"/>
      <c r="C50" s="415"/>
      <c r="D50" s="415"/>
      <c r="E50" s="415"/>
      <c r="F50" s="461"/>
      <c r="G50" s="415"/>
      <c r="H50" s="415"/>
      <c r="I50" s="462"/>
      <c r="J50" s="420" t="str">
        <f t="shared" ref="J50:AQ50" si="51">IF(B50="-", "-", IF(F50="-", "-", IF(ABS(F50)=0, "-", ROUND(100*(B50-F50)/ABS(F50), 1))))</f>
        <v>-</v>
      </c>
      <c r="K50" s="420" t="str">
        <f t="shared" ref="K50:AS50" si="52">IF(G50="-", "-", IF(I50="-", "-", IF(ABS(I50)=0, "-", ROUND(100*(G50-I50)/ABS(I50), 1))))</f>
        <v>-</v>
      </c>
      <c r="L50" s="421" t="str">
        <f t="shared" si="52"/>
        <v>-</v>
      </c>
      <c r="M50" s="414"/>
      <c r="N50" s="415"/>
      <c r="O50" s="415"/>
      <c r="P50" s="415"/>
      <c r="Q50" s="461"/>
      <c r="R50" s="415"/>
      <c r="S50" s="415"/>
      <c r="T50" s="462"/>
      <c r="U50" s="420" t="str">
        <f t="shared" si="51"/>
        <v>-</v>
      </c>
      <c r="V50" s="420" t="str">
        <f t="shared" si="52"/>
        <v>-</v>
      </c>
      <c r="W50" s="421" t="str">
        <f t="shared" si="52"/>
        <v>-</v>
      </c>
      <c r="X50" s="414"/>
      <c r="Y50" s="415"/>
      <c r="Z50" s="415"/>
      <c r="AA50" s="415"/>
      <c r="AB50" s="461"/>
      <c r="AC50" s="415"/>
      <c r="AD50" s="415"/>
      <c r="AE50" s="462"/>
      <c r="AF50" s="420" t="str">
        <f t="shared" si="51"/>
        <v>-</v>
      </c>
      <c r="AG50" s="420" t="str">
        <f t="shared" si="52"/>
        <v>-</v>
      </c>
      <c r="AH50" s="421" t="str">
        <f t="shared" si="52"/>
        <v>-</v>
      </c>
      <c r="AI50" s="414"/>
      <c r="AJ50" s="415"/>
      <c r="AK50" s="415"/>
      <c r="AL50" s="415"/>
      <c r="AM50" s="461"/>
      <c r="AN50" s="415"/>
      <c r="AO50" s="415"/>
      <c r="AP50" s="462"/>
      <c r="AQ50" s="420" t="str">
        <f t="shared" si="51"/>
        <v>-</v>
      </c>
      <c r="AR50" s="420" t="str">
        <f t="shared" si="52"/>
        <v>-</v>
      </c>
      <c r="AS50" s="421" t="str">
        <f t="shared" si="52"/>
        <v>-</v>
      </c>
      <c r="AT50" s="80"/>
      <c r="AU50" s="80"/>
      <c r="AV50" s="80"/>
      <c r="AW50" s="80"/>
      <c r="AX50" s="80"/>
      <c r="AY50" s="80"/>
      <c r="AZ50" s="80"/>
      <c r="BA50" s="80"/>
      <c r="BB50" s="80"/>
      <c r="BL50" s="404" t="s">
        <v>197</v>
      </c>
      <c r="BM50" s="405"/>
      <c r="BN50" s="405"/>
      <c r="BO50" s="405"/>
      <c r="BP50" s="405"/>
      <c r="BQ50" s="405"/>
      <c r="BR50" s="406"/>
      <c r="BS50" s="398"/>
      <c r="BT50" s="399"/>
      <c r="BU50" s="399"/>
      <c r="BV50" s="400"/>
      <c r="BW50" s="443"/>
      <c r="BX50" s="399"/>
      <c r="BY50" s="399"/>
      <c r="BZ50" s="400"/>
      <c r="CA50" s="444" t="str">
        <f t="shared" si="48"/>
        <v>-</v>
      </c>
      <c r="CB50" s="444" t="str">
        <f t="shared" si="49"/>
        <v>-</v>
      </c>
      <c r="CC50" s="445" t="str">
        <f t="shared" si="50"/>
        <v>-</v>
      </c>
    </row>
    <row r="51" spans="1:85" ht="13.7" customHeight="1">
      <c r="A51" s="53"/>
      <c r="AT51" s="80"/>
      <c r="AU51" s="80"/>
      <c r="AV51" s="80"/>
      <c r="AW51" s="80"/>
      <c r="AX51" s="80"/>
      <c r="AY51" s="80"/>
      <c r="AZ51" s="80"/>
      <c r="BA51" s="80"/>
      <c r="BB51" s="80"/>
      <c r="BL51" s="404" t="s">
        <v>198</v>
      </c>
      <c r="BM51" s="405"/>
      <c r="BN51" s="405"/>
      <c r="BO51" s="405"/>
      <c r="BP51" s="405"/>
      <c r="BQ51" s="405"/>
      <c r="BR51" s="406"/>
      <c r="BS51" s="398"/>
      <c r="BT51" s="399"/>
      <c r="BU51" s="399"/>
      <c r="BV51" s="400"/>
      <c r="BW51" s="443"/>
      <c r="BX51" s="399"/>
      <c r="BY51" s="399"/>
      <c r="BZ51" s="400"/>
      <c r="CA51" s="444" t="str">
        <f t="shared" si="48"/>
        <v>-</v>
      </c>
      <c r="CB51" s="444" t="str">
        <f t="shared" si="49"/>
        <v>-</v>
      </c>
      <c r="CC51" s="445" t="str">
        <f t="shared" si="50"/>
        <v>-</v>
      </c>
    </row>
    <row r="52" spans="1:85" ht="13.7" customHeight="1">
      <c r="BA52" s="80"/>
      <c r="BB52" s="80"/>
      <c r="BL52" s="404" t="s">
        <v>199</v>
      </c>
      <c r="BM52" s="405"/>
      <c r="BN52" s="405"/>
      <c r="BO52" s="405"/>
      <c r="BP52" s="405"/>
      <c r="BQ52" s="405"/>
      <c r="BR52" s="406"/>
      <c r="BS52" s="398"/>
      <c r="BT52" s="399"/>
      <c r="BU52" s="399"/>
      <c r="BV52" s="400"/>
      <c r="BW52" s="443"/>
      <c r="BX52" s="399"/>
      <c r="BY52" s="399"/>
      <c r="BZ52" s="400"/>
      <c r="CA52" s="444" t="str">
        <f t="shared" si="48"/>
        <v>-</v>
      </c>
      <c r="CB52" s="444" t="str">
        <f t="shared" si="49"/>
        <v>-</v>
      </c>
      <c r="CC52" s="445" t="str">
        <f t="shared" si="50"/>
        <v>-</v>
      </c>
    </row>
    <row r="53" spans="1:85" ht="13.7" customHeight="1" thickBot="1">
      <c r="B53" s="25" t="s">
        <v>233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9"/>
      <c r="AB53" s="39"/>
      <c r="AC53" s="39"/>
      <c r="AD53" s="39"/>
      <c r="AE53" s="39"/>
      <c r="AF53" s="39"/>
      <c r="AG53" s="39"/>
      <c r="AH53" s="39"/>
      <c r="AT53" s="80"/>
      <c r="AU53" s="80"/>
      <c r="AV53" s="80"/>
      <c r="AW53" s="80"/>
      <c r="AX53" s="80"/>
      <c r="AY53" s="80"/>
      <c r="AZ53" s="80"/>
      <c r="BA53" s="80"/>
      <c r="BB53" s="80"/>
      <c r="BL53" s="404" t="s">
        <v>200</v>
      </c>
      <c r="BM53" s="405"/>
      <c r="BN53" s="405"/>
      <c r="BO53" s="405"/>
      <c r="BP53" s="405"/>
      <c r="BQ53" s="405"/>
      <c r="BR53" s="406"/>
      <c r="BS53" s="398"/>
      <c r="BT53" s="399"/>
      <c r="BU53" s="399"/>
      <c r="BV53" s="400"/>
      <c r="BW53" s="443"/>
      <c r="BX53" s="399"/>
      <c r="BY53" s="399"/>
      <c r="BZ53" s="400"/>
      <c r="CA53" s="444" t="str">
        <f t="shared" si="48"/>
        <v>-</v>
      </c>
      <c r="CB53" s="444" t="str">
        <f t="shared" si="49"/>
        <v>-</v>
      </c>
      <c r="CC53" s="445" t="str">
        <f t="shared" si="50"/>
        <v>-</v>
      </c>
    </row>
    <row r="54" spans="1:85" ht="13.7" customHeight="1">
      <c r="B54" s="194" t="s">
        <v>234</v>
      </c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194" t="s">
        <v>235</v>
      </c>
      <c r="N54" s="274"/>
      <c r="O54" s="274"/>
      <c r="P54" s="274"/>
      <c r="Q54" s="274"/>
      <c r="R54" s="274"/>
      <c r="S54" s="274"/>
      <c r="T54" s="274"/>
      <c r="U54" s="274"/>
      <c r="V54" s="274"/>
      <c r="W54" s="275"/>
      <c r="X54" s="194" t="s">
        <v>236</v>
      </c>
      <c r="Y54" s="274"/>
      <c r="Z54" s="274"/>
      <c r="AA54" s="274"/>
      <c r="AB54" s="274"/>
      <c r="AC54" s="274"/>
      <c r="AD54" s="274"/>
      <c r="AE54" s="274"/>
      <c r="AF54" s="274"/>
      <c r="AG54" s="274"/>
      <c r="AH54" s="275"/>
      <c r="AT54" s="80"/>
      <c r="AU54" s="80"/>
      <c r="AV54" s="80"/>
      <c r="AW54" s="80"/>
      <c r="AX54" s="80"/>
      <c r="AY54" s="80"/>
      <c r="AZ54" s="80"/>
      <c r="BA54" s="80"/>
      <c r="BB54" s="80"/>
      <c r="BL54" s="404" t="s">
        <v>201</v>
      </c>
      <c r="BM54" s="405"/>
      <c r="BN54" s="405"/>
      <c r="BO54" s="405"/>
      <c r="BP54" s="405"/>
      <c r="BQ54" s="405"/>
      <c r="BR54" s="406"/>
      <c r="BS54" s="398"/>
      <c r="BT54" s="399"/>
      <c r="BU54" s="399"/>
      <c r="BV54" s="400"/>
      <c r="BW54" s="443"/>
      <c r="BX54" s="399"/>
      <c r="BY54" s="399"/>
      <c r="BZ54" s="400"/>
      <c r="CA54" s="444" t="str">
        <f t="shared" si="48"/>
        <v>-</v>
      </c>
      <c r="CB54" s="444" t="str">
        <f t="shared" si="49"/>
        <v>-</v>
      </c>
      <c r="CC54" s="445" t="str">
        <f t="shared" si="50"/>
        <v>-</v>
      </c>
    </row>
    <row r="55" spans="1:85" s="53" customFormat="1" ht="13.7" customHeight="1" thickBot="1">
      <c r="A55" s="80"/>
      <c r="B55" s="198" t="str">
        <f>IF($B$1&lt;&gt;"",$B$1,"")</f>
        <v/>
      </c>
      <c r="C55" s="199"/>
      <c r="D55" s="199"/>
      <c r="E55" s="199"/>
      <c r="F55" s="200" t="str">
        <f>IF($B$1&lt;&gt;"",$B$1-1,"")</f>
        <v/>
      </c>
      <c r="G55" s="199"/>
      <c r="H55" s="199"/>
      <c r="I55" s="201"/>
      <c r="J55" s="202" t="s">
        <v>377</v>
      </c>
      <c r="K55" s="203"/>
      <c r="L55" s="204"/>
      <c r="M55" s="198" t="str">
        <f>IF($B$1&lt;&gt;"",$B$1,"")</f>
        <v/>
      </c>
      <c r="N55" s="199"/>
      <c r="O55" s="199"/>
      <c r="P55" s="199"/>
      <c r="Q55" s="200" t="str">
        <f>IF($B$1&lt;&gt;"",$B$1-1,"")</f>
        <v/>
      </c>
      <c r="R55" s="199"/>
      <c r="S55" s="199"/>
      <c r="T55" s="201"/>
      <c r="U55" s="202" t="s">
        <v>377</v>
      </c>
      <c r="V55" s="203"/>
      <c r="W55" s="204"/>
      <c r="X55" s="198" t="str">
        <f>IF($B$1&lt;&gt;"",$B$1,"")</f>
        <v/>
      </c>
      <c r="Y55" s="199"/>
      <c r="Z55" s="199"/>
      <c r="AA55" s="199"/>
      <c r="AB55" s="200" t="str">
        <f>IF($B$1&lt;&gt;"",$B$1-1,"")</f>
        <v/>
      </c>
      <c r="AC55" s="199"/>
      <c r="AD55" s="199"/>
      <c r="AE55" s="201"/>
      <c r="AF55" s="202" t="s">
        <v>378</v>
      </c>
      <c r="AG55" s="203"/>
      <c r="AH55" s="204"/>
      <c r="AT55" s="397"/>
      <c r="AU55" s="397"/>
      <c r="AV55" s="397"/>
      <c r="AW55" s="397"/>
      <c r="AX55" s="393"/>
      <c r="AY55" s="393"/>
      <c r="AZ55" s="393"/>
      <c r="BL55" s="404" t="s">
        <v>202</v>
      </c>
      <c r="BM55" s="405"/>
      <c r="BN55" s="405"/>
      <c r="BO55" s="405"/>
      <c r="BP55" s="405"/>
      <c r="BQ55" s="405"/>
      <c r="BR55" s="406"/>
      <c r="BS55" s="398"/>
      <c r="BT55" s="399"/>
      <c r="BU55" s="399"/>
      <c r="BV55" s="400"/>
      <c r="BW55" s="443"/>
      <c r="BX55" s="399"/>
      <c r="BY55" s="399"/>
      <c r="BZ55" s="400"/>
      <c r="CA55" s="444" t="str">
        <f t="shared" si="48"/>
        <v>-</v>
      </c>
      <c r="CB55" s="444" t="str">
        <f t="shared" si="49"/>
        <v>-</v>
      </c>
      <c r="CC55" s="445" t="str">
        <f t="shared" si="50"/>
        <v>-</v>
      </c>
      <c r="CD55" s="80"/>
      <c r="CE55" s="80"/>
      <c r="CF55" s="80"/>
    </row>
    <row r="56" spans="1:85" s="53" customFormat="1" ht="13.7" customHeight="1" thickBot="1">
      <c r="A56" s="80"/>
      <c r="B56" s="416"/>
      <c r="C56" s="417"/>
      <c r="D56" s="417"/>
      <c r="E56" s="418"/>
      <c r="F56" s="419"/>
      <c r="G56" s="419"/>
      <c r="H56" s="419"/>
      <c r="I56" s="419"/>
      <c r="J56" s="420" t="str">
        <f>IF(B56="-", "-", IF(F56="-", "-", IF(ABS(F56)=0, "-", ROUND(100*(B56-F56)/ABS(F56), 1))))</f>
        <v>-</v>
      </c>
      <c r="K56" s="420" t="str">
        <f>IF(G56="-", "-", IF(I56="-", "-", IF(ABS(I56)=0, "-", ROUND(100*(G56-I56)/ABS(I56), 1))))</f>
        <v>-</v>
      </c>
      <c r="L56" s="421" t="str">
        <f>IF(H56="-", "-", IF(J56="-", "-", IF(ABS(J56)=0, "-", ROUND(100*(H56-J56)/ABS(J56), 1))))</f>
        <v>-</v>
      </c>
      <c r="M56" s="416"/>
      <c r="N56" s="417"/>
      <c r="O56" s="417"/>
      <c r="P56" s="418"/>
      <c r="Q56" s="419"/>
      <c r="R56" s="419"/>
      <c r="S56" s="419"/>
      <c r="T56" s="419"/>
      <c r="U56" s="420" t="str">
        <f>IF(M56="-", "-", IF(Q56="-", "-", IF(ABS(Q56)=0, "-", ROUND(100*(M56-Q56)/ABS(Q56), 1))))</f>
        <v>-</v>
      </c>
      <c r="V56" s="420" t="str">
        <f>IF(R56="-", "-", IF(T56="-", "-", IF(ABS(T56)=0, "-", ROUND(100*(R56-T56)/ABS(T56), 1))))</f>
        <v>-</v>
      </c>
      <c r="W56" s="421" t="str">
        <f>IF(S56="-", "-", IF(U56="-", "-", IF(ABS(U56)=0, "-", ROUND(100*(S56-U56)/ABS(U56), 1))))</f>
        <v>-</v>
      </c>
      <c r="X56" s="422"/>
      <c r="Y56" s="423"/>
      <c r="Z56" s="423"/>
      <c r="AA56" s="424"/>
      <c r="AB56" s="420"/>
      <c r="AC56" s="420"/>
      <c r="AD56" s="420"/>
      <c r="AE56" s="420"/>
      <c r="AF56" s="420" t="str">
        <f>IF(X56="-", "-", IF(AB56="-", "-", IF(ABS(AB56)=0, "-", X56-AB56)))</f>
        <v>-</v>
      </c>
      <c r="AG56" s="420" t="str">
        <f>IF(AC56="-", "-", IF(AE56="-", "-", IF(ABS(AE56)=0, "-", ROUND(100*(AC56-AE56)/ABS(AE56), 1))))</f>
        <v>-</v>
      </c>
      <c r="AH56" s="421" t="str">
        <f>IF(AD56="-", "-", IF(AF56="-", "-", IF(ABS(AF56)=0, "-", ROUND(100*(AD56-AF56)/ABS(AF56), 1))))</f>
        <v>-</v>
      </c>
      <c r="AI56" s="80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392"/>
      <c r="AU56" s="392"/>
      <c r="AV56" s="392"/>
      <c r="AW56" s="392"/>
      <c r="AX56" s="393"/>
      <c r="AY56" s="393"/>
      <c r="AZ56" s="393"/>
      <c r="BL56" s="394" t="s">
        <v>191</v>
      </c>
      <c r="BM56" s="395"/>
      <c r="BN56" s="395"/>
      <c r="BO56" s="395"/>
      <c r="BP56" s="395"/>
      <c r="BQ56" s="395"/>
      <c r="BR56" s="396"/>
      <c r="BS56" s="437"/>
      <c r="BT56" s="438"/>
      <c r="BU56" s="438"/>
      <c r="BV56" s="439"/>
      <c r="BW56" s="440"/>
      <c r="BX56" s="438"/>
      <c r="BY56" s="438"/>
      <c r="BZ56" s="439"/>
      <c r="CA56" s="441" t="str">
        <f t="shared" si="48"/>
        <v>-</v>
      </c>
      <c r="CB56" s="441" t="str">
        <f t="shared" si="49"/>
        <v>-</v>
      </c>
      <c r="CC56" s="442" t="str">
        <f t="shared" si="50"/>
        <v>-</v>
      </c>
      <c r="CD56" s="80"/>
      <c r="CE56" s="80"/>
      <c r="CF56" s="80"/>
      <c r="CG56" s="80"/>
    </row>
  </sheetData>
  <mergeCells count="502">
    <mergeCell ref="AR4:AU4"/>
    <mergeCell ref="AW4:AZ4"/>
    <mergeCell ref="BB4:BE4"/>
    <mergeCell ref="BG4:BJ4"/>
    <mergeCell ref="BL4:BO4"/>
    <mergeCell ref="BQ4:BT4"/>
    <mergeCell ref="BV4:BY4"/>
    <mergeCell ref="CA4:CD4"/>
    <mergeCell ref="X13:AA13"/>
    <mergeCell ref="AI13:AL13"/>
    <mergeCell ref="BL13:BO13"/>
    <mergeCell ref="BA12:BD12"/>
    <mergeCell ref="BE12:BH12"/>
    <mergeCell ref="BI12:BK12"/>
    <mergeCell ref="BL12:BO12"/>
    <mergeCell ref="AB13:AD13"/>
    <mergeCell ref="AV13:AZ13"/>
    <mergeCell ref="AV12:AZ12"/>
    <mergeCell ref="AM13:AO13"/>
    <mergeCell ref="BI13:BK13"/>
    <mergeCell ref="BW9:BZ9"/>
    <mergeCell ref="X11:AA11"/>
    <mergeCell ref="AB11:AD11"/>
    <mergeCell ref="X10:AA10"/>
    <mergeCell ref="B3:F3"/>
    <mergeCell ref="G3:I3"/>
    <mergeCell ref="J3:P3"/>
    <mergeCell ref="Q3:U3"/>
    <mergeCell ref="V3:Z3"/>
    <mergeCell ref="G4:I4"/>
    <mergeCell ref="G5:I5"/>
    <mergeCell ref="AH4:AK4"/>
    <mergeCell ref="AM4:AP4"/>
    <mergeCell ref="V5:Z5"/>
    <mergeCell ref="N32:Q32"/>
    <mergeCell ref="R32:T32"/>
    <mergeCell ref="AF25:AP25"/>
    <mergeCell ref="J26:M26"/>
    <mergeCell ref="N26:Q26"/>
    <mergeCell ref="R26:T26"/>
    <mergeCell ref="AF26:AI26"/>
    <mergeCell ref="AJ26:AM26"/>
    <mergeCell ref="AN26:AP26"/>
    <mergeCell ref="J27:M27"/>
    <mergeCell ref="N27:Q27"/>
    <mergeCell ref="R27:T27"/>
    <mergeCell ref="AF27:AI27"/>
    <mergeCell ref="AJ27:AM27"/>
    <mergeCell ref="AN27:AP27"/>
    <mergeCell ref="J28:M28"/>
    <mergeCell ref="N28:Q28"/>
    <mergeCell ref="R28:T28"/>
    <mergeCell ref="AF28:AI28"/>
    <mergeCell ref="AJ29:AM29"/>
    <mergeCell ref="AN29:AP29"/>
    <mergeCell ref="J30:M30"/>
    <mergeCell ref="N30:Q30"/>
    <mergeCell ref="AF30:AI30"/>
    <mergeCell ref="N29:Q29"/>
    <mergeCell ref="R29:T29"/>
    <mergeCell ref="AF29:AI29"/>
    <mergeCell ref="AE12:AH12"/>
    <mergeCell ref="AI12:AL12"/>
    <mergeCell ref="B8:H9"/>
    <mergeCell ref="I8:S8"/>
    <mergeCell ref="T8:AD8"/>
    <mergeCell ref="AB9:AD9"/>
    <mergeCell ref="I10:L10"/>
    <mergeCell ref="M10:P10"/>
    <mergeCell ref="Q10:S10"/>
    <mergeCell ref="T10:W10"/>
    <mergeCell ref="I12:L12"/>
    <mergeCell ref="M12:P12"/>
    <mergeCell ref="Q12:S12"/>
    <mergeCell ref="I11:L11"/>
    <mergeCell ref="M11:P11"/>
    <mergeCell ref="Q11:S11"/>
    <mergeCell ref="T11:W11"/>
    <mergeCell ref="B14:H14"/>
    <mergeCell ref="I14:L14"/>
    <mergeCell ref="M13:P13"/>
    <mergeCell ref="AE13:AH13"/>
    <mergeCell ref="AJ30:AM30"/>
    <mergeCell ref="AN30:AP30"/>
    <mergeCell ref="X30:AD30"/>
    <mergeCell ref="AF31:AI31"/>
    <mergeCell ref="AJ31:AM31"/>
    <mergeCell ref="AN31:AP31"/>
    <mergeCell ref="BW29:BZ29"/>
    <mergeCell ref="AJ28:AM28"/>
    <mergeCell ref="AN28:AP28"/>
    <mergeCell ref="BW31:BZ31"/>
    <mergeCell ref="AT28:AZ28"/>
    <mergeCell ref="BA28:BD28"/>
    <mergeCell ref="BE28:BH28"/>
    <mergeCell ref="BI28:BK28"/>
    <mergeCell ref="BL28:BR28"/>
    <mergeCell ref="AT30:AZ30"/>
    <mergeCell ref="BA30:BD30"/>
    <mergeCell ref="BE30:BH30"/>
    <mergeCell ref="BI30:BK30"/>
    <mergeCell ref="BL30:BR30"/>
    <mergeCell ref="BS30:BV30"/>
    <mergeCell ref="BW30:BZ30"/>
    <mergeCell ref="I38:L38"/>
    <mergeCell ref="M38:P38"/>
    <mergeCell ref="Q38:S38"/>
    <mergeCell ref="B27:H27"/>
    <mergeCell ref="X27:AD27"/>
    <mergeCell ref="B28:H28"/>
    <mergeCell ref="X28:AD28"/>
    <mergeCell ref="B29:H29"/>
    <mergeCell ref="X29:AD29"/>
    <mergeCell ref="B30:H30"/>
    <mergeCell ref="B38:H38"/>
    <mergeCell ref="I37:L37"/>
    <mergeCell ref="Q36:S36"/>
    <mergeCell ref="M36:P36"/>
    <mergeCell ref="I36:L36"/>
    <mergeCell ref="B37:H37"/>
    <mergeCell ref="B36:H36"/>
    <mergeCell ref="B32:H32"/>
    <mergeCell ref="B31:H31"/>
    <mergeCell ref="J31:M31"/>
    <mergeCell ref="N31:Q31"/>
    <mergeCell ref="R31:T31"/>
    <mergeCell ref="R30:T30"/>
    <mergeCell ref="J32:M32"/>
    <mergeCell ref="AT32:AZ32"/>
    <mergeCell ref="BA32:BD32"/>
    <mergeCell ref="BL31:BR31"/>
    <mergeCell ref="BS31:BV31"/>
    <mergeCell ref="BL32:BR32"/>
    <mergeCell ref="BS32:BV32"/>
    <mergeCell ref="AT31:AZ31"/>
    <mergeCell ref="BA31:BD31"/>
    <mergeCell ref="BE31:BH31"/>
    <mergeCell ref="BI31:BK31"/>
    <mergeCell ref="BE32:BH32"/>
    <mergeCell ref="BI32:BK32"/>
    <mergeCell ref="BE26:BH26"/>
    <mergeCell ref="BI26:BK26"/>
    <mergeCell ref="BL26:BR26"/>
    <mergeCell ref="BS26:BV26"/>
    <mergeCell ref="BW26:BZ26"/>
    <mergeCell ref="CA30:CC30"/>
    <mergeCell ref="AT29:AZ29"/>
    <mergeCell ref="BA29:BD29"/>
    <mergeCell ref="BE29:BH29"/>
    <mergeCell ref="BI29:BK29"/>
    <mergeCell ref="BL29:BR29"/>
    <mergeCell ref="BS29:BV29"/>
    <mergeCell ref="AT27:AZ27"/>
    <mergeCell ref="BA27:BD27"/>
    <mergeCell ref="BE27:BH27"/>
    <mergeCell ref="BI27:BK27"/>
    <mergeCell ref="BL27:BR27"/>
    <mergeCell ref="BS27:BV27"/>
    <mergeCell ref="CA27:CC27"/>
    <mergeCell ref="CA28:CC28"/>
    <mergeCell ref="BI22:BK22"/>
    <mergeCell ref="AT23:AZ23"/>
    <mergeCell ref="CA26:CC26"/>
    <mergeCell ref="BA25:BD25"/>
    <mergeCell ref="BE25:BH25"/>
    <mergeCell ref="BI25:BK25"/>
    <mergeCell ref="BL25:BR25"/>
    <mergeCell ref="BS25:BV25"/>
    <mergeCell ref="BW25:BZ25"/>
    <mergeCell ref="AT25:AZ25"/>
    <mergeCell ref="AT24:AZ24"/>
    <mergeCell ref="CA24:CC24"/>
    <mergeCell ref="BA24:BD24"/>
    <mergeCell ref="BE24:BH24"/>
    <mergeCell ref="BL24:BR24"/>
    <mergeCell ref="BA23:BD23"/>
    <mergeCell ref="BE23:BH23"/>
    <mergeCell ref="BA22:BD22"/>
    <mergeCell ref="BE22:BH22"/>
    <mergeCell ref="CA25:CC25"/>
    <mergeCell ref="BS24:BV24"/>
    <mergeCell ref="BI24:BK24"/>
    <mergeCell ref="AT26:AZ26"/>
    <mergeCell ref="BA26:BD26"/>
    <mergeCell ref="B19:H19"/>
    <mergeCell ref="I19:L19"/>
    <mergeCell ref="M19:P19"/>
    <mergeCell ref="Q19:S19"/>
    <mergeCell ref="B20:H20"/>
    <mergeCell ref="I20:L20"/>
    <mergeCell ref="M20:P20"/>
    <mergeCell ref="Q20:S20"/>
    <mergeCell ref="M21:P21"/>
    <mergeCell ref="Q21:S21"/>
    <mergeCell ref="I21:L21"/>
    <mergeCell ref="CE16:CG16"/>
    <mergeCell ref="BW14:BZ14"/>
    <mergeCell ref="CA14:CD14"/>
    <mergeCell ref="CE14:CG14"/>
    <mergeCell ref="BW15:BZ15"/>
    <mergeCell ref="CA15:CD15"/>
    <mergeCell ref="BL15:BO15"/>
    <mergeCell ref="CE17:CG17"/>
    <mergeCell ref="AT21:AZ21"/>
    <mergeCell ref="BA21:BD21"/>
    <mergeCell ref="BE21:BH21"/>
    <mergeCell ref="BI21:BK21"/>
    <mergeCell ref="BL21:BR21"/>
    <mergeCell ref="BS21:BV21"/>
    <mergeCell ref="BW21:BZ21"/>
    <mergeCell ref="CA21:CC21"/>
    <mergeCell ref="BE17:BH17"/>
    <mergeCell ref="BI17:BK17"/>
    <mergeCell ref="BL17:BO17"/>
    <mergeCell ref="BP17:BS17"/>
    <mergeCell ref="BT17:BV17"/>
    <mergeCell ref="BW17:BZ17"/>
    <mergeCell ref="AT17:AZ17"/>
    <mergeCell ref="BA17:BD17"/>
    <mergeCell ref="CE13:CG13"/>
    <mergeCell ref="BW12:BZ12"/>
    <mergeCell ref="BP13:BS13"/>
    <mergeCell ref="BT13:BV13"/>
    <mergeCell ref="BW13:BZ13"/>
    <mergeCell ref="CA13:CD13"/>
    <mergeCell ref="CE15:CG15"/>
    <mergeCell ref="CE12:CG12"/>
    <mergeCell ref="BP15:BS15"/>
    <mergeCell ref="BT15:BV15"/>
    <mergeCell ref="CA12:CD12"/>
    <mergeCell ref="BT12:BV12"/>
    <mergeCell ref="BP12:BS12"/>
    <mergeCell ref="BT14:BV14"/>
    <mergeCell ref="CE10:CG10"/>
    <mergeCell ref="BP10:BS10"/>
    <mergeCell ref="BP11:BS11"/>
    <mergeCell ref="BW11:BZ11"/>
    <mergeCell ref="CA11:CD11"/>
    <mergeCell ref="CE11:CG11"/>
    <mergeCell ref="BW10:BZ10"/>
    <mergeCell ref="AV11:AZ11"/>
    <mergeCell ref="BA11:BD11"/>
    <mergeCell ref="BE11:BH11"/>
    <mergeCell ref="BI11:BK11"/>
    <mergeCell ref="BL11:BO11"/>
    <mergeCell ref="AV10:AZ10"/>
    <mergeCell ref="BA10:BD10"/>
    <mergeCell ref="BE10:BH10"/>
    <mergeCell ref="BI10:BK10"/>
    <mergeCell ref="BL10:BO10"/>
    <mergeCell ref="BT10:BV10"/>
    <mergeCell ref="BT11:BV11"/>
    <mergeCell ref="CA10:CD10"/>
    <mergeCell ref="BI14:BK14"/>
    <mergeCell ref="BE15:BH15"/>
    <mergeCell ref="BI15:BK15"/>
    <mergeCell ref="AE10:AH10"/>
    <mergeCell ref="AI10:AL10"/>
    <mergeCell ref="AM10:AO10"/>
    <mergeCell ref="AT10:AU13"/>
    <mergeCell ref="AM12:AO12"/>
    <mergeCell ref="AV15:AZ15"/>
    <mergeCell ref="BA15:BD15"/>
    <mergeCell ref="AE14:AH14"/>
    <mergeCell ref="AI14:AL14"/>
    <mergeCell ref="AM14:AO14"/>
    <mergeCell ref="BA13:BD13"/>
    <mergeCell ref="BE13:BH13"/>
    <mergeCell ref="AV14:AZ14"/>
    <mergeCell ref="BA14:BD14"/>
    <mergeCell ref="BE14:BH14"/>
    <mergeCell ref="AT14:AU16"/>
    <mergeCell ref="AV16:AZ16"/>
    <mergeCell ref="BA16:BD16"/>
    <mergeCell ref="AM11:AO11"/>
    <mergeCell ref="AE11:AH11"/>
    <mergeCell ref="AI11:AL11"/>
    <mergeCell ref="AB10:AD10"/>
    <mergeCell ref="AE9:AH9"/>
    <mergeCell ref="AI9:AL9"/>
    <mergeCell ref="AM9:AO9"/>
    <mergeCell ref="V4:Z4"/>
    <mergeCell ref="B5:F5"/>
    <mergeCell ref="J5:P5"/>
    <mergeCell ref="Q5:U5"/>
    <mergeCell ref="AB4:AF4"/>
    <mergeCell ref="I9:L9"/>
    <mergeCell ref="M9:P9"/>
    <mergeCell ref="Q9:S9"/>
    <mergeCell ref="T9:W9"/>
    <mergeCell ref="X9:AA9"/>
    <mergeCell ref="M14:P14"/>
    <mergeCell ref="Q14:S14"/>
    <mergeCell ref="T14:W14"/>
    <mergeCell ref="B21:H21"/>
    <mergeCell ref="X14:AA14"/>
    <mergeCell ref="CE1:CH1"/>
    <mergeCell ref="CE2:CH2"/>
    <mergeCell ref="B1:D1"/>
    <mergeCell ref="AE8:AO8"/>
    <mergeCell ref="AT8:AZ9"/>
    <mergeCell ref="BA8:BK8"/>
    <mergeCell ref="BL8:BV8"/>
    <mergeCell ref="BW8:CG8"/>
    <mergeCell ref="CA9:CD9"/>
    <mergeCell ref="CE9:CG9"/>
    <mergeCell ref="BA9:BD9"/>
    <mergeCell ref="BE9:BH9"/>
    <mergeCell ref="BI9:BK9"/>
    <mergeCell ref="BL9:BO9"/>
    <mergeCell ref="BP9:BS9"/>
    <mergeCell ref="BT9:BV9"/>
    <mergeCell ref="B4:F4"/>
    <mergeCell ref="J4:P4"/>
    <mergeCell ref="Q4:U4"/>
    <mergeCell ref="BL46:BR46"/>
    <mergeCell ref="BL47:BR47"/>
    <mergeCell ref="BL48:BR48"/>
    <mergeCell ref="BL49:BR49"/>
    <mergeCell ref="X49:AA49"/>
    <mergeCell ref="T12:W12"/>
    <mergeCell ref="B10:H10"/>
    <mergeCell ref="B11:H11"/>
    <mergeCell ref="B12:H12"/>
    <mergeCell ref="B25:I26"/>
    <mergeCell ref="J25:T25"/>
    <mergeCell ref="X25:AE26"/>
    <mergeCell ref="X31:AD31"/>
    <mergeCell ref="J29:M29"/>
    <mergeCell ref="X12:AA12"/>
    <mergeCell ref="AB12:AD12"/>
    <mergeCell ref="I13:L13"/>
    <mergeCell ref="Q13:S13"/>
    <mergeCell ref="T13:W13"/>
    <mergeCell ref="B18:H18"/>
    <mergeCell ref="I18:L18"/>
    <mergeCell ref="M18:P18"/>
    <mergeCell ref="Q18:S18"/>
    <mergeCell ref="B13:H13"/>
    <mergeCell ref="X50:AA50"/>
    <mergeCell ref="AB50:AE50"/>
    <mergeCell ref="AF50:AH50"/>
    <mergeCell ref="AB45:AE45"/>
    <mergeCell ref="AF45:AH45"/>
    <mergeCell ref="M37:P37"/>
    <mergeCell ref="BL52:BR52"/>
    <mergeCell ref="AI41:AL41"/>
    <mergeCell ref="AM41:AO41"/>
    <mergeCell ref="AI42:AL42"/>
    <mergeCell ref="AM42:AO42"/>
    <mergeCell ref="AT45:AZ45"/>
    <mergeCell ref="BA45:BD45"/>
    <mergeCell ref="BE45:BH45"/>
    <mergeCell ref="AT46:AZ46"/>
    <mergeCell ref="AI50:AL50"/>
    <mergeCell ref="AM50:AP50"/>
    <mergeCell ref="AQ50:AS50"/>
    <mergeCell ref="M48:W48"/>
    <mergeCell ref="X48:AH48"/>
    <mergeCell ref="AI48:AS48"/>
    <mergeCell ref="AI49:AL49"/>
    <mergeCell ref="AM49:AP49"/>
    <mergeCell ref="AQ49:AS49"/>
    <mergeCell ref="J55:L55"/>
    <mergeCell ref="M55:P55"/>
    <mergeCell ref="Q55:T55"/>
    <mergeCell ref="B49:E49"/>
    <mergeCell ref="F49:I49"/>
    <mergeCell ref="Q37:S37"/>
    <mergeCell ref="CA49:CC49"/>
    <mergeCell ref="BS50:BV50"/>
    <mergeCell ref="BW50:BZ50"/>
    <mergeCell ref="CA50:CC50"/>
    <mergeCell ref="BL50:BR50"/>
    <mergeCell ref="BS47:BV47"/>
    <mergeCell ref="BS48:BV48"/>
    <mergeCell ref="BW47:BZ47"/>
    <mergeCell ref="CA47:CC47"/>
    <mergeCell ref="X43:AH43"/>
    <mergeCell ref="CA46:CC46"/>
    <mergeCell ref="X44:AA44"/>
    <mergeCell ref="AB44:AE44"/>
    <mergeCell ref="AF44:AH44"/>
    <mergeCell ref="AB49:AE49"/>
    <mergeCell ref="AF49:AH49"/>
    <mergeCell ref="BW48:BZ48"/>
    <mergeCell ref="CA48:CC48"/>
    <mergeCell ref="F50:I50"/>
    <mergeCell ref="J50:L50"/>
    <mergeCell ref="M50:P50"/>
    <mergeCell ref="Q50:T50"/>
    <mergeCell ref="U50:W50"/>
    <mergeCell ref="M54:W54"/>
    <mergeCell ref="B55:E55"/>
    <mergeCell ref="B43:L43"/>
    <mergeCell ref="M43:W43"/>
    <mergeCell ref="B48:L48"/>
    <mergeCell ref="U49:W49"/>
    <mergeCell ref="B44:E44"/>
    <mergeCell ref="F44:I44"/>
    <mergeCell ref="J44:L44"/>
    <mergeCell ref="M44:P44"/>
    <mergeCell ref="Q44:T44"/>
    <mergeCell ref="U44:W44"/>
    <mergeCell ref="B45:E45"/>
    <mergeCell ref="F45:I45"/>
    <mergeCell ref="J45:L45"/>
    <mergeCell ref="M45:P45"/>
    <mergeCell ref="Q45:T45"/>
    <mergeCell ref="U45:W45"/>
    <mergeCell ref="F55:I55"/>
    <mergeCell ref="B54:L54"/>
    <mergeCell ref="BW55:BZ55"/>
    <mergeCell ref="BS46:BV46"/>
    <mergeCell ref="BW46:BZ46"/>
    <mergeCell ref="BS49:BV49"/>
    <mergeCell ref="BW49:BZ49"/>
    <mergeCell ref="BW16:BZ16"/>
    <mergeCell ref="BL23:BR23"/>
    <mergeCell ref="BS23:BV23"/>
    <mergeCell ref="BW23:BZ23"/>
    <mergeCell ref="BL22:BR22"/>
    <mergeCell ref="BS22:BV22"/>
    <mergeCell ref="BW22:BZ22"/>
    <mergeCell ref="BT16:BV16"/>
    <mergeCell ref="BW24:BZ24"/>
    <mergeCell ref="BS28:BV28"/>
    <mergeCell ref="BW28:BZ28"/>
    <mergeCell ref="BL55:BR55"/>
    <mergeCell ref="BL54:BR54"/>
    <mergeCell ref="BW27:BZ27"/>
    <mergeCell ref="J49:L49"/>
    <mergeCell ref="M49:P49"/>
    <mergeCell ref="Q49:T49"/>
    <mergeCell ref="B50:E50"/>
    <mergeCell ref="CA32:CC32"/>
    <mergeCell ref="CA16:CD16"/>
    <mergeCell ref="CA17:CD17"/>
    <mergeCell ref="CA23:CC23"/>
    <mergeCell ref="CA22:CC22"/>
    <mergeCell ref="CA29:CC29"/>
    <mergeCell ref="CA31:CC31"/>
    <mergeCell ref="BW32:BZ32"/>
    <mergeCell ref="BS56:BV56"/>
    <mergeCell ref="BW56:BZ56"/>
    <mergeCell ref="CA56:CC56"/>
    <mergeCell ref="BW51:BZ51"/>
    <mergeCell ref="CA51:CC51"/>
    <mergeCell ref="CA55:CC55"/>
    <mergeCell ref="CA52:CC52"/>
    <mergeCell ref="BS53:BV53"/>
    <mergeCell ref="BW53:BZ53"/>
    <mergeCell ref="CA53:CC53"/>
    <mergeCell ref="BS52:BV52"/>
    <mergeCell ref="BW52:BZ52"/>
    <mergeCell ref="BS54:BV54"/>
    <mergeCell ref="BW54:BZ54"/>
    <mergeCell ref="CA54:CC54"/>
    <mergeCell ref="BP16:BS16"/>
    <mergeCell ref="B56:E56"/>
    <mergeCell ref="F56:I56"/>
    <mergeCell ref="J56:L56"/>
    <mergeCell ref="M56:P56"/>
    <mergeCell ref="Q56:T56"/>
    <mergeCell ref="U56:W56"/>
    <mergeCell ref="X56:AA56"/>
    <mergeCell ref="AB56:AE56"/>
    <mergeCell ref="AF56:AH56"/>
    <mergeCell ref="AT56:AW56"/>
    <mergeCell ref="AX56:AZ56"/>
    <mergeCell ref="BL56:BR56"/>
    <mergeCell ref="U55:W55"/>
    <mergeCell ref="X55:AA55"/>
    <mergeCell ref="AB55:AE55"/>
    <mergeCell ref="AF55:AH55"/>
    <mergeCell ref="AT55:AW55"/>
    <mergeCell ref="BP3:BT3"/>
    <mergeCell ref="BS51:BV51"/>
    <mergeCell ref="AB14:AD14"/>
    <mergeCell ref="AT22:AZ22"/>
    <mergeCell ref="BL53:BR53"/>
    <mergeCell ref="BL51:BR51"/>
    <mergeCell ref="BE16:BH16"/>
    <mergeCell ref="BL16:BO16"/>
    <mergeCell ref="BL14:BO14"/>
    <mergeCell ref="BP14:BS14"/>
    <mergeCell ref="BI16:BK16"/>
    <mergeCell ref="BS55:BV55"/>
    <mergeCell ref="BI23:BK23"/>
    <mergeCell ref="AX55:AZ55"/>
    <mergeCell ref="X54:AH54"/>
    <mergeCell ref="X45:AA45"/>
    <mergeCell ref="BU3:BY3"/>
    <mergeCell ref="BZ3:CD3"/>
    <mergeCell ref="AB3:AF3"/>
    <mergeCell ref="AG3:AK3"/>
    <mergeCell ref="AL3:AP3"/>
    <mergeCell ref="AQ3:AU3"/>
    <mergeCell ref="AV3:AZ3"/>
    <mergeCell ref="BA3:BE3"/>
    <mergeCell ref="BF3:BJ3"/>
    <mergeCell ref="BK3:BO3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69" orientation="landscape" r:id="rId1"/>
  <headerFooter alignWithMargins="0"/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U62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0"/>
  </cols>
  <sheetData>
    <row r="1" spans="1:125" s="80" customFormat="1" ht="13.7" customHeight="1">
      <c r="A1" s="146"/>
      <c r="B1" s="147" t="str">
        <f>AB4</f>
        <v/>
      </c>
      <c r="C1" s="147"/>
      <c r="D1" s="147"/>
      <c r="E1" s="23" t="s">
        <v>279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31"/>
      <c r="AG1" s="93"/>
      <c r="AH1" s="93"/>
      <c r="AI1" s="93"/>
      <c r="AJ1" s="93"/>
      <c r="AK1" s="93"/>
      <c r="AL1" s="93"/>
      <c r="AM1" s="93"/>
      <c r="AN1" s="93"/>
      <c r="AO1" s="93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C1" s="53"/>
      <c r="CE1" s="159"/>
      <c r="CF1" s="160"/>
      <c r="CG1" s="160"/>
      <c r="CH1" s="160"/>
    </row>
    <row r="2" spans="1:125" s="71" customFormat="1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BI2" s="39"/>
      <c r="BJ2" s="39"/>
      <c r="BK2" s="39"/>
      <c r="CB2" s="72"/>
      <c r="CC2" s="39"/>
      <c r="CD2" s="72"/>
      <c r="CE2" s="159"/>
      <c r="CF2" s="627"/>
      <c r="CG2" s="627"/>
      <c r="CH2" s="627"/>
    </row>
    <row r="3" spans="1:125" s="80" customFormat="1" ht="13.7" customHeight="1">
      <c r="B3" s="173"/>
      <c r="C3" s="174"/>
      <c r="D3" s="174"/>
      <c r="E3" s="174"/>
      <c r="F3" s="175"/>
      <c r="G3" s="176" t="s">
        <v>260</v>
      </c>
      <c r="H3" s="177"/>
      <c r="I3" s="178"/>
      <c r="J3" s="179" t="s">
        <v>261</v>
      </c>
      <c r="K3" s="180"/>
      <c r="L3" s="180"/>
      <c r="M3" s="180"/>
      <c r="N3" s="180"/>
      <c r="O3" s="180"/>
      <c r="P3" s="181"/>
      <c r="Q3" s="176" t="s">
        <v>262</v>
      </c>
      <c r="R3" s="177"/>
      <c r="S3" s="177"/>
      <c r="T3" s="177"/>
      <c r="U3" s="177"/>
      <c r="V3" s="179" t="s">
        <v>263</v>
      </c>
      <c r="W3" s="180"/>
      <c r="X3" s="180"/>
      <c r="Y3" s="180"/>
      <c r="Z3" s="182"/>
      <c r="AA3" s="93"/>
      <c r="AB3" s="172" t="s">
        <v>269</v>
      </c>
      <c r="AC3" s="149"/>
      <c r="AD3" s="149"/>
      <c r="AE3" s="149"/>
      <c r="AF3" s="149"/>
      <c r="AG3" s="148" t="s">
        <v>258</v>
      </c>
      <c r="AH3" s="149"/>
      <c r="AI3" s="149"/>
      <c r="AJ3" s="149"/>
      <c r="AK3" s="154"/>
      <c r="AL3" s="148" t="s">
        <v>270</v>
      </c>
      <c r="AM3" s="149"/>
      <c r="AN3" s="149"/>
      <c r="AO3" s="149"/>
      <c r="AP3" s="149"/>
      <c r="AQ3" s="148" t="s">
        <v>271</v>
      </c>
      <c r="AR3" s="149"/>
      <c r="AS3" s="149"/>
      <c r="AT3" s="149"/>
      <c r="AU3" s="149"/>
      <c r="AV3" s="148" t="s">
        <v>272</v>
      </c>
      <c r="AW3" s="149"/>
      <c r="AX3" s="149"/>
      <c r="AY3" s="149"/>
      <c r="AZ3" s="149"/>
      <c r="BA3" s="148" t="s">
        <v>1</v>
      </c>
      <c r="BB3" s="149"/>
      <c r="BC3" s="149"/>
      <c r="BD3" s="149"/>
      <c r="BE3" s="149"/>
      <c r="BF3" s="148" t="s">
        <v>273</v>
      </c>
      <c r="BG3" s="149"/>
      <c r="BH3" s="149"/>
      <c r="BI3" s="149"/>
      <c r="BJ3" s="149"/>
      <c r="BK3" s="148" t="s">
        <v>259</v>
      </c>
      <c r="BL3" s="149"/>
      <c r="BM3" s="149"/>
      <c r="BN3" s="149"/>
      <c r="BO3" s="149"/>
      <c r="BP3" s="148" t="s">
        <v>274</v>
      </c>
      <c r="BQ3" s="149"/>
      <c r="BR3" s="149"/>
      <c r="BS3" s="149"/>
      <c r="BT3" s="154"/>
      <c r="BU3" s="148" t="s">
        <v>275</v>
      </c>
      <c r="BV3" s="149"/>
      <c r="BW3" s="149"/>
      <c r="BX3" s="149"/>
      <c r="BY3" s="149"/>
      <c r="BZ3" s="148" t="s">
        <v>276</v>
      </c>
      <c r="CA3" s="149"/>
      <c r="CB3" s="149"/>
      <c r="CC3" s="149"/>
      <c r="CD3" s="155"/>
    </row>
    <row r="4" spans="1:125" s="80" customFormat="1" ht="13.7" customHeight="1" thickBot="1">
      <c r="B4" s="183" t="s">
        <v>268</v>
      </c>
      <c r="C4" s="184"/>
      <c r="D4" s="184"/>
      <c r="E4" s="184"/>
      <c r="F4" s="185"/>
      <c r="G4" s="186" t="str">
        <f>IF(No.1!G4="","",No.1!G4)</f>
        <v/>
      </c>
      <c r="H4" s="187" t="str">
        <f>IF(No.1!H4="","",No.1!H4)</f>
        <v/>
      </c>
      <c r="I4" s="188" t="str">
        <f>IF(No.1!I4="","",No.1!I4)</f>
        <v/>
      </c>
      <c r="J4" s="186" t="str">
        <f>IF(No.1!J4="","",No.1!J4)</f>
        <v/>
      </c>
      <c r="K4" s="187" t="str">
        <f>IF(No.1!K4="","",No.1!K4)</f>
        <v/>
      </c>
      <c r="L4" s="187" t="str">
        <f>IF(No.1!L4="","",No.1!L4)</f>
        <v/>
      </c>
      <c r="M4" s="187" t="str">
        <f>IF(No.1!M4="","",No.1!M4)</f>
        <v/>
      </c>
      <c r="N4" s="187" t="str">
        <f>IF(No.1!N4="","",No.1!N4)</f>
        <v/>
      </c>
      <c r="O4" s="187" t="str">
        <f>IF(No.1!O4="","",No.1!O4)</f>
        <v/>
      </c>
      <c r="P4" s="188" t="str">
        <f>IF(No.1!P4="","",No.1!P4)</f>
        <v/>
      </c>
      <c r="Q4" s="189" t="str">
        <f>IF(No.1!Q4="","",No.1!Q4)</f>
        <v/>
      </c>
      <c r="R4" s="190" t="str">
        <f>IF(No.1!R4="","",No.1!R4)</f>
        <v/>
      </c>
      <c r="S4" s="190" t="str">
        <f>IF(No.1!S4="","",No.1!S4)</f>
        <v/>
      </c>
      <c r="T4" s="190" t="str">
        <f>IF(No.1!T4="","",No.1!T4)</f>
        <v/>
      </c>
      <c r="U4" s="190" t="str">
        <f>IF(No.1!U4="","",No.1!U4)</f>
        <v/>
      </c>
      <c r="V4" s="191" t="str">
        <f>IF(No.1!V4="","",No.1!V4)</f>
        <v/>
      </c>
      <c r="W4" s="192" t="str">
        <f>IF(No.1!W4="","",No.1!W4)</f>
        <v/>
      </c>
      <c r="X4" s="192" t="str">
        <f>IF(No.1!X4="","",No.1!X4)</f>
        <v/>
      </c>
      <c r="Y4" s="192" t="str">
        <f>IF(No.1!Y4="","",No.1!Y4)</f>
        <v/>
      </c>
      <c r="Z4" s="193" t="str">
        <f>IF(No.1!Z4="","",No.1!Z4)</f>
        <v/>
      </c>
      <c r="AA4" s="93"/>
      <c r="AB4" s="150" t="str">
        <f>IF(No.1!AB4="","",No.1!AB4)</f>
        <v/>
      </c>
      <c r="AC4" s="151" t="str">
        <f>IF(No.1!AC4="","",No.1!AC4)</f>
        <v/>
      </c>
      <c r="AD4" s="151" t="str">
        <f>IF(No.1!AD4="","",No.1!AD4)</f>
        <v/>
      </c>
      <c r="AE4" s="151" t="str">
        <f>IF(No.1!AE4="","",No.1!AE4)</f>
        <v/>
      </c>
      <c r="AF4" s="152" t="str">
        <f>IF(No.1!AF4="","",No.1!AF4)</f>
        <v/>
      </c>
      <c r="AG4" s="125" t="str">
        <f>IF(No.1!AG4="","",No.1!AG4)</f>
        <v/>
      </c>
      <c r="AH4" s="156" t="str">
        <f>IF(No.1!AH4="","",No.1!AH4)</f>
        <v/>
      </c>
      <c r="AI4" s="156" t="str">
        <f>IF(No.1!AI4="","",No.1!AI4)</f>
        <v/>
      </c>
      <c r="AJ4" s="156" t="str">
        <f>IF(No.1!AJ4="","",No.1!AJ4)</f>
        <v/>
      </c>
      <c r="AK4" s="157" t="str">
        <f>IF(No.1!AK4="","",No.1!AK4)</f>
        <v/>
      </c>
      <c r="AL4" s="126" t="str">
        <f>IF(No.1!AL4="","",No.1!AL4)</f>
        <v/>
      </c>
      <c r="AM4" s="156" t="str">
        <f>IF(No.1!AM4="","",No.1!AM4)</f>
        <v/>
      </c>
      <c r="AN4" s="156" t="str">
        <f>IF(No.1!AN4="","",No.1!AN4)</f>
        <v/>
      </c>
      <c r="AO4" s="156" t="str">
        <f>IF(No.1!AO4="","",No.1!AO4)</f>
        <v/>
      </c>
      <c r="AP4" s="157" t="str">
        <f>IF(No.1!AP4="","",No.1!AP4)</f>
        <v/>
      </c>
      <c r="AQ4" s="125" t="str">
        <f>IF(No.1!AQ4="","",No.1!AQ4)</f>
        <v/>
      </c>
      <c r="AR4" s="156" t="str">
        <f>IF(No.1!AR4="","",No.1!AR4)</f>
        <v/>
      </c>
      <c r="AS4" s="156" t="str">
        <f>IF(No.1!AS4="","",No.1!AS4)</f>
        <v/>
      </c>
      <c r="AT4" s="156" t="str">
        <f>IF(No.1!AT4="","",No.1!AT4)</f>
        <v/>
      </c>
      <c r="AU4" s="157" t="str">
        <f>IF(No.1!AU4="","",No.1!AU4)</f>
        <v/>
      </c>
      <c r="AV4" s="125" t="str">
        <f>IF(No.1!AV4="","",No.1!AV4)</f>
        <v/>
      </c>
      <c r="AW4" s="156" t="str">
        <f>IF(No.1!AW4="","",No.1!AW4)</f>
        <v/>
      </c>
      <c r="AX4" s="156" t="str">
        <f>IF(No.1!AX4="","",No.1!AX4)</f>
        <v/>
      </c>
      <c r="AY4" s="156" t="str">
        <f>IF(No.1!AY4="","",No.1!AY4)</f>
        <v/>
      </c>
      <c r="AZ4" s="157" t="str">
        <f>IF(No.1!AZ4="","",No.1!AZ4)</f>
        <v/>
      </c>
      <c r="BA4" s="126" t="str">
        <f>IF(No.1!BA4="","",No.1!BA4)</f>
        <v/>
      </c>
      <c r="BB4" s="156" t="str">
        <f>IF(No.1!BB4="","",No.1!BB4)</f>
        <v/>
      </c>
      <c r="BC4" s="156" t="str">
        <f>IF(No.1!BC4="","",No.1!BC4)</f>
        <v/>
      </c>
      <c r="BD4" s="156" t="str">
        <f>IF(No.1!BD4="","",No.1!BD4)</f>
        <v/>
      </c>
      <c r="BE4" s="157" t="str">
        <f>IF(No.1!BE4="","",No.1!BE4)</f>
        <v/>
      </c>
      <c r="BF4" s="127" t="str">
        <f>IF(No.1!BF4="","",No.1!BF4)</f>
        <v/>
      </c>
      <c r="BG4" s="156" t="str">
        <f>IF(No.1!BG4="","",No.1!BG4)</f>
        <v/>
      </c>
      <c r="BH4" s="156" t="str">
        <f>IF(No.1!BH4="","",No.1!BH4)</f>
        <v/>
      </c>
      <c r="BI4" s="156" t="str">
        <f>IF(No.1!BI4="","",No.1!BI4)</f>
        <v/>
      </c>
      <c r="BJ4" s="157" t="str">
        <f>IF(No.1!BJ4="","",No.1!BJ4)</f>
        <v/>
      </c>
      <c r="BK4" s="127" t="str">
        <f>IF(No.1!BK4="","",No.1!BK4)</f>
        <v/>
      </c>
      <c r="BL4" s="156" t="str">
        <f>IF(No.1!BL4="","",No.1!BL4)</f>
        <v/>
      </c>
      <c r="BM4" s="156" t="str">
        <f>IF(No.1!BM4="","",No.1!BM4)</f>
        <v/>
      </c>
      <c r="BN4" s="156" t="str">
        <f>IF(No.1!BN4="","",No.1!BN4)</f>
        <v/>
      </c>
      <c r="BO4" s="157" t="str">
        <f>IF(No.1!BO4="","",No.1!BO4)</f>
        <v/>
      </c>
      <c r="BP4" s="128" t="str">
        <f>IF(No.1!BP4="","",No.1!BP4)</f>
        <v/>
      </c>
      <c r="BQ4" s="156" t="str">
        <f>IF(No.1!BQ4="","",No.1!BQ4)</f>
        <v/>
      </c>
      <c r="BR4" s="156" t="str">
        <f>IF(No.1!BR4="","",No.1!BR4)</f>
        <v/>
      </c>
      <c r="BS4" s="156" t="str">
        <f>IF(No.1!BS4="","",No.1!BS4)</f>
        <v/>
      </c>
      <c r="BT4" s="157" t="str">
        <f>IF(No.1!BT4="","",No.1!BT4)</f>
        <v/>
      </c>
      <c r="BU4" s="127" t="str">
        <f>IF(No.1!BU4="","",No.1!BU4)</f>
        <v/>
      </c>
      <c r="BV4" s="156" t="str">
        <f>IF(No.1!BV4="","",No.1!BV4)</f>
        <v/>
      </c>
      <c r="BW4" s="156" t="str">
        <f>IF(No.1!BW4="","",No.1!BW4)</f>
        <v/>
      </c>
      <c r="BX4" s="156" t="str">
        <f>IF(No.1!BX4="","",No.1!BX4)</f>
        <v/>
      </c>
      <c r="BY4" s="157" t="str">
        <f>IF(No.1!BY4="","",No.1!BY4)</f>
        <v/>
      </c>
      <c r="BZ4" s="127" t="str">
        <f>IF(No.1!BZ4="","",No.1!BZ4)</f>
        <v/>
      </c>
      <c r="CA4" s="156" t="str">
        <f>IF(No.1!CA4="","",No.1!CA4)</f>
        <v/>
      </c>
      <c r="CB4" s="156" t="str">
        <f>IF(No.1!CB4="","",No.1!CB4)</f>
        <v/>
      </c>
      <c r="CC4" s="156" t="str">
        <f>IF(No.1!CC4="","",No.1!CC4)</f>
        <v/>
      </c>
      <c r="CD4" s="158" t="str">
        <f>IF(No.1!CD4="","",No.1!CD4)</f>
        <v/>
      </c>
      <c r="CE4" s="73"/>
      <c r="CF4" s="73"/>
      <c r="CG4" s="73"/>
      <c r="CH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</row>
    <row r="5" spans="1:125" s="80" customFormat="1" ht="13.7" customHeight="1" thickBot="1">
      <c r="B5" s="161" t="s">
        <v>264</v>
      </c>
      <c r="C5" s="162"/>
      <c r="D5" s="162"/>
      <c r="E5" s="162"/>
      <c r="F5" s="163"/>
      <c r="G5" s="164" t="str">
        <f>IF(No.1!G5="","",No.1!G5)</f>
        <v/>
      </c>
      <c r="H5" s="165" t="str">
        <f>IF(No.1!H5="","",No.1!H5)</f>
        <v/>
      </c>
      <c r="I5" s="166" t="str">
        <f>IF(No.1!I5="","",No.1!I5)</f>
        <v/>
      </c>
      <c r="J5" s="164" t="str">
        <f>IF(No.1!J5="","",No.1!J5)</f>
        <v/>
      </c>
      <c r="K5" s="165" t="str">
        <f>IF(No.1!K5="","",No.1!K5)</f>
        <v/>
      </c>
      <c r="L5" s="165" t="str">
        <f>IF(No.1!L5="","",No.1!L5)</f>
        <v/>
      </c>
      <c r="M5" s="165" t="str">
        <f>IF(No.1!M5="","",No.1!M5)</f>
        <v/>
      </c>
      <c r="N5" s="165" t="str">
        <f>IF(No.1!N5="","",No.1!N5)</f>
        <v/>
      </c>
      <c r="O5" s="165" t="str">
        <f>IF(No.1!O5="","",No.1!O5)</f>
        <v/>
      </c>
      <c r="P5" s="166" t="str">
        <f>IF(No.1!P5="","",No.1!P5)</f>
        <v/>
      </c>
      <c r="Q5" s="167" t="str">
        <f>IF(No.1!Q5="","",No.1!Q5)</f>
        <v/>
      </c>
      <c r="R5" s="168" t="str">
        <f>IF(No.1!R5="","",No.1!R5)</f>
        <v/>
      </c>
      <c r="S5" s="168" t="str">
        <f>IF(No.1!S5="","",No.1!S5)</f>
        <v/>
      </c>
      <c r="T5" s="168" t="str">
        <f>IF(No.1!T5="","",No.1!T5)</f>
        <v/>
      </c>
      <c r="U5" s="168" t="str">
        <f>IF(No.1!U5="","",No.1!U5)</f>
        <v/>
      </c>
      <c r="V5" s="169" t="str">
        <f>IF(No.1!V5="","",No.1!V5)</f>
        <v/>
      </c>
      <c r="W5" s="170" t="str">
        <f>IF(No.1!W5="","",No.1!W5)</f>
        <v/>
      </c>
      <c r="X5" s="170" t="str">
        <f>IF(No.1!X5="","",No.1!X5)</f>
        <v/>
      </c>
      <c r="Y5" s="170" t="str">
        <f>IF(No.1!Y5="","",No.1!Y5)</f>
        <v/>
      </c>
      <c r="Z5" s="171" t="str">
        <f>IF(No.1!Z5="","",No.1!Z5)</f>
        <v/>
      </c>
      <c r="AA5" s="73"/>
      <c r="AB5" s="73"/>
      <c r="AC5" s="93"/>
      <c r="AD5" s="93"/>
      <c r="AE5" s="93"/>
      <c r="AF5" s="93"/>
      <c r="AG5" s="93"/>
      <c r="AH5" s="9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53"/>
      <c r="BG5" s="53"/>
      <c r="BH5" s="53"/>
      <c r="BI5" s="53"/>
      <c r="BJ5" s="53"/>
      <c r="BK5" s="5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</row>
    <row r="6" spans="1:125" s="68" customFormat="1" ht="13.7" customHeight="1">
      <c r="B6" s="53"/>
      <c r="C6" s="53"/>
      <c r="D6" s="69"/>
      <c r="E6" s="69"/>
      <c r="F6" s="69"/>
      <c r="G6" s="69"/>
      <c r="H6" s="69"/>
      <c r="I6" s="69"/>
      <c r="J6" s="69"/>
      <c r="K6" s="8"/>
      <c r="L6" s="45"/>
      <c r="M6" s="45"/>
      <c r="N6" s="45"/>
      <c r="O6" s="45"/>
      <c r="P6" s="53"/>
      <c r="Q6" s="53"/>
      <c r="R6" s="69"/>
      <c r="S6" s="8"/>
      <c r="T6" s="46"/>
      <c r="U6" s="46"/>
      <c r="V6" s="46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</row>
    <row r="7" spans="1:125" ht="13.7" customHeight="1" thickBot="1">
      <c r="B7" s="6" t="s">
        <v>239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4" t="s">
        <v>7</v>
      </c>
      <c r="AP7" s="53"/>
      <c r="AQ7" s="53"/>
      <c r="AR7" s="53"/>
      <c r="AS7" s="53"/>
      <c r="AT7" s="53"/>
      <c r="AU7" s="53"/>
    </row>
    <row r="8" spans="1:125" ht="13.7" customHeight="1">
      <c r="B8" s="218"/>
      <c r="C8" s="219"/>
      <c r="D8" s="219"/>
      <c r="E8" s="219"/>
      <c r="F8" s="219"/>
      <c r="G8" s="220"/>
      <c r="H8" s="220"/>
      <c r="I8" s="194" t="s">
        <v>180</v>
      </c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194" t="s">
        <v>32</v>
      </c>
      <c r="U8" s="274"/>
      <c r="V8" s="274"/>
      <c r="W8" s="274"/>
      <c r="X8" s="274"/>
      <c r="Y8" s="274"/>
      <c r="Z8" s="274"/>
      <c r="AA8" s="274"/>
      <c r="AB8" s="274"/>
      <c r="AC8" s="274"/>
      <c r="AD8" s="274"/>
      <c r="AE8" s="194" t="s">
        <v>52</v>
      </c>
      <c r="AF8" s="274"/>
      <c r="AG8" s="274"/>
      <c r="AH8" s="274"/>
      <c r="AI8" s="274"/>
      <c r="AJ8" s="274"/>
      <c r="AK8" s="274"/>
      <c r="AL8" s="274"/>
      <c r="AM8" s="274"/>
      <c r="AN8" s="274"/>
      <c r="AO8" s="275"/>
      <c r="AP8" s="60"/>
      <c r="AQ8" s="53"/>
      <c r="AR8" s="53"/>
      <c r="AS8" s="53"/>
      <c r="AT8" s="53"/>
      <c r="AU8" s="53"/>
    </row>
    <row r="9" spans="1:125" ht="13.7" customHeight="1" thickBot="1">
      <c r="B9" s="221"/>
      <c r="C9" s="222"/>
      <c r="D9" s="222"/>
      <c r="E9" s="222"/>
      <c r="F9" s="222"/>
      <c r="G9" s="223"/>
      <c r="H9" s="223"/>
      <c r="I9" s="198" t="str">
        <f>IF($B$1&lt;&gt;"",$B$1,"")</f>
        <v/>
      </c>
      <c r="J9" s="199"/>
      <c r="K9" s="199"/>
      <c r="L9" s="199"/>
      <c r="M9" s="200" t="str">
        <f>IF($B$1&lt;&gt;"",$B$1-1,"")</f>
        <v/>
      </c>
      <c r="N9" s="199"/>
      <c r="O9" s="199"/>
      <c r="P9" s="201"/>
      <c r="Q9" s="202" t="s">
        <v>142</v>
      </c>
      <c r="R9" s="203"/>
      <c r="S9" s="204"/>
      <c r="T9" s="198" t="str">
        <f>IF($B$1&lt;&gt;"",$B$1,"")</f>
        <v/>
      </c>
      <c r="U9" s="199"/>
      <c r="V9" s="199"/>
      <c r="W9" s="199"/>
      <c r="X9" s="200" t="str">
        <f>IF($B$1&lt;&gt;"",$B$1-1,"")</f>
        <v/>
      </c>
      <c r="Y9" s="199"/>
      <c r="Z9" s="199"/>
      <c r="AA9" s="201"/>
      <c r="AB9" s="202" t="s">
        <v>142</v>
      </c>
      <c r="AC9" s="203"/>
      <c r="AD9" s="204"/>
      <c r="AE9" s="198" t="str">
        <f>IF($B$1&lt;&gt;"",$B$1,"")</f>
        <v/>
      </c>
      <c r="AF9" s="199"/>
      <c r="AG9" s="199"/>
      <c r="AH9" s="199"/>
      <c r="AI9" s="200" t="str">
        <f>IF($B$1&lt;&gt;"",$B$1-1,"")</f>
        <v/>
      </c>
      <c r="AJ9" s="199"/>
      <c r="AK9" s="199"/>
      <c r="AL9" s="201"/>
      <c r="AM9" s="202" t="s">
        <v>142</v>
      </c>
      <c r="AN9" s="203"/>
      <c r="AO9" s="204"/>
    </row>
    <row r="10" spans="1:125" ht="13.7" customHeight="1">
      <c r="B10" s="650" t="s">
        <v>43</v>
      </c>
      <c r="C10" s="232" t="s">
        <v>33</v>
      </c>
      <c r="D10" s="233"/>
      <c r="E10" s="233"/>
      <c r="F10" s="233"/>
      <c r="G10" s="233"/>
      <c r="H10" s="233"/>
      <c r="I10" s="632"/>
      <c r="J10" s="633"/>
      <c r="K10" s="633"/>
      <c r="L10" s="633"/>
      <c r="M10" s="633"/>
      <c r="N10" s="633"/>
      <c r="O10" s="633"/>
      <c r="P10" s="633"/>
      <c r="Q10" s="634" t="str">
        <f>IF(I10="-", "-", IF(M10="-", "-", IF(ABS(M10)=0, "-", ROUND(100*(I10-M10)/ABS(M10), 1))))</f>
        <v>-</v>
      </c>
      <c r="R10" s="634" t="str">
        <f t="shared" ref="R10:S25" si="0">IF(N10="-", "-", IF(P10="-", "-", IF(ABS(P10)=0, "-", ROUND(100*(N10-P10)/ABS(P10), 1))))</f>
        <v>-</v>
      </c>
      <c r="S10" s="635" t="str">
        <f t="shared" si="0"/>
        <v>-</v>
      </c>
      <c r="T10" s="632"/>
      <c r="U10" s="633"/>
      <c r="V10" s="633"/>
      <c r="W10" s="633"/>
      <c r="X10" s="633"/>
      <c r="Y10" s="633"/>
      <c r="Z10" s="633"/>
      <c r="AA10" s="633"/>
      <c r="AB10" s="634" t="str">
        <f>IF(T10="-", "-", IF(X10="-", "-", IF(ABS(X10)=0, "-", ROUND(100*(T10-X10)/ABS(X10), 1))))</f>
        <v>-</v>
      </c>
      <c r="AC10" s="634" t="str">
        <f>IF(Y10="-", "-", IF(AA10="-", "-", IF(ABS(AA10)=0, "-", ROUND(100*(Y10-AA10)/ABS(AA10), 1))))</f>
        <v>-</v>
      </c>
      <c r="AD10" s="635" t="str">
        <f>IF(Z10="-", "-", IF(AB10="-", "-", IF(ABS(AB10)=0, "-", ROUND(100*(Z10-AB10)/ABS(AB10), 1))))</f>
        <v>-</v>
      </c>
      <c r="AE10" s="636"/>
      <c r="AF10" s="637"/>
      <c r="AG10" s="637"/>
      <c r="AH10" s="637"/>
      <c r="AI10" s="637"/>
      <c r="AJ10" s="637"/>
      <c r="AK10" s="637"/>
      <c r="AL10" s="637"/>
      <c r="AM10" s="638" t="str">
        <f t="shared" ref="AM10:AM28" si="1">IF(AE10="-", "-", IF(AI10="-", "-", IF(ABS(AI10)=0, "-", ROUND(100*(AE10-AI10)/ABS(AI10), 1))))</f>
        <v>-</v>
      </c>
      <c r="AN10" s="638" t="str">
        <f t="shared" ref="AN10:AO25" si="2">IF(AJ10="-", "-", IF(AL10="-", "-", IF(ABS(AL10)=0, "-", ROUND(100*(AJ10-AL10)/ABS(AL10), 1))))</f>
        <v>-</v>
      </c>
      <c r="AO10" s="639" t="str">
        <f t="shared" si="2"/>
        <v>-</v>
      </c>
    </row>
    <row r="11" spans="1:125" ht="13.7" customHeight="1">
      <c r="B11" s="650"/>
      <c r="C11" s="224" t="s">
        <v>34</v>
      </c>
      <c r="D11" s="225"/>
      <c r="E11" s="225"/>
      <c r="F11" s="225"/>
      <c r="G11" s="225"/>
      <c r="H11" s="225"/>
      <c r="I11" s="630"/>
      <c r="J11" s="631"/>
      <c r="K11" s="631"/>
      <c r="L11" s="631"/>
      <c r="M11" s="631"/>
      <c r="N11" s="631"/>
      <c r="O11" s="631"/>
      <c r="P11" s="631"/>
      <c r="Q11" s="228" t="str">
        <f t="shared" ref="Q11:Q26" si="3">IF(I11="-", "-", IF(M11="-", "-", IF(ABS(M11)=0, "-", ROUND(100*(I11-M11)/ABS(M11), 1))))</f>
        <v>-</v>
      </c>
      <c r="R11" s="228" t="str">
        <f t="shared" si="0"/>
        <v>-</v>
      </c>
      <c r="S11" s="229" t="str">
        <f t="shared" si="0"/>
        <v>-</v>
      </c>
      <c r="T11" s="630"/>
      <c r="U11" s="631"/>
      <c r="V11" s="631"/>
      <c r="W11" s="631"/>
      <c r="X11" s="631"/>
      <c r="Y11" s="631"/>
      <c r="Z11" s="631"/>
      <c r="AA11" s="631"/>
      <c r="AB11" s="228" t="str">
        <f t="shared" ref="AB11:AB26" si="4">IF(T11="-", "-", IF(X11="-", "-", IF(ABS(X11)=0, "-", ROUND(100*(T11-X11)/ABS(X11), 1))))</f>
        <v>-</v>
      </c>
      <c r="AC11" s="228" t="str">
        <f t="shared" ref="AC11:AD26" si="5">IF(Y11="-", "-", IF(AA11="-", "-", IF(ABS(AA11)=0, "-", ROUND(100*(Y11-AA11)/ABS(AA11), 1))))</f>
        <v>-</v>
      </c>
      <c r="AD11" s="229" t="str">
        <f t="shared" si="5"/>
        <v>-</v>
      </c>
      <c r="AE11" s="628"/>
      <c r="AF11" s="629"/>
      <c r="AG11" s="629"/>
      <c r="AH11" s="629"/>
      <c r="AI11" s="629"/>
      <c r="AJ11" s="629"/>
      <c r="AK11" s="629"/>
      <c r="AL11" s="629"/>
      <c r="AM11" s="239" t="str">
        <f t="shared" si="1"/>
        <v>-</v>
      </c>
      <c r="AN11" s="239" t="str">
        <f t="shared" si="2"/>
        <v>-</v>
      </c>
      <c r="AO11" s="240" t="str">
        <f t="shared" si="2"/>
        <v>-</v>
      </c>
    </row>
    <row r="12" spans="1:125" ht="13.7" customHeight="1">
      <c r="B12" s="651"/>
      <c r="C12" s="224" t="s">
        <v>35</v>
      </c>
      <c r="D12" s="225"/>
      <c r="E12" s="225"/>
      <c r="F12" s="225"/>
      <c r="G12" s="225"/>
      <c r="H12" s="225"/>
      <c r="I12" s="630"/>
      <c r="J12" s="631"/>
      <c r="K12" s="631"/>
      <c r="L12" s="631"/>
      <c r="M12" s="631"/>
      <c r="N12" s="631"/>
      <c r="O12" s="631"/>
      <c r="P12" s="631"/>
      <c r="Q12" s="228" t="str">
        <f t="shared" si="3"/>
        <v>-</v>
      </c>
      <c r="R12" s="228" t="str">
        <f t="shared" si="0"/>
        <v>-</v>
      </c>
      <c r="S12" s="229" t="str">
        <f t="shared" si="0"/>
        <v>-</v>
      </c>
      <c r="T12" s="630"/>
      <c r="U12" s="631"/>
      <c r="V12" s="631"/>
      <c r="W12" s="631"/>
      <c r="X12" s="631"/>
      <c r="Y12" s="631"/>
      <c r="Z12" s="631"/>
      <c r="AA12" s="631"/>
      <c r="AB12" s="228" t="str">
        <f t="shared" si="4"/>
        <v>-</v>
      </c>
      <c r="AC12" s="228" t="str">
        <f t="shared" si="5"/>
        <v>-</v>
      </c>
      <c r="AD12" s="229" t="str">
        <f t="shared" si="5"/>
        <v>-</v>
      </c>
      <c r="AE12" s="628"/>
      <c r="AF12" s="629"/>
      <c r="AG12" s="629"/>
      <c r="AH12" s="629"/>
      <c r="AI12" s="629"/>
      <c r="AJ12" s="629"/>
      <c r="AK12" s="629"/>
      <c r="AL12" s="629"/>
      <c r="AM12" s="239" t="str">
        <f t="shared" si="1"/>
        <v>-</v>
      </c>
      <c r="AN12" s="239" t="str">
        <f t="shared" si="2"/>
        <v>-</v>
      </c>
      <c r="AO12" s="240" t="str">
        <f t="shared" si="2"/>
        <v>-</v>
      </c>
    </row>
    <row r="13" spans="1:125" ht="13.7" customHeight="1">
      <c r="B13" s="651"/>
      <c r="C13" s="224" t="s">
        <v>36</v>
      </c>
      <c r="D13" s="225"/>
      <c r="E13" s="225"/>
      <c r="F13" s="225"/>
      <c r="G13" s="225"/>
      <c r="H13" s="225"/>
      <c r="I13" s="630"/>
      <c r="J13" s="631"/>
      <c r="K13" s="631"/>
      <c r="L13" s="631"/>
      <c r="M13" s="631"/>
      <c r="N13" s="631"/>
      <c r="O13" s="631"/>
      <c r="P13" s="631"/>
      <c r="Q13" s="228" t="str">
        <f t="shared" si="3"/>
        <v>-</v>
      </c>
      <c r="R13" s="228" t="str">
        <f t="shared" si="0"/>
        <v>-</v>
      </c>
      <c r="S13" s="229" t="str">
        <f t="shared" si="0"/>
        <v>-</v>
      </c>
      <c r="T13" s="630"/>
      <c r="U13" s="631"/>
      <c r="V13" s="631"/>
      <c r="W13" s="631"/>
      <c r="X13" s="631"/>
      <c r="Y13" s="631"/>
      <c r="Z13" s="631"/>
      <c r="AA13" s="631"/>
      <c r="AB13" s="228" t="str">
        <f t="shared" si="4"/>
        <v>-</v>
      </c>
      <c r="AC13" s="228" t="str">
        <f t="shared" si="5"/>
        <v>-</v>
      </c>
      <c r="AD13" s="229" t="str">
        <f t="shared" si="5"/>
        <v>-</v>
      </c>
      <c r="AE13" s="628"/>
      <c r="AF13" s="629"/>
      <c r="AG13" s="629"/>
      <c r="AH13" s="629"/>
      <c r="AI13" s="629"/>
      <c r="AJ13" s="629"/>
      <c r="AK13" s="629"/>
      <c r="AL13" s="629"/>
      <c r="AM13" s="239" t="str">
        <f t="shared" si="1"/>
        <v>-</v>
      </c>
      <c r="AN13" s="239" t="str">
        <f t="shared" si="2"/>
        <v>-</v>
      </c>
      <c r="AO13" s="240" t="str">
        <f t="shared" si="2"/>
        <v>-</v>
      </c>
    </row>
    <row r="14" spans="1:125" ht="13.7" customHeight="1">
      <c r="B14" s="651"/>
      <c r="C14" s="224" t="s">
        <v>119</v>
      </c>
      <c r="D14" s="225"/>
      <c r="E14" s="225"/>
      <c r="F14" s="225"/>
      <c r="G14" s="225"/>
      <c r="H14" s="225"/>
      <c r="I14" s="630"/>
      <c r="J14" s="631"/>
      <c r="K14" s="631"/>
      <c r="L14" s="631"/>
      <c r="M14" s="631"/>
      <c r="N14" s="631"/>
      <c r="O14" s="631"/>
      <c r="P14" s="631"/>
      <c r="Q14" s="228" t="str">
        <f t="shared" si="3"/>
        <v>-</v>
      </c>
      <c r="R14" s="228" t="str">
        <f t="shared" si="0"/>
        <v>-</v>
      </c>
      <c r="S14" s="229" t="str">
        <f t="shared" si="0"/>
        <v>-</v>
      </c>
      <c r="T14" s="630"/>
      <c r="U14" s="631"/>
      <c r="V14" s="631"/>
      <c r="W14" s="631"/>
      <c r="X14" s="631"/>
      <c r="Y14" s="631"/>
      <c r="Z14" s="631"/>
      <c r="AA14" s="631"/>
      <c r="AB14" s="228" t="str">
        <f t="shared" si="4"/>
        <v>-</v>
      </c>
      <c r="AC14" s="228" t="str">
        <f t="shared" si="5"/>
        <v>-</v>
      </c>
      <c r="AD14" s="229" t="str">
        <f t="shared" si="5"/>
        <v>-</v>
      </c>
      <c r="AE14" s="628"/>
      <c r="AF14" s="629"/>
      <c r="AG14" s="629"/>
      <c r="AH14" s="629"/>
      <c r="AI14" s="629"/>
      <c r="AJ14" s="629"/>
      <c r="AK14" s="629"/>
      <c r="AL14" s="629"/>
      <c r="AM14" s="239" t="str">
        <f t="shared" si="1"/>
        <v>-</v>
      </c>
      <c r="AN14" s="239" t="str">
        <f t="shared" si="2"/>
        <v>-</v>
      </c>
      <c r="AO14" s="240" t="str">
        <f t="shared" si="2"/>
        <v>-</v>
      </c>
    </row>
    <row r="15" spans="1:125" ht="13.7" customHeight="1">
      <c r="B15" s="650"/>
      <c r="C15" s="224" t="s">
        <v>120</v>
      </c>
      <c r="D15" s="225"/>
      <c r="E15" s="225"/>
      <c r="F15" s="225"/>
      <c r="G15" s="225"/>
      <c r="H15" s="225"/>
      <c r="I15" s="630"/>
      <c r="J15" s="631"/>
      <c r="K15" s="631"/>
      <c r="L15" s="631"/>
      <c r="M15" s="631"/>
      <c r="N15" s="631"/>
      <c r="O15" s="631"/>
      <c r="P15" s="631"/>
      <c r="Q15" s="228" t="str">
        <f t="shared" si="3"/>
        <v>-</v>
      </c>
      <c r="R15" s="228" t="str">
        <f t="shared" si="0"/>
        <v>-</v>
      </c>
      <c r="S15" s="229" t="str">
        <f t="shared" si="0"/>
        <v>-</v>
      </c>
      <c r="T15" s="630"/>
      <c r="U15" s="631"/>
      <c r="V15" s="631"/>
      <c r="W15" s="631"/>
      <c r="X15" s="631"/>
      <c r="Y15" s="631"/>
      <c r="Z15" s="631"/>
      <c r="AA15" s="631"/>
      <c r="AB15" s="228" t="str">
        <f t="shared" si="4"/>
        <v>-</v>
      </c>
      <c r="AC15" s="228" t="str">
        <f t="shared" si="5"/>
        <v>-</v>
      </c>
      <c r="AD15" s="229" t="str">
        <f t="shared" si="5"/>
        <v>-</v>
      </c>
      <c r="AE15" s="628"/>
      <c r="AF15" s="629"/>
      <c r="AG15" s="629"/>
      <c r="AH15" s="629"/>
      <c r="AI15" s="629"/>
      <c r="AJ15" s="629"/>
      <c r="AK15" s="629"/>
      <c r="AL15" s="629"/>
      <c r="AM15" s="239" t="str">
        <f t="shared" si="1"/>
        <v>-</v>
      </c>
      <c r="AN15" s="239" t="str">
        <f t="shared" si="2"/>
        <v>-</v>
      </c>
      <c r="AO15" s="240" t="str">
        <f t="shared" si="2"/>
        <v>-</v>
      </c>
    </row>
    <row r="16" spans="1:125" s="67" customFormat="1" ht="13.7" customHeight="1">
      <c r="B16" s="650"/>
      <c r="C16" s="224" t="s">
        <v>256</v>
      </c>
      <c r="D16" s="225"/>
      <c r="E16" s="225"/>
      <c r="F16" s="225"/>
      <c r="G16" s="225"/>
      <c r="H16" s="225"/>
      <c r="I16" s="630"/>
      <c r="J16" s="631"/>
      <c r="K16" s="631"/>
      <c r="L16" s="631"/>
      <c r="M16" s="631"/>
      <c r="N16" s="631"/>
      <c r="O16" s="631"/>
      <c r="P16" s="631"/>
      <c r="Q16" s="228" t="str">
        <f t="shared" si="3"/>
        <v>-</v>
      </c>
      <c r="R16" s="228" t="str">
        <f t="shared" si="0"/>
        <v>-</v>
      </c>
      <c r="S16" s="229" t="str">
        <f t="shared" si="0"/>
        <v>-</v>
      </c>
      <c r="T16" s="630"/>
      <c r="U16" s="631"/>
      <c r="V16" s="631"/>
      <c r="W16" s="631"/>
      <c r="X16" s="631"/>
      <c r="Y16" s="631"/>
      <c r="Z16" s="631"/>
      <c r="AA16" s="631"/>
      <c r="AB16" s="228" t="str">
        <f t="shared" si="4"/>
        <v>-</v>
      </c>
      <c r="AC16" s="228" t="str">
        <f t="shared" si="5"/>
        <v>-</v>
      </c>
      <c r="AD16" s="229" t="str">
        <f t="shared" si="5"/>
        <v>-</v>
      </c>
      <c r="AE16" s="628"/>
      <c r="AF16" s="629"/>
      <c r="AG16" s="629"/>
      <c r="AH16" s="629"/>
      <c r="AI16" s="629"/>
      <c r="AJ16" s="629"/>
      <c r="AK16" s="629"/>
      <c r="AL16" s="629"/>
      <c r="AM16" s="239" t="str">
        <f t="shared" si="1"/>
        <v>-</v>
      </c>
      <c r="AN16" s="239" t="str">
        <f t="shared" si="2"/>
        <v>-</v>
      </c>
      <c r="AO16" s="240" t="str">
        <f t="shared" si="2"/>
        <v>-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</row>
    <row r="17" spans="1:86" ht="13.7" customHeight="1">
      <c r="B17" s="650"/>
      <c r="C17" s="224" t="s">
        <v>37</v>
      </c>
      <c r="D17" s="225"/>
      <c r="E17" s="225"/>
      <c r="F17" s="225"/>
      <c r="G17" s="225"/>
      <c r="H17" s="225"/>
      <c r="I17" s="630"/>
      <c r="J17" s="631"/>
      <c r="K17" s="631"/>
      <c r="L17" s="631"/>
      <c r="M17" s="631"/>
      <c r="N17" s="631"/>
      <c r="O17" s="631"/>
      <c r="P17" s="631"/>
      <c r="Q17" s="228" t="str">
        <f t="shared" si="3"/>
        <v>-</v>
      </c>
      <c r="R17" s="228" t="str">
        <f t="shared" si="0"/>
        <v>-</v>
      </c>
      <c r="S17" s="229" t="str">
        <f t="shared" si="0"/>
        <v>-</v>
      </c>
      <c r="T17" s="630"/>
      <c r="U17" s="631"/>
      <c r="V17" s="631"/>
      <c r="W17" s="631"/>
      <c r="X17" s="631"/>
      <c r="Y17" s="631"/>
      <c r="Z17" s="631"/>
      <c r="AA17" s="631"/>
      <c r="AB17" s="228" t="str">
        <f t="shared" si="4"/>
        <v>-</v>
      </c>
      <c r="AC17" s="228" t="str">
        <f t="shared" si="5"/>
        <v>-</v>
      </c>
      <c r="AD17" s="229" t="str">
        <f t="shared" si="5"/>
        <v>-</v>
      </c>
      <c r="AE17" s="628"/>
      <c r="AF17" s="629"/>
      <c r="AG17" s="629"/>
      <c r="AH17" s="629"/>
      <c r="AI17" s="629"/>
      <c r="AJ17" s="629"/>
      <c r="AK17" s="629"/>
      <c r="AL17" s="629"/>
      <c r="AM17" s="239" t="str">
        <f t="shared" si="1"/>
        <v>-</v>
      </c>
      <c r="AN17" s="239" t="str">
        <f t="shared" si="2"/>
        <v>-</v>
      </c>
      <c r="AO17" s="240" t="str">
        <f t="shared" si="2"/>
        <v>-</v>
      </c>
    </row>
    <row r="18" spans="1:86" ht="13.7" customHeight="1">
      <c r="B18" s="650"/>
      <c r="C18" s="224" t="s">
        <v>121</v>
      </c>
      <c r="D18" s="225"/>
      <c r="E18" s="225"/>
      <c r="F18" s="225"/>
      <c r="G18" s="225"/>
      <c r="H18" s="225"/>
      <c r="I18" s="630"/>
      <c r="J18" s="631"/>
      <c r="K18" s="631"/>
      <c r="L18" s="631"/>
      <c r="M18" s="631"/>
      <c r="N18" s="631"/>
      <c r="O18" s="631"/>
      <c r="P18" s="631"/>
      <c r="Q18" s="228" t="str">
        <f t="shared" si="3"/>
        <v>-</v>
      </c>
      <c r="R18" s="228" t="str">
        <f t="shared" si="0"/>
        <v>-</v>
      </c>
      <c r="S18" s="229" t="str">
        <f t="shared" si="0"/>
        <v>-</v>
      </c>
      <c r="T18" s="630"/>
      <c r="U18" s="631"/>
      <c r="V18" s="631"/>
      <c r="W18" s="631"/>
      <c r="X18" s="631"/>
      <c r="Y18" s="631"/>
      <c r="Z18" s="631"/>
      <c r="AA18" s="631"/>
      <c r="AB18" s="228" t="str">
        <f t="shared" si="4"/>
        <v>-</v>
      </c>
      <c r="AC18" s="228" t="str">
        <f t="shared" si="5"/>
        <v>-</v>
      </c>
      <c r="AD18" s="229" t="str">
        <f t="shared" si="5"/>
        <v>-</v>
      </c>
      <c r="AE18" s="628"/>
      <c r="AF18" s="629"/>
      <c r="AG18" s="629"/>
      <c r="AH18" s="629"/>
      <c r="AI18" s="629"/>
      <c r="AJ18" s="629"/>
      <c r="AK18" s="629"/>
      <c r="AL18" s="629"/>
      <c r="AM18" s="239" t="str">
        <f t="shared" si="1"/>
        <v>-</v>
      </c>
      <c r="AN18" s="239" t="str">
        <f t="shared" si="2"/>
        <v>-</v>
      </c>
      <c r="AO18" s="240" t="str">
        <f t="shared" si="2"/>
        <v>-</v>
      </c>
    </row>
    <row r="19" spans="1:86" ht="13.7" customHeight="1">
      <c r="B19" s="650"/>
      <c r="C19" s="224" t="s">
        <v>122</v>
      </c>
      <c r="D19" s="225"/>
      <c r="E19" s="225"/>
      <c r="F19" s="225"/>
      <c r="G19" s="225"/>
      <c r="H19" s="225"/>
      <c r="I19" s="630"/>
      <c r="J19" s="631"/>
      <c r="K19" s="631"/>
      <c r="L19" s="631"/>
      <c r="M19" s="631"/>
      <c r="N19" s="631"/>
      <c r="O19" s="631"/>
      <c r="P19" s="631"/>
      <c r="Q19" s="228" t="str">
        <f t="shared" si="3"/>
        <v>-</v>
      </c>
      <c r="R19" s="228" t="str">
        <f t="shared" si="0"/>
        <v>-</v>
      </c>
      <c r="S19" s="229" t="str">
        <f t="shared" si="0"/>
        <v>-</v>
      </c>
      <c r="T19" s="630"/>
      <c r="U19" s="631"/>
      <c r="V19" s="631"/>
      <c r="W19" s="631"/>
      <c r="X19" s="631"/>
      <c r="Y19" s="631"/>
      <c r="Z19" s="631"/>
      <c r="AA19" s="631"/>
      <c r="AB19" s="228" t="str">
        <f t="shared" si="4"/>
        <v>-</v>
      </c>
      <c r="AC19" s="228" t="str">
        <f t="shared" si="5"/>
        <v>-</v>
      </c>
      <c r="AD19" s="229" t="str">
        <f t="shared" si="5"/>
        <v>-</v>
      </c>
      <c r="AE19" s="628"/>
      <c r="AF19" s="629"/>
      <c r="AG19" s="629"/>
      <c r="AH19" s="629"/>
      <c r="AI19" s="629"/>
      <c r="AJ19" s="629"/>
      <c r="AK19" s="629"/>
      <c r="AL19" s="629"/>
      <c r="AM19" s="239" t="str">
        <f t="shared" si="1"/>
        <v>-</v>
      </c>
      <c r="AN19" s="239" t="str">
        <f t="shared" si="2"/>
        <v>-</v>
      </c>
      <c r="AO19" s="240" t="str">
        <f t="shared" si="2"/>
        <v>-</v>
      </c>
    </row>
    <row r="20" spans="1:86" ht="13.7" customHeight="1">
      <c r="B20" s="650"/>
      <c r="C20" s="224" t="s">
        <v>38</v>
      </c>
      <c r="D20" s="225"/>
      <c r="E20" s="225"/>
      <c r="F20" s="225"/>
      <c r="G20" s="225"/>
      <c r="H20" s="225"/>
      <c r="I20" s="630"/>
      <c r="J20" s="631"/>
      <c r="K20" s="631"/>
      <c r="L20" s="631"/>
      <c r="M20" s="631"/>
      <c r="N20" s="631"/>
      <c r="O20" s="631"/>
      <c r="P20" s="631"/>
      <c r="Q20" s="228" t="str">
        <f t="shared" si="3"/>
        <v>-</v>
      </c>
      <c r="R20" s="228" t="str">
        <f t="shared" si="0"/>
        <v>-</v>
      </c>
      <c r="S20" s="229" t="str">
        <f t="shared" si="0"/>
        <v>-</v>
      </c>
      <c r="T20" s="630"/>
      <c r="U20" s="631"/>
      <c r="V20" s="631"/>
      <c r="W20" s="631"/>
      <c r="X20" s="631"/>
      <c r="Y20" s="631"/>
      <c r="Z20" s="631"/>
      <c r="AA20" s="631"/>
      <c r="AB20" s="228" t="str">
        <f t="shared" si="4"/>
        <v>-</v>
      </c>
      <c r="AC20" s="228" t="str">
        <f t="shared" si="5"/>
        <v>-</v>
      </c>
      <c r="AD20" s="229" t="str">
        <f t="shared" si="5"/>
        <v>-</v>
      </c>
      <c r="AE20" s="628"/>
      <c r="AF20" s="629"/>
      <c r="AG20" s="629"/>
      <c r="AH20" s="629"/>
      <c r="AI20" s="629"/>
      <c r="AJ20" s="629"/>
      <c r="AK20" s="629"/>
      <c r="AL20" s="629"/>
      <c r="AM20" s="239" t="str">
        <f t="shared" si="1"/>
        <v>-</v>
      </c>
      <c r="AN20" s="239" t="str">
        <f t="shared" si="2"/>
        <v>-</v>
      </c>
      <c r="AO20" s="240" t="str">
        <f t="shared" si="2"/>
        <v>-</v>
      </c>
    </row>
    <row r="21" spans="1:86" ht="13.7" customHeight="1">
      <c r="B21" s="650"/>
      <c r="C21" s="224" t="s">
        <v>39</v>
      </c>
      <c r="D21" s="225"/>
      <c r="E21" s="225"/>
      <c r="F21" s="225"/>
      <c r="G21" s="225"/>
      <c r="H21" s="225"/>
      <c r="I21" s="630"/>
      <c r="J21" s="631"/>
      <c r="K21" s="631"/>
      <c r="L21" s="631"/>
      <c r="M21" s="631"/>
      <c r="N21" s="631"/>
      <c r="O21" s="631"/>
      <c r="P21" s="631"/>
      <c r="Q21" s="228" t="str">
        <f t="shared" si="3"/>
        <v>-</v>
      </c>
      <c r="R21" s="228" t="str">
        <f t="shared" si="0"/>
        <v>-</v>
      </c>
      <c r="S21" s="229" t="str">
        <f t="shared" si="0"/>
        <v>-</v>
      </c>
      <c r="T21" s="630"/>
      <c r="U21" s="631"/>
      <c r="V21" s="631"/>
      <c r="W21" s="631"/>
      <c r="X21" s="631"/>
      <c r="Y21" s="631"/>
      <c r="Z21" s="631"/>
      <c r="AA21" s="631"/>
      <c r="AB21" s="228" t="str">
        <f t="shared" si="4"/>
        <v>-</v>
      </c>
      <c r="AC21" s="228" t="str">
        <f t="shared" si="5"/>
        <v>-</v>
      </c>
      <c r="AD21" s="229" t="str">
        <f t="shared" si="5"/>
        <v>-</v>
      </c>
      <c r="AE21" s="628"/>
      <c r="AF21" s="629"/>
      <c r="AG21" s="629"/>
      <c r="AH21" s="629"/>
      <c r="AI21" s="629"/>
      <c r="AJ21" s="629"/>
      <c r="AK21" s="629"/>
      <c r="AL21" s="629"/>
      <c r="AM21" s="239" t="str">
        <f t="shared" si="1"/>
        <v>-</v>
      </c>
      <c r="AN21" s="239" t="str">
        <f t="shared" si="2"/>
        <v>-</v>
      </c>
      <c r="AO21" s="240" t="str">
        <f t="shared" si="2"/>
        <v>-</v>
      </c>
    </row>
    <row r="22" spans="1:86" s="67" customFormat="1" ht="13.7" customHeight="1">
      <c r="B22" s="650"/>
      <c r="C22" s="224" t="s">
        <v>257</v>
      </c>
      <c r="D22" s="225"/>
      <c r="E22" s="225"/>
      <c r="F22" s="225"/>
      <c r="G22" s="225"/>
      <c r="H22" s="225"/>
      <c r="I22" s="630"/>
      <c r="J22" s="631"/>
      <c r="K22" s="631"/>
      <c r="L22" s="631"/>
      <c r="M22" s="631"/>
      <c r="N22" s="631"/>
      <c r="O22" s="631"/>
      <c r="P22" s="631"/>
      <c r="Q22" s="228" t="str">
        <f t="shared" si="3"/>
        <v>-</v>
      </c>
      <c r="R22" s="228" t="str">
        <f t="shared" si="0"/>
        <v>-</v>
      </c>
      <c r="S22" s="229" t="str">
        <f t="shared" si="0"/>
        <v>-</v>
      </c>
      <c r="T22" s="630"/>
      <c r="U22" s="631"/>
      <c r="V22" s="631"/>
      <c r="W22" s="631"/>
      <c r="X22" s="631"/>
      <c r="Y22" s="631"/>
      <c r="Z22" s="631"/>
      <c r="AA22" s="631"/>
      <c r="AB22" s="228" t="str">
        <f t="shared" si="4"/>
        <v>-</v>
      </c>
      <c r="AC22" s="228" t="str">
        <f t="shared" si="5"/>
        <v>-</v>
      </c>
      <c r="AD22" s="229" t="str">
        <f t="shared" si="5"/>
        <v>-</v>
      </c>
      <c r="AE22" s="628"/>
      <c r="AF22" s="629"/>
      <c r="AG22" s="629"/>
      <c r="AH22" s="629"/>
      <c r="AI22" s="629"/>
      <c r="AJ22" s="629"/>
      <c r="AK22" s="629"/>
      <c r="AL22" s="629"/>
      <c r="AM22" s="239" t="str">
        <f t="shared" si="1"/>
        <v>-</v>
      </c>
      <c r="AN22" s="239" t="str">
        <f t="shared" si="2"/>
        <v>-</v>
      </c>
      <c r="AO22" s="240" t="str">
        <f t="shared" si="2"/>
        <v>-</v>
      </c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</row>
    <row r="23" spans="1:86" ht="13.7" customHeight="1">
      <c r="B23" s="650"/>
      <c r="C23" s="224" t="s">
        <v>40</v>
      </c>
      <c r="D23" s="225"/>
      <c r="E23" s="225"/>
      <c r="F23" s="225"/>
      <c r="G23" s="225"/>
      <c r="H23" s="225"/>
      <c r="I23" s="630"/>
      <c r="J23" s="631"/>
      <c r="K23" s="631"/>
      <c r="L23" s="631"/>
      <c r="M23" s="631"/>
      <c r="N23" s="631"/>
      <c r="O23" s="631"/>
      <c r="P23" s="631"/>
      <c r="Q23" s="228" t="str">
        <f t="shared" si="3"/>
        <v>-</v>
      </c>
      <c r="R23" s="228" t="str">
        <f t="shared" si="0"/>
        <v>-</v>
      </c>
      <c r="S23" s="229" t="str">
        <f t="shared" si="0"/>
        <v>-</v>
      </c>
      <c r="T23" s="630"/>
      <c r="U23" s="631"/>
      <c r="V23" s="631"/>
      <c r="W23" s="631"/>
      <c r="X23" s="631"/>
      <c r="Y23" s="631"/>
      <c r="Z23" s="631"/>
      <c r="AA23" s="631"/>
      <c r="AB23" s="228" t="str">
        <f t="shared" si="4"/>
        <v>-</v>
      </c>
      <c r="AC23" s="228" t="str">
        <f t="shared" si="5"/>
        <v>-</v>
      </c>
      <c r="AD23" s="229" t="str">
        <f t="shared" si="5"/>
        <v>-</v>
      </c>
      <c r="AE23" s="628"/>
      <c r="AF23" s="629"/>
      <c r="AG23" s="629"/>
      <c r="AH23" s="629"/>
      <c r="AI23" s="629"/>
      <c r="AJ23" s="629"/>
      <c r="AK23" s="629"/>
      <c r="AL23" s="629"/>
      <c r="AM23" s="239" t="str">
        <f t="shared" si="1"/>
        <v>-</v>
      </c>
      <c r="AN23" s="239" t="str">
        <f t="shared" si="2"/>
        <v>-</v>
      </c>
      <c r="AO23" s="240" t="str">
        <f t="shared" si="2"/>
        <v>-</v>
      </c>
    </row>
    <row r="24" spans="1:86" ht="13.7" customHeight="1">
      <c r="B24" s="650"/>
      <c r="C24" s="224" t="s">
        <v>41</v>
      </c>
      <c r="D24" s="225"/>
      <c r="E24" s="225"/>
      <c r="F24" s="225"/>
      <c r="G24" s="225"/>
      <c r="H24" s="225"/>
      <c r="I24" s="630"/>
      <c r="J24" s="631"/>
      <c r="K24" s="631"/>
      <c r="L24" s="631"/>
      <c r="M24" s="631"/>
      <c r="N24" s="631"/>
      <c r="O24" s="631"/>
      <c r="P24" s="631"/>
      <c r="Q24" s="228" t="str">
        <f t="shared" si="3"/>
        <v>-</v>
      </c>
      <c r="R24" s="228" t="str">
        <f t="shared" si="0"/>
        <v>-</v>
      </c>
      <c r="S24" s="229" t="str">
        <f t="shared" si="0"/>
        <v>-</v>
      </c>
      <c r="T24" s="630"/>
      <c r="U24" s="631"/>
      <c r="V24" s="631"/>
      <c r="W24" s="631"/>
      <c r="X24" s="631"/>
      <c r="Y24" s="631"/>
      <c r="Z24" s="631"/>
      <c r="AA24" s="631"/>
      <c r="AB24" s="228" t="str">
        <f t="shared" si="4"/>
        <v>-</v>
      </c>
      <c r="AC24" s="228" t="str">
        <f t="shared" si="5"/>
        <v>-</v>
      </c>
      <c r="AD24" s="229" t="str">
        <f t="shared" si="5"/>
        <v>-</v>
      </c>
      <c r="AE24" s="628"/>
      <c r="AF24" s="629"/>
      <c r="AG24" s="629"/>
      <c r="AH24" s="629"/>
      <c r="AI24" s="629"/>
      <c r="AJ24" s="629"/>
      <c r="AK24" s="629"/>
      <c r="AL24" s="629"/>
      <c r="AM24" s="239" t="str">
        <f t="shared" si="1"/>
        <v>-</v>
      </c>
      <c r="AN24" s="239" t="str">
        <f t="shared" si="2"/>
        <v>-</v>
      </c>
      <c r="AO24" s="240" t="str">
        <f t="shared" si="2"/>
        <v>-</v>
      </c>
    </row>
    <row r="25" spans="1:86" ht="13.7" customHeight="1">
      <c r="B25" s="650"/>
      <c r="C25" s="224" t="s">
        <v>42</v>
      </c>
      <c r="D25" s="225"/>
      <c r="E25" s="225"/>
      <c r="F25" s="225"/>
      <c r="G25" s="225"/>
      <c r="H25" s="249"/>
      <c r="I25" s="630"/>
      <c r="J25" s="631"/>
      <c r="K25" s="631"/>
      <c r="L25" s="631"/>
      <c r="M25" s="631"/>
      <c r="N25" s="631"/>
      <c r="O25" s="631"/>
      <c r="P25" s="631"/>
      <c r="Q25" s="228" t="str">
        <f t="shared" si="3"/>
        <v>-</v>
      </c>
      <c r="R25" s="228" t="str">
        <f t="shared" si="0"/>
        <v>-</v>
      </c>
      <c r="S25" s="229" t="str">
        <f t="shared" si="0"/>
        <v>-</v>
      </c>
      <c r="T25" s="655"/>
      <c r="U25" s="656"/>
      <c r="V25" s="656"/>
      <c r="W25" s="656"/>
      <c r="X25" s="656"/>
      <c r="Y25" s="656"/>
      <c r="Z25" s="656"/>
      <c r="AA25" s="656"/>
      <c r="AB25" s="642"/>
      <c r="AC25" s="642"/>
      <c r="AD25" s="643"/>
      <c r="AE25" s="628"/>
      <c r="AF25" s="629"/>
      <c r="AG25" s="629"/>
      <c r="AH25" s="629"/>
      <c r="AI25" s="629"/>
      <c r="AJ25" s="629"/>
      <c r="AK25" s="629"/>
      <c r="AL25" s="629"/>
      <c r="AM25" s="239" t="str">
        <f t="shared" si="1"/>
        <v>-</v>
      </c>
      <c r="AN25" s="239" t="str">
        <f t="shared" si="2"/>
        <v>-</v>
      </c>
      <c r="AO25" s="240" t="str">
        <f t="shared" si="2"/>
        <v>-</v>
      </c>
    </row>
    <row r="26" spans="1:86" ht="13.7" customHeight="1">
      <c r="B26" s="652" t="s">
        <v>10</v>
      </c>
      <c r="C26" s="653"/>
      <c r="D26" s="653"/>
      <c r="E26" s="653"/>
      <c r="F26" s="653"/>
      <c r="G26" s="654"/>
      <c r="H26" s="654"/>
      <c r="I26" s="640"/>
      <c r="J26" s="641"/>
      <c r="K26" s="641"/>
      <c r="L26" s="641"/>
      <c r="M26" s="641"/>
      <c r="N26" s="641"/>
      <c r="O26" s="641"/>
      <c r="P26" s="641"/>
      <c r="Q26" s="551" t="str">
        <f t="shared" si="3"/>
        <v>-</v>
      </c>
      <c r="R26" s="551" t="str">
        <f t="shared" ref="R26:S28" si="6">IF(N26="-", "-", IF(P26="-", "-", IF(ABS(P26)=0, "-", ROUND(100*(N26-P26)/ABS(P26), 1))))</f>
        <v>-</v>
      </c>
      <c r="S26" s="552" t="str">
        <f t="shared" si="6"/>
        <v>-</v>
      </c>
      <c r="T26" s="640"/>
      <c r="U26" s="641"/>
      <c r="V26" s="641"/>
      <c r="W26" s="641"/>
      <c r="X26" s="641"/>
      <c r="Y26" s="641"/>
      <c r="Z26" s="641"/>
      <c r="AA26" s="641"/>
      <c r="AB26" s="551" t="str">
        <f t="shared" si="4"/>
        <v>-</v>
      </c>
      <c r="AC26" s="551" t="str">
        <f t="shared" si="5"/>
        <v>-</v>
      </c>
      <c r="AD26" s="552" t="str">
        <f t="shared" si="5"/>
        <v>-</v>
      </c>
      <c r="AE26" s="640"/>
      <c r="AF26" s="641"/>
      <c r="AG26" s="641"/>
      <c r="AH26" s="641"/>
      <c r="AI26" s="641"/>
      <c r="AJ26" s="641"/>
      <c r="AK26" s="641"/>
      <c r="AL26" s="641"/>
      <c r="AM26" s="551" t="str">
        <f t="shared" si="1"/>
        <v>-</v>
      </c>
      <c r="AN26" s="551" t="str">
        <f t="shared" ref="AN26:AO28" si="7">IF(AJ26="-", "-", IF(AL26="-", "-", IF(ABS(AL26)=0, "-", ROUND(100*(AJ26-AL26)/ABS(AL26), 1))))</f>
        <v>-</v>
      </c>
      <c r="AO26" s="552" t="str">
        <f t="shared" si="7"/>
        <v>-</v>
      </c>
    </row>
    <row r="27" spans="1:86" ht="13.7" customHeight="1">
      <c r="B27" s="303" t="s">
        <v>44</v>
      </c>
      <c r="C27" s="304"/>
      <c r="D27" s="304"/>
      <c r="E27" s="304"/>
      <c r="F27" s="304"/>
      <c r="G27" s="224"/>
      <c r="H27" s="305"/>
      <c r="I27" s="649"/>
      <c r="J27" s="644"/>
      <c r="K27" s="644"/>
      <c r="L27" s="644"/>
      <c r="M27" s="644"/>
      <c r="N27" s="644"/>
      <c r="O27" s="644"/>
      <c r="P27" s="644"/>
      <c r="Q27" s="283" t="str">
        <f>IF(I27="-", "-", IF(M27="-", "-", IF(ABS(M27)=0, "-", ROUND(100*(I27-M27)/ABS(M27), 1))))</f>
        <v>-</v>
      </c>
      <c r="R27" s="283" t="str">
        <f t="shared" si="6"/>
        <v>-</v>
      </c>
      <c r="S27" s="284" t="str">
        <f t="shared" si="6"/>
        <v>-</v>
      </c>
      <c r="T27" s="649"/>
      <c r="U27" s="644"/>
      <c r="V27" s="644"/>
      <c r="W27" s="644"/>
      <c r="X27" s="644"/>
      <c r="Y27" s="644"/>
      <c r="Z27" s="644"/>
      <c r="AA27" s="644"/>
      <c r="AB27" s="283" t="str">
        <f>IF(T27="-", "-", IF(X27="-", "-", IF(ABS(X27)=0, "-", ROUND(100*(T27-X27)/ABS(X27), 1))))</f>
        <v>-</v>
      </c>
      <c r="AC27" s="283" t="str">
        <f>IF(Y27="-", "-", IF(AA27="-", "-", IF(ABS(AA27)=0, "-", ROUND(100*(Y27-AA27)/ABS(AA27), 1))))</f>
        <v>-</v>
      </c>
      <c r="AD27" s="284" t="str">
        <f>IF(Z27="-", "-", IF(AB27="-", "-", IF(ABS(AB27)=0, "-", ROUND(100*(Z27-AB27)/ABS(AB27), 1))))</f>
        <v>-</v>
      </c>
      <c r="AE27" s="645"/>
      <c r="AF27" s="646"/>
      <c r="AG27" s="646"/>
      <c r="AH27" s="646"/>
      <c r="AI27" s="646"/>
      <c r="AJ27" s="646"/>
      <c r="AK27" s="646"/>
      <c r="AL27" s="646"/>
      <c r="AM27" s="647" t="str">
        <f t="shared" si="1"/>
        <v>-</v>
      </c>
      <c r="AN27" s="647" t="str">
        <f t="shared" si="7"/>
        <v>-</v>
      </c>
      <c r="AO27" s="648" t="str">
        <f t="shared" si="7"/>
        <v>-</v>
      </c>
    </row>
    <row r="28" spans="1:86" ht="13.7" customHeight="1" thickBot="1">
      <c r="B28" s="580" t="s">
        <v>45</v>
      </c>
      <c r="C28" s="581"/>
      <c r="D28" s="581"/>
      <c r="E28" s="581"/>
      <c r="F28" s="581"/>
      <c r="G28" s="674"/>
      <c r="H28" s="582"/>
      <c r="I28" s="664"/>
      <c r="J28" s="665"/>
      <c r="K28" s="665"/>
      <c r="L28" s="665"/>
      <c r="M28" s="665"/>
      <c r="N28" s="665"/>
      <c r="O28" s="665"/>
      <c r="P28" s="665"/>
      <c r="Q28" s="593" t="str">
        <f t="shared" ref="Q28" si="8">IF(I28="-", "-", IF(M28="-", "-", IF(ABS(M28)=0, "-", ROUND(100*(I28-M28)/ABS(M28), 1))))</f>
        <v>-</v>
      </c>
      <c r="R28" s="593" t="str">
        <f t="shared" si="6"/>
        <v>-</v>
      </c>
      <c r="S28" s="594" t="str">
        <f t="shared" si="6"/>
        <v>-</v>
      </c>
      <c r="T28" s="664"/>
      <c r="U28" s="665"/>
      <c r="V28" s="665"/>
      <c r="W28" s="665"/>
      <c r="X28" s="665"/>
      <c r="Y28" s="665"/>
      <c r="Z28" s="665"/>
      <c r="AA28" s="665"/>
      <c r="AB28" s="593" t="str">
        <f t="shared" ref="AB28" si="9">IF(T28="-", "-", IF(X28="-", "-", IF(ABS(X28)=0, "-", ROUND(100*(T28-X28)/ABS(X28), 1))))</f>
        <v>-</v>
      </c>
      <c r="AC28" s="593" t="str">
        <f t="shared" ref="AC28:AD28" si="10">IF(Y28="-", "-", IF(AA28="-", "-", IF(ABS(AA28)=0, "-", ROUND(100*(Y28-AA28)/ABS(AA28), 1))))</f>
        <v>-</v>
      </c>
      <c r="AD28" s="594" t="str">
        <f t="shared" si="10"/>
        <v>-</v>
      </c>
      <c r="AE28" s="664"/>
      <c r="AF28" s="665"/>
      <c r="AG28" s="665"/>
      <c r="AH28" s="665"/>
      <c r="AI28" s="665"/>
      <c r="AJ28" s="665"/>
      <c r="AK28" s="665"/>
      <c r="AL28" s="665"/>
      <c r="AM28" s="593" t="str">
        <f t="shared" si="1"/>
        <v>-</v>
      </c>
      <c r="AN28" s="593" t="str">
        <f t="shared" si="7"/>
        <v>-</v>
      </c>
      <c r="AO28" s="594" t="str">
        <f t="shared" si="7"/>
        <v>-</v>
      </c>
    </row>
    <row r="29" spans="1:86" ht="13.7" customHeight="1">
      <c r="B29" s="33"/>
      <c r="C29" s="33"/>
      <c r="D29" s="33"/>
      <c r="E29" s="33"/>
      <c r="F29" s="33"/>
      <c r="G29" s="33"/>
      <c r="H29" s="33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33"/>
      <c r="BF29" s="33"/>
      <c r="BG29" s="33"/>
      <c r="BH29" s="33"/>
      <c r="BI29" s="33"/>
      <c r="BJ29" s="33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</row>
    <row r="30" spans="1:86" ht="13.7" customHeight="1">
      <c r="B30" s="33"/>
      <c r="C30" s="33"/>
      <c r="D30" s="33"/>
      <c r="E30" s="33"/>
      <c r="F30" s="33"/>
      <c r="G30" s="33"/>
      <c r="H30" s="33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33"/>
      <c r="BF30" s="33"/>
      <c r="BG30" s="33"/>
      <c r="BH30" s="33"/>
      <c r="BI30" s="33"/>
      <c r="BJ30" s="33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</row>
    <row r="31" spans="1:86" ht="13.7" customHeight="1" thickBot="1">
      <c r="A31" s="5"/>
      <c r="B31" s="53" t="s">
        <v>240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8" t="s">
        <v>6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W31" s="5"/>
      <c r="BX31" s="657"/>
      <c r="BY31" s="657"/>
    </row>
    <row r="32" spans="1:86" ht="13.7" customHeight="1">
      <c r="B32" s="323"/>
      <c r="C32" s="206"/>
      <c r="D32" s="206"/>
      <c r="E32" s="206"/>
      <c r="F32" s="206"/>
      <c r="G32" s="206"/>
      <c r="H32" s="516"/>
      <c r="I32" s="194" t="s">
        <v>181</v>
      </c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6"/>
      <c r="AE32" s="666" t="s">
        <v>215</v>
      </c>
      <c r="AF32" s="667"/>
      <c r="AG32" s="667"/>
      <c r="AH32" s="667"/>
      <c r="AI32" s="667"/>
      <c r="AJ32" s="667"/>
      <c r="AK32" s="667"/>
      <c r="AL32" s="667"/>
      <c r="AM32" s="667"/>
      <c r="AN32" s="667"/>
      <c r="AO32" s="668"/>
    </row>
    <row r="33" spans="2:85" ht="13.7" customHeight="1">
      <c r="B33" s="658"/>
      <c r="C33" s="659"/>
      <c r="D33" s="659"/>
      <c r="E33" s="659"/>
      <c r="F33" s="659"/>
      <c r="G33" s="659"/>
      <c r="H33" s="660"/>
      <c r="I33" s="661" t="s">
        <v>182</v>
      </c>
      <c r="J33" s="662"/>
      <c r="K33" s="662"/>
      <c r="L33" s="662"/>
      <c r="M33" s="662"/>
      <c r="N33" s="662"/>
      <c r="O33" s="662"/>
      <c r="P33" s="662"/>
      <c r="Q33" s="662"/>
      <c r="R33" s="662"/>
      <c r="S33" s="663"/>
      <c r="T33" s="661" t="s">
        <v>183</v>
      </c>
      <c r="U33" s="662"/>
      <c r="V33" s="662"/>
      <c r="W33" s="662"/>
      <c r="X33" s="662"/>
      <c r="Y33" s="662"/>
      <c r="Z33" s="662"/>
      <c r="AA33" s="662"/>
      <c r="AB33" s="662"/>
      <c r="AC33" s="662"/>
      <c r="AD33" s="663"/>
      <c r="AE33" s="669"/>
      <c r="AF33" s="670"/>
      <c r="AG33" s="670"/>
      <c r="AH33" s="670"/>
      <c r="AI33" s="670"/>
      <c r="AJ33" s="670"/>
      <c r="AK33" s="670"/>
      <c r="AL33" s="670"/>
      <c r="AM33" s="670"/>
      <c r="AN33" s="670"/>
      <c r="AO33" s="671"/>
    </row>
    <row r="34" spans="2:85" ht="13.7" customHeight="1" thickBot="1">
      <c r="B34" s="207"/>
      <c r="C34" s="208"/>
      <c r="D34" s="208"/>
      <c r="E34" s="208"/>
      <c r="F34" s="208"/>
      <c r="G34" s="208"/>
      <c r="H34" s="517"/>
      <c r="I34" s="198" t="str">
        <f>IF($B$1&lt;&gt;"",$B$1,"")</f>
        <v/>
      </c>
      <c r="J34" s="199"/>
      <c r="K34" s="199"/>
      <c r="L34" s="199"/>
      <c r="M34" s="200" t="str">
        <f>IF($B$1&lt;&gt;"",$B$1-1,"")</f>
        <v/>
      </c>
      <c r="N34" s="199"/>
      <c r="O34" s="199"/>
      <c r="P34" s="201"/>
      <c r="Q34" s="202" t="s">
        <v>152</v>
      </c>
      <c r="R34" s="203"/>
      <c r="S34" s="203"/>
      <c r="T34" s="198" t="str">
        <f>IF($B$1&lt;&gt;"",$B$1,"")</f>
        <v/>
      </c>
      <c r="U34" s="199"/>
      <c r="V34" s="199"/>
      <c r="W34" s="199"/>
      <c r="X34" s="200" t="str">
        <f>IF($B$1&lt;&gt;"",$B$1-1,"")</f>
        <v/>
      </c>
      <c r="Y34" s="199"/>
      <c r="Z34" s="199"/>
      <c r="AA34" s="201"/>
      <c r="AB34" s="202" t="s">
        <v>152</v>
      </c>
      <c r="AC34" s="203"/>
      <c r="AD34" s="204"/>
      <c r="AE34" s="198" t="str">
        <f>IF($B$1&lt;&gt;"",$B$1,"")</f>
        <v/>
      </c>
      <c r="AF34" s="199"/>
      <c r="AG34" s="199"/>
      <c r="AH34" s="199"/>
      <c r="AI34" s="200" t="str">
        <f>IF($B$1&lt;&gt;"",$B$1-1,"")</f>
        <v/>
      </c>
      <c r="AJ34" s="199"/>
      <c r="AK34" s="199"/>
      <c r="AL34" s="201"/>
      <c r="AM34" s="202" t="s">
        <v>152</v>
      </c>
      <c r="AN34" s="203"/>
      <c r="AO34" s="204"/>
    </row>
    <row r="35" spans="2:85" ht="13.7" customHeight="1">
      <c r="B35" s="676" t="s">
        <v>74</v>
      </c>
      <c r="C35" s="677"/>
      <c r="D35" s="677"/>
      <c r="E35" s="677"/>
      <c r="F35" s="677"/>
      <c r="G35" s="677"/>
      <c r="H35" s="677"/>
      <c r="I35" s="672"/>
      <c r="J35" s="673"/>
      <c r="K35" s="673"/>
      <c r="L35" s="673"/>
      <c r="M35" s="673"/>
      <c r="N35" s="673"/>
      <c r="O35" s="673"/>
      <c r="P35" s="673"/>
      <c r="Q35" s="215" t="str">
        <f t="shared" ref="Q35:Q39" si="11">IF(I35="-", "-", IF(M35="-", "-", IF(ABS(M35)=0, "-", ROUND(100*(I35-M35)/ABS(M35), 1))))</f>
        <v>-</v>
      </c>
      <c r="R35" s="215" t="str">
        <f t="shared" ref="R35:S39" si="12">IF(N35="-", "-", IF(P35="-", "-", IF(ABS(P35)=0, "-", ROUND(100*(N35-P35)/ABS(P35), 1))))</f>
        <v>-</v>
      </c>
      <c r="S35" s="216" t="str">
        <f t="shared" si="12"/>
        <v>-</v>
      </c>
      <c r="T35" s="672"/>
      <c r="U35" s="673"/>
      <c r="V35" s="673"/>
      <c r="W35" s="673"/>
      <c r="X35" s="673"/>
      <c r="Y35" s="673"/>
      <c r="Z35" s="673"/>
      <c r="AA35" s="673"/>
      <c r="AB35" s="215" t="str">
        <f t="shared" ref="AB35:AB39" si="13">IF(T35="-", "-", IF(X35="-", "-", IF(ABS(X35)=0, "-", ROUND(100*(T35-X35)/ABS(X35), 1))))</f>
        <v>-</v>
      </c>
      <c r="AC35" s="215" t="str">
        <f t="shared" ref="AC35:AD39" si="14">IF(Y35="-", "-", IF(AA35="-", "-", IF(ABS(AA35)=0, "-", ROUND(100*(Y35-AA35)/ABS(AA35), 1))))</f>
        <v>-</v>
      </c>
      <c r="AD35" s="216" t="str">
        <f t="shared" si="14"/>
        <v>-</v>
      </c>
      <c r="AE35" s="398"/>
      <c r="AF35" s="399"/>
      <c r="AG35" s="399"/>
      <c r="AH35" s="400"/>
      <c r="AI35" s="443"/>
      <c r="AJ35" s="399"/>
      <c r="AK35" s="399"/>
      <c r="AL35" s="400"/>
      <c r="AM35" s="444" t="str">
        <f t="shared" ref="AM35:AM39" si="15">IF(AE35="-", "-", IF(AI35="-", "-", IF(ABS(AI35)=0, "-", ROUND(100*(AE35-AI35)/ABS(AI35), 1))))</f>
        <v>-</v>
      </c>
      <c r="AN35" s="444" t="str">
        <f t="shared" ref="AN35:AO39" si="16">IF(AJ35="-", "-", IF(AL35="-", "-", IF(ABS(AL35)=0, "-", ROUND(100*(AJ35-AL35)/ABS(AL35), 1))))</f>
        <v>-</v>
      </c>
      <c r="AO35" s="445" t="str">
        <f t="shared" si="16"/>
        <v>-</v>
      </c>
    </row>
    <row r="36" spans="2:85" ht="13.7" customHeight="1">
      <c r="B36" s="661" t="s">
        <v>163</v>
      </c>
      <c r="C36" s="675"/>
      <c r="D36" s="675"/>
      <c r="E36" s="675"/>
      <c r="F36" s="675"/>
      <c r="G36" s="675"/>
      <c r="H36" s="675"/>
      <c r="I36" s="630"/>
      <c r="J36" s="631"/>
      <c r="K36" s="631"/>
      <c r="L36" s="631"/>
      <c r="M36" s="631"/>
      <c r="N36" s="631"/>
      <c r="O36" s="631"/>
      <c r="P36" s="631"/>
      <c r="Q36" s="228" t="str">
        <f t="shared" si="11"/>
        <v>-</v>
      </c>
      <c r="R36" s="228" t="str">
        <f t="shared" si="12"/>
        <v>-</v>
      </c>
      <c r="S36" s="229" t="str">
        <f t="shared" si="12"/>
        <v>-</v>
      </c>
      <c r="T36" s="630"/>
      <c r="U36" s="631"/>
      <c r="V36" s="631"/>
      <c r="W36" s="631"/>
      <c r="X36" s="631"/>
      <c r="Y36" s="631"/>
      <c r="Z36" s="631"/>
      <c r="AA36" s="631"/>
      <c r="AB36" s="228" t="str">
        <f t="shared" si="13"/>
        <v>-</v>
      </c>
      <c r="AC36" s="228" t="str">
        <f t="shared" si="14"/>
        <v>-</v>
      </c>
      <c r="AD36" s="229" t="str">
        <f t="shared" si="14"/>
        <v>-</v>
      </c>
      <c r="AE36" s="398"/>
      <c r="AF36" s="399"/>
      <c r="AG36" s="399"/>
      <c r="AH36" s="400"/>
      <c r="AI36" s="443"/>
      <c r="AJ36" s="399"/>
      <c r="AK36" s="399"/>
      <c r="AL36" s="400"/>
      <c r="AM36" s="444" t="str">
        <f t="shared" si="15"/>
        <v>-</v>
      </c>
      <c r="AN36" s="444" t="str">
        <f t="shared" si="16"/>
        <v>-</v>
      </c>
      <c r="AO36" s="445" t="str">
        <f t="shared" si="16"/>
        <v>-</v>
      </c>
    </row>
    <row r="37" spans="2:85" ht="13.7" customHeight="1">
      <c r="B37" s="661" t="s">
        <v>164</v>
      </c>
      <c r="C37" s="675"/>
      <c r="D37" s="675"/>
      <c r="E37" s="675"/>
      <c r="F37" s="675"/>
      <c r="G37" s="675"/>
      <c r="H37" s="675"/>
      <c r="I37" s="630"/>
      <c r="J37" s="631"/>
      <c r="K37" s="631"/>
      <c r="L37" s="631"/>
      <c r="M37" s="631"/>
      <c r="N37" s="631"/>
      <c r="O37" s="631"/>
      <c r="P37" s="631"/>
      <c r="Q37" s="228" t="str">
        <f t="shared" si="11"/>
        <v>-</v>
      </c>
      <c r="R37" s="228" t="str">
        <f t="shared" si="12"/>
        <v>-</v>
      </c>
      <c r="S37" s="229" t="str">
        <f t="shared" si="12"/>
        <v>-</v>
      </c>
      <c r="T37" s="630"/>
      <c r="U37" s="631"/>
      <c r="V37" s="631"/>
      <c r="W37" s="631"/>
      <c r="X37" s="631"/>
      <c r="Y37" s="631"/>
      <c r="Z37" s="631"/>
      <c r="AA37" s="631"/>
      <c r="AB37" s="228" t="str">
        <f t="shared" si="13"/>
        <v>-</v>
      </c>
      <c r="AC37" s="228" t="str">
        <f t="shared" si="14"/>
        <v>-</v>
      </c>
      <c r="AD37" s="229" t="str">
        <f t="shared" si="14"/>
        <v>-</v>
      </c>
      <c r="AE37" s="398"/>
      <c r="AF37" s="399"/>
      <c r="AG37" s="399"/>
      <c r="AH37" s="400"/>
      <c r="AI37" s="443"/>
      <c r="AJ37" s="399"/>
      <c r="AK37" s="399"/>
      <c r="AL37" s="400"/>
      <c r="AM37" s="444" t="str">
        <f t="shared" si="15"/>
        <v>-</v>
      </c>
      <c r="AN37" s="444" t="str">
        <f t="shared" si="16"/>
        <v>-</v>
      </c>
      <c r="AO37" s="445" t="str">
        <f t="shared" si="16"/>
        <v>-</v>
      </c>
    </row>
    <row r="38" spans="2:85" ht="13.7" customHeight="1">
      <c r="B38" s="661" t="s">
        <v>75</v>
      </c>
      <c r="C38" s="675"/>
      <c r="D38" s="675"/>
      <c r="E38" s="675"/>
      <c r="F38" s="675"/>
      <c r="G38" s="675"/>
      <c r="H38" s="675"/>
      <c r="I38" s="630"/>
      <c r="J38" s="631"/>
      <c r="K38" s="631"/>
      <c r="L38" s="631"/>
      <c r="M38" s="631"/>
      <c r="N38" s="631"/>
      <c r="O38" s="631"/>
      <c r="P38" s="631"/>
      <c r="Q38" s="228" t="str">
        <f t="shared" si="11"/>
        <v>-</v>
      </c>
      <c r="R38" s="228" t="str">
        <f t="shared" si="12"/>
        <v>-</v>
      </c>
      <c r="S38" s="229" t="str">
        <f t="shared" si="12"/>
        <v>-</v>
      </c>
      <c r="T38" s="630"/>
      <c r="U38" s="631"/>
      <c r="V38" s="631"/>
      <c r="W38" s="631"/>
      <c r="X38" s="631"/>
      <c r="Y38" s="631"/>
      <c r="Z38" s="631"/>
      <c r="AA38" s="631"/>
      <c r="AB38" s="228" t="str">
        <f t="shared" si="13"/>
        <v>-</v>
      </c>
      <c r="AC38" s="228" t="str">
        <f t="shared" si="14"/>
        <v>-</v>
      </c>
      <c r="AD38" s="229" t="str">
        <f t="shared" si="14"/>
        <v>-</v>
      </c>
      <c r="AE38" s="398"/>
      <c r="AF38" s="399"/>
      <c r="AG38" s="399"/>
      <c r="AH38" s="400"/>
      <c r="AI38" s="443"/>
      <c r="AJ38" s="399"/>
      <c r="AK38" s="399"/>
      <c r="AL38" s="400"/>
      <c r="AM38" s="444" t="str">
        <f t="shared" si="15"/>
        <v>-</v>
      </c>
      <c r="AN38" s="444" t="str">
        <f t="shared" si="16"/>
        <v>-</v>
      </c>
      <c r="AO38" s="445" t="str">
        <f t="shared" si="16"/>
        <v>-</v>
      </c>
    </row>
    <row r="39" spans="2:85" ht="13.7" customHeight="1" thickBot="1">
      <c r="B39" s="161" t="s">
        <v>10</v>
      </c>
      <c r="C39" s="162"/>
      <c r="D39" s="162"/>
      <c r="E39" s="162"/>
      <c r="F39" s="162"/>
      <c r="G39" s="162"/>
      <c r="H39" s="162"/>
      <c r="I39" s="664"/>
      <c r="J39" s="665"/>
      <c r="K39" s="665"/>
      <c r="L39" s="665"/>
      <c r="M39" s="665"/>
      <c r="N39" s="665"/>
      <c r="O39" s="665"/>
      <c r="P39" s="665"/>
      <c r="Q39" s="593" t="str">
        <f t="shared" si="11"/>
        <v>-</v>
      </c>
      <c r="R39" s="593" t="str">
        <f t="shared" si="12"/>
        <v>-</v>
      </c>
      <c r="S39" s="594" t="str">
        <f t="shared" si="12"/>
        <v>-</v>
      </c>
      <c r="T39" s="664"/>
      <c r="U39" s="665"/>
      <c r="V39" s="665"/>
      <c r="W39" s="665"/>
      <c r="X39" s="665"/>
      <c r="Y39" s="665"/>
      <c r="Z39" s="665"/>
      <c r="AA39" s="665"/>
      <c r="AB39" s="593" t="str">
        <f t="shared" si="13"/>
        <v>-</v>
      </c>
      <c r="AC39" s="593" t="str">
        <f t="shared" si="14"/>
        <v>-</v>
      </c>
      <c r="AD39" s="594" t="str">
        <f t="shared" si="14"/>
        <v>-</v>
      </c>
      <c r="AE39" s="678"/>
      <c r="AF39" s="679"/>
      <c r="AG39" s="679"/>
      <c r="AH39" s="680"/>
      <c r="AI39" s="681"/>
      <c r="AJ39" s="679"/>
      <c r="AK39" s="679"/>
      <c r="AL39" s="680"/>
      <c r="AM39" s="682" t="str">
        <f t="shared" si="15"/>
        <v>-</v>
      </c>
      <c r="AN39" s="682" t="str">
        <f t="shared" si="16"/>
        <v>-</v>
      </c>
      <c r="AO39" s="683" t="str">
        <f t="shared" si="16"/>
        <v>-</v>
      </c>
    </row>
    <row r="42" spans="2:85" ht="13.7" customHeight="1" thickBot="1">
      <c r="B42" s="53" t="s">
        <v>241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O42" s="4"/>
      <c r="AP42" s="4"/>
      <c r="AQ42" s="4"/>
      <c r="AT42" s="25" t="s">
        <v>242</v>
      </c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39"/>
      <c r="BS42" s="39"/>
      <c r="BT42" s="39"/>
      <c r="BU42" s="39"/>
      <c r="BV42" s="9" t="s">
        <v>6</v>
      </c>
      <c r="BW42"/>
      <c r="BX42"/>
      <c r="BY42"/>
      <c r="BZ42"/>
      <c r="CA42"/>
      <c r="CB42"/>
      <c r="CC42"/>
      <c r="CD42"/>
      <c r="CE42"/>
      <c r="CF42"/>
      <c r="CG42"/>
    </row>
    <row r="43" spans="2:85" ht="13.7" customHeight="1" thickBot="1">
      <c r="B43" s="487"/>
      <c r="C43" s="488"/>
      <c r="D43" s="488"/>
      <c r="E43" s="488"/>
      <c r="F43" s="488"/>
      <c r="G43" s="488"/>
      <c r="H43" s="489"/>
      <c r="I43" s="446" t="str">
        <f>IF($B$1&lt;&gt;"",$B$1,"")</f>
        <v/>
      </c>
      <c r="J43" s="447"/>
      <c r="K43" s="447"/>
      <c r="L43" s="447"/>
      <c r="M43" s="449" t="str">
        <f>IF($B$1&lt;&gt;"",$B$1-1,"")</f>
        <v/>
      </c>
      <c r="N43" s="447"/>
      <c r="O43" s="447"/>
      <c r="P43" s="448"/>
      <c r="Q43" s="352" t="s">
        <v>152</v>
      </c>
      <c r="R43" s="353"/>
      <c r="S43" s="354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41"/>
      <c r="AQ43" s="41"/>
      <c r="AT43" s="268"/>
      <c r="AU43" s="269"/>
      <c r="AV43" s="269"/>
      <c r="AW43" s="269"/>
      <c r="AX43" s="269"/>
      <c r="AY43" s="269"/>
      <c r="AZ43" s="269"/>
      <c r="BA43" s="194" t="s">
        <v>82</v>
      </c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194" t="s">
        <v>12</v>
      </c>
      <c r="BM43" s="274"/>
      <c r="BN43" s="274"/>
      <c r="BO43" s="274"/>
      <c r="BP43" s="274"/>
      <c r="BQ43" s="274"/>
      <c r="BR43" s="274"/>
      <c r="BS43" s="274"/>
      <c r="BT43" s="274"/>
      <c r="BU43" s="274"/>
      <c r="BV43" s="275"/>
      <c r="BW43"/>
      <c r="BX43"/>
      <c r="BY43"/>
      <c r="BZ43"/>
      <c r="CA43"/>
      <c r="CB43"/>
      <c r="CC43"/>
      <c r="CD43"/>
      <c r="CE43"/>
      <c r="CF43"/>
      <c r="CG43"/>
    </row>
    <row r="44" spans="2:85" ht="13.7" customHeight="1" thickBot="1">
      <c r="B44" s="209" t="s">
        <v>184</v>
      </c>
      <c r="C44" s="210"/>
      <c r="D44" s="210"/>
      <c r="E44" s="210"/>
      <c r="F44" s="210"/>
      <c r="G44" s="210"/>
      <c r="H44" s="694"/>
      <c r="I44" s="695"/>
      <c r="J44" s="521"/>
      <c r="K44" s="521"/>
      <c r="L44" s="521"/>
      <c r="M44" s="696"/>
      <c r="N44" s="521"/>
      <c r="O44" s="521"/>
      <c r="P44" s="697"/>
      <c r="Q44" s="215" t="str">
        <f t="shared" ref="Q44:Q46" si="17">IF(I44="-", "-", IF(M44="-", "-", IF(ABS(M44)=0, "-", ROUND(100*(I44-M44)/ABS(M44), 1))))</f>
        <v>-</v>
      </c>
      <c r="R44" s="215" t="str">
        <f t="shared" ref="R44:S46" si="18">IF(N44="-", "-", IF(P44="-", "-", IF(ABS(P44)=0, "-", ROUND(100*(N44-P44)/ABS(P44), 1))))</f>
        <v>-</v>
      </c>
      <c r="S44" s="216" t="str">
        <f t="shared" si="18"/>
        <v>-</v>
      </c>
      <c r="T44" s="56"/>
      <c r="U44" s="56"/>
      <c r="V44" s="56"/>
      <c r="W44" s="56"/>
      <c r="X44" s="56"/>
      <c r="Y44" s="56"/>
      <c r="Z44" s="56"/>
      <c r="AA44" s="56"/>
      <c r="AB44" s="55"/>
      <c r="AC44" s="55"/>
      <c r="AD44" s="55"/>
      <c r="AE44" s="56"/>
      <c r="AF44" s="56"/>
      <c r="AG44" s="56"/>
      <c r="AH44" s="56"/>
      <c r="AI44" s="56"/>
      <c r="AJ44" s="56"/>
      <c r="AK44" s="56"/>
      <c r="AL44" s="56"/>
      <c r="AM44" s="55"/>
      <c r="AN44" s="55"/>
      <c r="AO44" s="55"/>
      <c r="AP44" s="38"/>
      <c r="AQ44" s="38"/>
      <c r="AT44" s="271"/>
      <c r="AU44" s="272"/>
      <c r="AV44" s="272"/>
      <c r="AW44" s="272"/>
      <c r="AX44" s="272"/>
      <c r="AY44" s="272"/>
      <c r="AZ44" s="272"/>
      <c r="BA44" s="198" t="str">
        <f>IF($B$1&lt;&gt;"",$B$1,"")</f>
        <v/>
      </c>
      <c r="BB44" s="199"/>
      <c r="BC44" s="199"/>
      <c r="BD44" s="199"/>
      <c r="BE44" s="200" t="str">
        <f>IF($B$1&lt;&gt;"",$B$1-1,"")</f>
        <v/>
      </c>
      <c r="BF44" s="199"/>
      <c r="BG44" s="199"/>
      <c r="BH44" s="201"/>
      <c r="BI44" s="202" t="s">
        <v>152</v>
      </c>
      <c r="BJ44" s="203"/>
      <c r="BK44" s="204"/>
      <c r="BL44" s="198" t="str">
        <f>IF($B$1&lt;&gt;"",$B$1,"")</f>
        <v/>
      </c>
      <c r="BM44" s="199"/>
      <c r="BN44" s="199"/>
      <c r="BO44" s="199"/>
      <c r="BP44" s="200" t="str">
        <f>IF($B$1&lt;&gt;"",$B$1-1,"")</f>
        <v/>
      </c>
      <c r="BQ44" s="199"/>
      <c r="BR44" s="199"/>
      <c r="BS44" s="201"/>
      <c r="BT44" s="202" t="s">
        <v>152</v>
      </c>
      <c r="BU44" s="203"/>
      <c r="BV44" s="204"/>
      <c r="BW44"/>
      <c r="BX44"/>
      <c r="BY44"/>
      <c r="BZ44"/>
      <c r="CA44"/>
      <c r="CB44"/>
      <c r="CC44"/>
      <c r="CD44"/>
      <c r="CE44"/>
      <c r="CF44"/>
      <c r="CG44"/>
    </row>
    <row r="45" spans="2:85" ht="13.7" customHeight="1">
      <c r="B45" s="250" t="s">
        <v>185</v>
      </c>
      <c r="C45" s="302"/>
      <c r="D45" s="302"/>
      <c r="E45" s="302"/>
      <c r="F45" s="302"/>
      <c r="G45" s="302"/>
      <c r="H45" s="493"/>
      <c r="I45" s="409"/>
      <c r="J45" s="410"/>
      <c r="K45" s="410"/>
      <c r="L45" s="410"/>
      <c r="M45" s="411"/>
      <c r="N45" s="410"/>
      <c r="O45" s="410"/>
      <c r="P45" s="412"/>
      <c r="Q45" s="228" t="str">
        <f t="shared" si="17"/>
        <v>-</v>
      </c>
      <c r="R45" s="228" t="str">
        <f t="shared" si="18"/>
        <v>-</v>
      </c>
      <c r="S45" s="229" t="str">
        <f t="shared" si="18"/>
        <v>-</v>
      </c>
      <c r="T45" s="58"/>
      <c r="U45" s="58"/>
      <c r="V45" s="58"/>
      <c r="W45" s="58"/>
      <c r="X45" s="58"/>
      <c r="Y45" s="58"/>
      <c r="Z45" s="58"/>
      <c r="AA45" s="58"/>
      <c r="AB45" s="57"/>
      <c r="AC45" s="57"/>
      <c r="AD45" s="57"/>
      <c r="AE45" s="58"/>
      <c r="AF45" s="58"/>
      <c r="AG45" s="58"/>
      <c r="AH45" s="58"/>
      <c r="AI45" s="58"/>
      <c r="AJ45" s="58"/>
      <c r="AK45" s="58"/>
      <c r="AL45" s="58"/>
      <c r="AM45" s="57"/>
      <c r="AN45" s="57"/>
      <c r="AO45" s="57"/>
      <c r="AP45" s="44"/>
      <c r="AQ45" s="44"/>
      <c r="AT45" s="686" t="s">
        <v>140</v>
      </c>
      <c r="AU45" s="688" t="s">
        <v>180</v>
      </c>
      <c r="AV45" s="689"/>
      <c r="AW45" s="689"/>
      <c r="AX45" s="689"/>
      <c r="AY45" s="689"/>
      <c r="AZ45" s="690"/>
      <c r="BA45" s="691"/>
      <c r="BB45" s="692"/>
      <c r="BC45" s="692"/>
      <c r="BD45" s="692"/>
      <c r="BE45" s="692"/>
      <c r="BF45" s="692"/>
      <c r="BG45" s="692"/>
      <c r="BH45" s="692"/>
      <c r="BI45" s="684" t="str">
        <f t="shared" ref="BI45:BI53" si="19">IF(BA45="-", "-", IF(BE45="-", "-", IF(ABS(BE45)=0, "-", ROUND(100*(BA45-BE45)/ABS(BE45), 1))))</f>
        <v>-</v>
      </c>
      <c r="BJ45" s="684" t="str">
        <f t="shared" ref="BJ45:BK53" si="20">IF(BF45="-", "-", IF(BH45="-", "-", IF(ABS(BH45)=0, "-", ROUND(100*(BF45-BH45)/ABS(BH45), 1))))</f>
        <v>-</v>
      </c>
      <c r="BK45" s="685" t="str">
        <f t="shared" si="20"/>
        <v>-</v>
      </c>
      <c r="BL45" s="234"/>
      <c r="BM45" s="235"/>
      <c r="BN45" s="235"/>
      <c r="BO45" s="235"/>
      <c r="BP45" s="235"/>
      <c r="BQ45" s="235"/>
      <c r="BR45" s="235"/>
      <c r="BS45" s="235"/>
      <c r="BT45" s="236" t="str">
        <f t="shared" ref="BT45:BT53" si="21">IF(BL45="-", "-", IF(BP45="-", "-", IF(ABS(BP45)=0, "-", ROUND(100*(BL45-BP45)/ABS(BP45), 1))))</f>
        <v>-</v>
      </c>
      <c r="BU45" s="236" t="str">
        <f t="shared" ref="BU45:BV53" si="22">IF(BQ45="-", "-", IF(BS45="-", "-", IF(ABS(BS45)=0, "-", ROUND(100*(BQ45-BS45)/ABS(BS45), 1))))</f>
        <v>-</v>
      </c>
      <c r="BV45" s="237" t="str">
        <f t="shared" si="22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3.7" customHeight="1" thickBot="1">
      <c r="B46" s="698" t="s">
        <v>186</v>
      </c>
      <c r="C46" s="699"/>
      <c r="D46" s="699"/>
      <c r="E46" s="699"/>
      <c r="F46" s="699"/>
      <c r="G46" s="699"/>
      <c r="H46" s="700"/>
      <c r="I46" s="605"/>
      <c r="J46" s="435"/>
      <c r="K46" s="435"/>
      <c r="L46" s="435"/>
      <c r="M46" s="434"/>
      <c r="N46" s="435"/>
      <c r="O46" s="435"/>
      <c r="P46" s="436"/>
      <c r="Q46" s="361" t="str">
        <f t="shared" si="17"/>
        <v>-</v>
      </c>
      <c r="R46" s="361" t="str">
        <f t="shared" si="18"/>
        <v>-</v>
      </c>
      <c r="S46" s="362" t="str">
        <f t="shared" si="18"/>
        <v>-</v>
      </c>
      <c r="T46" s="58"/>
      <c r="U46" s="58"/>
      <c r="V46" s="58"/>
      <c r="W46" s="58"/>
      <c r="X46" s="58"/>
      <c r="Y46" s="58"/>
      <c r="Z46" s="58"/>
      <c r="AA46" s="58"/>
      <c r="AB46" s="57"/>
      <c r="AC46" s="57"/>
      <c r="AD46" s="57"/>
      <c r="AE46" s="58"/>
      <c r="AF46" s="58"/>
      <c r="AG46" s="58"/>
      <c r="AH46" s="58"/>
      <c r="AI46" s="58"/>
      <c r="AJ46" s="58"/>
      <c r="AK46" s="58"/>
      <c r="AL46" s="58"/>
      <c r="AM46" s="57"/>
      <c r="AN46" s="57"/>
      <c r="AO46" s="57"/>
      <c r="AP46" s="13"/>
      <c r="AQ46" s="13"/>
      <c r="AT46" s="686"/>
      <c r="AU46" s="39"/>
      <c r="AV46" s="693" t="s">
        <v>182</v>
      </c>
      <c r="AW46" s="343"/>
      <c r="AX46" s="343"/>
      <c r="AY46" s="343"/>
      <c r="AZ46" s="344"/>
      <c r="BA46" s="630"/>
      <c r="BB46" s="631"/>
      <c r="BC46" s="631"/>
      <c r="BD46" s="631"/>
      <c r="BE46" s="631"/>
      <c r="BF46" s="631"/>
      <c r="BG46" s="631"/>
      <c r="BH46" s="631"/>
      <c r="BI46" s="228" t="str">
        <f t="shared" si="19"/>
        <v>-</v>
      </c>
      <c r="BJ46" s="228" t="str">
        <f t="shared" si="20"/>
        <v>-</v>
      </c>
      <c r="BK46" s="229" t="str">
        <f t="shared" si="20"/>
        <v>-</v>
      </c>
      <c r="BL46" s="226"/>
      <c r="BM46" s="227"/>
      <c r="BN46" s="227"/>
      <c r="BO46" s="227"/>
      <c r="BP46" s="227"/>
      <c r="BQ46" s="227"/>
      <c r="BR46" s="227"/>
      <c r="BS46" s="227"/>
      <c r="BT46" s="228" t="str">
        <f t="shared" si="21"/>
        <v>-</v>
      </c>
      <c r="BU46" s="228" t="str">
        <f t="shared" si="22"/>
        <v>-</v>
      </c>
      <c r="BV46" s="229" t="str">
        <f t="shared" si="22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3.7" customHeight="1">
      <c r="T47" s="58"/>
      <c r="U47" s="58"/>
      <c r="V47" s="58"/>
      <c r="W47" s="58"/>
      <c r="X47" s="58"/>
      <c r="Y47" s="58"/>
      <c r="Z47" s="58"/>
      <c r="AA47" s="58"/>
      <c r="AB47" s="57"/>
      <c r="AC47" s="57"/>
      <c r="AD47" s="57"/>
      <c r="AE47" s="58"/>
      <c r="AF47" s="58"/>
      <c r="AG47" s="58"/>
      <c r="AH47" s="58"/>
      <c r="AI47" s="58"/>
      <c r="AJ47" s="58"/>
      <c r="AK47" s="58"/>
      <c r="AL47" s="58"/>
      <c r="AM47" s="57"/>
      <c r="AN47" s="57"/>
      <c r="AO47" s="57"/>
      <c r="AP47" s="13"/>
      <c r="AQ47" s="13"/>
      <c r="AT47" s="686"/>
      <c r="AU47" s="39"/>
      <c r="AV47" s="693" t="s">
        <v>183</v>
      </c>
      <c r="AW47" s="343"/>
      <c r="AX47" s="343"/>
      <c r="AY47" s="343"/>
      <c r="AZ47" s="344"/>
      <c r="BA47" s="630"/>
      <c r="BB47" s="631"/>
      <c r="BC47" s="631"/>
      <c r="BD47" s="631"/>
      <c r="BE47" s="631"/>
      <c r="BF47" s="631"/>
      <c r="BG47" s="631"/>
      <c r="BH47" s="631"/>
      <c r="BI47" s="228" t="str">
        <f t="shared" si="19"/>
        <v>-</v>
      </c>
      <c r="BJ47" s="228" t="str">
        <f t="shared" si="20"/>
        <v>-</v>
      </c>
      <c r="BK47" s="229" t="str">
        <f t="shared" si="20"/>
        <v>-</v>
      </c>
      <c r="BL47" s="226"/>
      <c r="BM47" s="227"/>
      <c r="BN47" s="227"/>
      <c r="BO47" s="227"/>
      <c r="BP47" s="227"/>
      <c r="BQ47" s="227"/>
      <c r="BR47" s="227"/>
      <c r="BS47" s="227"/>
      <c r="BT47" s="228" t="str">
        <f t="shared" si="21"/>
        <v>-</v>
      </c>
      <c r="BU47" s="228" t="str">
        <f t="shared" si="22"/>
        <v>-</v>
      </c>
      <c r="BV47" s="229" t="str">
        <f t="shared" si="22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3.7" customHeight="1">
      <c r="T48" s="58"/>
      <c r="U48" s="58"/>
      <c r="V48" s="58"/>
      <c r="W48" s="58"/>
      <c r="X48" s="58"/>
      <c r="Y48" s="58"/>
      <c r="Z48" s="58"/>
      <c r="AA48" s="58"/>
      <c r="AB48" s="57"/>
      <c r="AC48" s="57"/>
      <c r="AD48" s="57"/>
      <c r="AE48" s="58"/>
      <c r="AF48" s="58"/>
      <c r="AG48" s="58"/>
      <c r="AH48" s="58"/>
      <c r="AI48" s="58"/>
      <c r="AJ48" s="58"/>
      <c r="AK48" s="58"/>
      <c r="AL48" s="58"/>
      <c r="AM48" s="57"/>
      <c r="AN48" s="57"/>
      <c r="AO48" s="57"/>
      <c r="AP48" s="13"/>
      <c r="AQ48" s="13"/>
      <c r="AT48" s="686"/>
      <c r="AU48" s="704" t="s">
        <v>32</v>
      </c>
      <c r="AV48" s="705"/>
      <c r="AW48" s="705"/>
      <c r="AX48" s="705"/>
      <c r="AY48" s="705"/>
      <c r="AZ48" s="706"/>
      <c r="BA48" s="707"/>
      <c r="BB48" s="701"/>
      <c r="BC48" s="701"/>
      <c r="BD48" s="701"/>
      <c r="BE48" s="701"/>
      <c r="BF48" s="701"/>
      <c r="BG48" s="701"/>
      <c r="BH48" s="701"/>
      <c r="BI48" s="702" t="str">
        <f t="shared" si="19"/>
        <v>-</v>
      </c>
      <c r="BJ48" s="702" t="str">
        <f t="shared" si="20"/>
        <v>-</v>
      </c>
      <c r="BK48" s="703" t="str">
        <f t="shared" si="20"/>
        <v>-</v>
      </c>
      <c r="BL48" s="241"/>
      <c r="BM48" s="238"/>
      <c r="BN48" s="238"/>
      <c r="BO48" s="238"/>
      <c r="BP48" s="238"/>
      <c r="BQ48" s="238"/>
      <c r="BR48" s="238"/>
      <c r="BS48" s="238"/>
      <c r="BT48" s="239" t="str">
        <f t="shared" si="21"/>
        <v>-</v>
      </c>
      <c r="BU48" s="239" t="str">
        <f t="shared" si="22"/>
        <v>-</v>
      </c>
      <c r="BV48" s="240" t="str">
        <f t="shared" si="22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20:85" ht="13.7" customHeight="1">
      <c r="T49" s="58"/>
      <c r="U49" s="58"/>
      <c r="V49" s="58"/>
      <c r="W49" s="58"/>
      <c r="X49" s="58"/>
      <c r="Y49" s="58"/>
      <c r="Z49" s="58"/>
      <c r="AA49" s="58"/>
      <c r="AB49" s="57"/>
      <c r="AC49" s="57"/>
      <c r="AD49" s="57"/>
      <c r="AE49" s="58"/>
      <c r="AF49" s="58"/>
      <c r="AG49" s="58"/>
      <c r="AH49" s="58"/>
      <c r="AI49" s="58"/>
      <c r="AJ49" s="58"/>
      <c r="AK49" s="58"/>
      <c r="AL49" s="58"/>
      <c r="AM49" s="57"/>
      <c r="AN49" s="57"/>
      <c r="AO49" s="57"/>
      <c r="AP49" s="13"/>
      <c r="AQ49" s="13"/>
      <c r="AT49" s="686"/>
      <c r="AU49" s="39"/>
      <c r="AV49" s="693" t="s">
        <v>182</v>
      </c>
      <c r="AW49" s="343"/>
      <c r="AX49" s="343"/>
      <c r="AY49" s="343"/>
      <c r="AZ49" s="344"/>
      <c r="BA49" s="630"/>
      <c r="BB49" s="631"/>
      <c r="BC49" s="631"/>
      <c r="BD49" s="631"/>
      <c r="BE49" s="631"/>
      <c r="BF49" s="631"/>
      <c r="BG49" s="631"/>
      <c r="BH49" s="631"/>
      <c r="BI49" s="228" t="str">
        <f t="shared" si="19"/>
        <v>-</v>
      </c>
      <c r="BJ49" s="228" t="str">
        <f t="shared" si="20"/>
        <v>-</v>
      </c>
      <c r="BK49" s="229" t="str">
        <f t="shared" si="20"/>
        <v>-</v>
      </c>
      <c r="BL49" s="226"/>
      <c r="BM49" s="227"/>
      <c r="BN49" s="227"/>
      <c r="BO49" s="227"/>
      <c r="BP49" s="227"/>
      <c r="BQ49" s="227"/>
      <c r="BR49" s="227"/>
      <c r="BS49" s="227"/>
      <c r="BT49" s="228" t="str">
        <f t="shared" si="21"/>
        <v>-</v>
      </c>
      <c r="BU49" s="228" t="str">
        <f t="shared" si="22"/>
        <v>-</v>
      </c>
      <c r="BV49" s="229" t="str">
        <f t="shared" si="22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20:85" ht="13.7" customHeight="1">
      <c r="AT50" s="686"/>
      <c r="AU50" s="39"/>
      <c r="AV50" s="589" t="s">
        <v>183</v>
      </c>
      <c r="AW50" s="347"/>
      <c r="AX50" s="347"/>
      <c r="AY50" s="347"/>
      <c r="AZ50" s="348"/>
      <c r="BA50" s="630"/>
      <c r="BB50" s="631"/>
      <c r="BC50" s="631"/>
      <c r="BD50" s="631"/>
      <c r="BE50" s="631"/>
      <c r="BF50" s="631"/>
      <c r="BG50" s="631"/>
      <c r="BH50" s="631"/>
      <c r="BI50" s="228" t="str">
        <f t="shared" si="19"/>
        <v>-</v>
      </c>
      <c r="BJ50" s="228" t="str">
        <f t="shared" si="20"/>
        <v>-</v>
      </c>
      <c r="BK50" s="229" t="str">
        <f t="shared" si="20"/>
        <v>-</v>
      </c>
      <c r="BL50" s="226"/>
      <c r="BM50" s="227"/>
      <c r="BN50" s="227"/>
      <c r="BO50" s="227"/>
      <c r="BP50" s="227"/>
      <c r="BQ50" s="227"/>
      <c r="BR50" s="227"/>
      <c r="BS50" s="227"/>
      <c r="BT50" s="228" t="str">
        <f t="shared" si="21"/>
        <v>-</v>
      </c>
      <c r="BU50" s="228" t="str">
        <f t="shared" si="22"/>
        <v>-</v>
      </c>
      <c r="BV50" s="229" t="str">
        <f t="shared" si="22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20:85" ht="13.7" customHeight="1">
      <c r="AT51" s="686"/>
      <c r="AU51" s="704" t="s">
        <v>52</v>
      </c>
      <c r="AV51" s="705"/>
      <c r="AW51" s="705"/>
      <c r="AX51" s="705"/>
      <c r="AY51" s="705"/>
      <c r="AZ51" s="706"/>
      <c r="BA51" s="707"/>
      <c r="BB51" s="701"/>
      <c r="BC51" s="701"/>
      <c r="BD51" s="701"/>
      <c r="BE51" s="701"/>
      <c r="BF51" s="701"/>
      <c r="BG51" s="701"/>
      <c r="BH51" s="701"/>
      <c r="BI51" s="702" t="str">
        <f t="shared" si="19"/>
        <v>-</v>
      </c>
      <c r="BJ51" s="702" t="str">
        <f t="shared" si="20"/>
        <v>-</v>
      </c>
      <c r="BK51" s="703" t="str">
        <f t="shared" si="20"/>
        <v>-</v>
      </c>
      <c r="BL51" s="241"/>
      <c r="BM51" s="238"/>
      <c r="BN51" s="238"/>
      <c r="BO51" s="238"/>
      <c r="BP51" s="238"/>
      <c r="BQ51" s="238"/>
      <c r="BR51" s="238"/>
      <c r="BS51" s="238"/>
      <c r="BT51" s="239" t="str">
        <f t="shared" si="21"/>
        <v>-</v>
      </c>
      <c r="BU51" s="239" t="str">
        <f t="shared" si="22"/>
        <v>-</v>
      </c>
      <c r="BV51" s="240" t="str">
        <f t="shared" si="22"/>
        <v>-</v>
      </c>
      <c r="BW51"/>
      <c r="BX51"/>
      <c r="BY51"/>
      <c r="BZ51"/>
      <c r="CA51"/>
      <c r="CB51"/>
      <c r="CC51"/>
      <c r="CD51"/>
      <c r="CE51"/>
      <c r="CF51"/>
      <c r="CG51"/>
    </row>
    <row r="52" spans="20:85" ht="13.7" customHeight="1">
      <c r="AT52" s="686"/>
      <c r="AU52" s="39"/>
      <c r="AV52" s="693" t="s">
        <v>182</v>
      </c>
      <c r="AW52" s="343"/>
      <c r="AX52" s="343"/>
      <c r="AY52" s="343"/>
      <c r="AZ52" s="344"/>
      <c r="BA52" s="707"/>
      <c r="BB52" s="701"/>
      <c r="BC52" s="701"/>
      <c r="BD52" s="701"/>
      <c r="BE52" s="701"/>
      <c r="BF52" s="701"/>
      <c r="BG52" s="701"/>
      <c r="BH52" s="701"/>
      <c r="BI52" s="702" t="str">
        <f t="shared" si="19"/>
        <v>-</v>
      </c>
      <c r="BJ52" s="702" t="str">
        <f t="shared" si="20"/>
        <v>-</v>
      </c>
      <c r="BK52" s="703" t="str">
        <f t="shared" si="20"/>
        <v>-</v>
      </c>
      <c r="BL52" s="241"/>
      <c r="BM52" s="238"/>
      <c r="BN52" s="238"/>
      <c r="BO52" s="238"/>
      <c r="BP52" s="238"/>
      <c r="BQ52" s="238"/>
      <c r="BR52" s="238"/>
      <c r="BS52" s="238"/>
      <c r="BT52" s="239" t="str">
        <f t="shared" si="21"/>
        <v>-</v>
      </c>
      <c r="BU52" s="239" t="str">
        <f t="shared" si="22"/>
        <v>-</v>
      </c>
      <c r="BV52" s="240" t="str">
        <f t="shared" si="22"/>
        <v>-</v>
      </c>
      <c r="BW52"/>
      <c r="BX52"/>
      <c r="BY52"/>
      <c r="BZ52"/>
      <c r="CA52"/>
      <c r="CB52"/>
      <c r="CC52"/>
      <c r="CD52"/>
      <c r="CE52"/>
      <c r="CF52"/>
      <c r="CG52"/>
    </row>
    <row r="53" spans="20:85" ht="13.7" customHeight="1" thickBot="1">
      <c r="AT53" s="687"/>
      <c r="AU53" s="2"/>
      <c r="AV53" s="708" t="s">
        <v>183</v>
      </c>
      <c r="AW53" s="357"/>
      <c r="AX53" s="357"/>
      <c r="AY53" s="357"/>
      <c r="AZ53" s="358"/>
      <c r="BA53" s="709"/>
      <c r="BB53" s="710"/>
      <c r="BC53" s="710"/>
      <c r="BD53" s="710"/>
      <c r="BE53" s="710"/>
      <c r="BF53" s="710"/>
      <c r="BG53" s="710"/>
      <c r="BH53" s="710"/>
      <c r="BI53" s="711" t="str">
        <f t="shared" si="19"/>
        <v>-</v>
      </c>
      <c r="BJ53" s="711" t="str">
        <f t="shared" si="20"/>
        <v>-</v>
      </c>
      <c r="BK53" s="712" t="str">
        <f t="shared" si="20"/>
        <v>-</v>
      </c>
      <c r="BL53" s="328"/>
      <c r="BM53" s="329"/>
      <c r="BN53" s="329"/>
      <c r="BO53" s="329"/>
      <c r="BP53" s="329"/>
      <c r="BQ53" s="329"/>
      <c r="BR53" s="329"/>
      <c r="BS53" s="329"/>
      <c r="BT53" s="321" t="str">
        <f t="shared" si="21"/>
        <v>-</v>
      </c>
      <c r="BU53" s="321" t="str">
        <f t="shared" si="22"/>
        <v>-</v>
      </c>
      <c r="BV53" s="322" t="str">
        <f t="shared" si="22"/>
        <v>-</v>
      </c>
      <c r="BW53"/>
      <c r="BX53"/>
      <c r="BY53"/>
      <c r="BZ53"/>
      <c r="CA53"/>
      <c r="CB53"/>
      <c r="CC53"/>
      <c r="CD53"/>
      <c r="CE53"/>
      <c r="CF53"/>
      <c r="CG53"/>
    </row>
    <row r="59" spans="20:85" ht="13.7" customHeight="1">
      <c r="T59" s="32"/>
      <c r="U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</row>
    <row r="60" spans="20:85" ht="13.7" customHeight="1"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</row>
    <row r="61" spans="20:85" ht="13.7" customHeight="1"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</row>
    <row r="62" spans="20:85" ht="13.7" customHeight="1"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</row>
  </sheetData>
  <mergeCells count="398">
    <mergeCell ref="CA4:CD4"/>
    <mergeCell ref="G5:I5"/>
    <mergeCell ref="AH4:AK4"/>
    <mergeCell ref="AM4:AP4"/>
    <mergeCell ref="AR4:AU4"/>
    <mergeCell ref="AW4:AZ4"/>
    <mergeCell ref="BB4:BE4"/>
    <mergeCell ref="BG4:BJ4"/>
    <mergeCell ref="BL4:BO4"/>
    <mergeCell ref="BQ4:BT4"/>
    <mergeCell ref="BV4:BY4"/>
    <mergeCell ref="BT52:BV52"/>
    <mergeCell ref="AV53:AZ53"/>
    <mergeCell ref="BA53:BD53"/>
    <mergeCell ref="BE53:BH53"/>
    <mergeCell ref="BI53:BK53"/>
    <mergeCell ref="AV52:AZ52"/>
    <mergeCell ref="BA52:BD52"/>
    <mergeCell ref="BE52:BH52"/>
    <mergeCell ref="BI52:BK52"/>
    <mergeCell ref="BL52:BO52"/>
    <mergeCell ref="BP52:BS52"/>
    <mergeCell ref="BT53:BV53"/>
    <mergeCell ref="BL53:BO53"/>
    <mergeCell ref="BP53:BS53"/>
    <mergeCell ref="BT50:BV50"/>
    <mergeCell ref="AU51:AZ51"/>
    <mergeCell ref="BA51:BD51"/>
    <mergeCell ref="BE51:BH51"/>
    <mergeCell ref="BI51:BK51"/>
    <mergeCell ref="BL51:BO51"/>
    <mergeCell ref="BP51:BS51"/>
    <mergeCell ref="AV50:AZ50"/>
    <mergeCell ref="BA50:BD50"/>
    <mergeCell ref="BE50:BH50"/>
    <mergeCell ref="BI50:BK50"/>
    <mergeCell ref="BL50:BO50"/>
    <mergeCell ref="BP50:BS50"/>
    <mergeCell ref="BT51:BV51"/>
    <mergeCell ref="B46:H46"/>
    <mergeCell ref="I46:L46"/>
    <mergeCell ref="M46:P46"/>
    <mergeCell ref="Q46:S46"/>
    <mergeCell ref="BE48:BH48"/>
    <mergeCell ref="BI48:BK48"/>
    <mergeCell ref="BL48:BO48"/>
    <mergeCell ref="BP48:BS48"/>
    <mergeCell ref="BT48:BV48"/>
    <mergeCell ref="AU48:AZ48"/>
    <mergeCell ref="BA48:BD48"/>
    <mergeCell ref="AV47:AZ47"/>
    <mergeCell ref="BA47:BD47"/>
    <mergeCell ref="BE47:BH47"/>
    <mergeCell ref="BI47:BK47"/>
    <mergeCell ref="B44:H44"/>
    <mergeCell ref="I44:L44"/>
    <mergeCell ref="M44:P44"/>
    <mergeCell ref="Q44:S44"/>
    <mergeCell ref="BA44:BD44"/>
    <mergeCell ref="BE44:BH44"/>
    <mergeCell ref="B45:H45"/>
    <mergeCell ref="I45:L45"/>
    <mergeCell ref="M45:P45"/>
    <mergeCell ref="Q45:S45"/>
    <mergeCell ref="BE45:BH45"/>
    <mergeCell ref="BI45:BK45"/>
    <mergeCell ref="BL45:BO45"/>
    <mergeCell ref="BP45:BS45"/>
    <mergeCell ref="BT45:BV45"/>
    <mergeCell ref="AT45:AT53"/>
    <mergeCell ref="AU45:AZ45"/>
    <mergeCell ref="BA45:BD45"/>
    <mergeCell ref="BE46:BH46"/>
    <mergeCell ref="AV46:AZ46"/>
    <mergeCell ref="BA46:BD46"/>
    <mergeCell ref="BT46:BV46"/>
    <mergeCell ref="BL47:BO47"/>
    <mergeCell ref="BP47:BS47"/>
    <mergeCell ref="BT47:BV47"/>
    <mergeCell ref="BI46:BK46"/>
    <mergeCell ref="BL46:BO46"/>
    <mergeCell ref="BP46:BS46"/>
    <mergeCell ref="BL49:BO49"/>
    <mergeCell ref="BP49:BS49"/>
    <mergeCell ref="BT49:BV49"/>
    <mergeCell ref="AV49:AZ49"/>
    <mergeCell ref="BA49:BD49"/>
    <mergeCell ref="BE49:BH49"/>
    <mergeCell ref="BI49:BK49"/>
    <mergeCell ref="BI44:BK44"/>
    <mergeCell ref="BL44:BO44"/>
    <mergeCell ref="BP44:BS44"/>
    <mergeCell ref="BT44:BV44"/>
    <mergeCell ref="AT43:AZ44"/>
    <mergeCell ref="BA43:BK43"/>
    <mergeCell ref="BL43:BV43"/>
    <mergeCell ref="AE39:AH39"/>
    <mergeCell ref="AI39:AL39"/>
    <mergeCell ref="AM39:AO39"/>
    <mergeCell ref="X37:AA37"/>
    <mergeCell ref="AB37:AD37"/>
    <mergeCell ref="I43:L43"/>
    <mergeCell ref="M43:P43"/>
    <mergeCell ref="Q43:S43"/>
    <mergeCell ref="B39:H39"/>
    <mergeCell ref="I39:L39"/>
    <mergeCell ref="M39:P39"/>
    <mergeCell ref="Q39:S39"/>
    <mergeCell ref="T39:W39"/>
    <mergeCell ref="X39:AA39"/>
    <mergeCell ref="AM36:AO36"/>
    <mergeCell ref="B35:H35"/>
    <mergeCell ref="I35:L35"/>
    <mergeCell ref="M35:P35"/>
    <mergeCell ref="AB39:AD39"/>
    <mergeCell ref="B43:H43"/>
    <mergeCell ref="AE37:AH37"/>
    <mergeCell ref="AI37:AL37"/>
    <mergeCell ref="AM37:AO37"/>
    <mergeCell ref="B38:H38"/>
    <mergeCell ref="I38:L38"/>
    <mergeCell ref="M38:P38"/>
    <mergeCell ref="Q38:S38"/>
    <mergeCell ref="T38:W38"/>
    <mergeCell ref="X38:AA38"/>
    <mergeCell ref="AB38:AD38"/>
    <mergeCell ref="AE38:AH38"/>
    <mergeCell ref="AI38:AL38"/>
    <mergeCell ref="AM38:AO38"/>
    <mergeCell ref="B37:H37"/>
    <mergeCell ref="I37:L37"/>
    <mergeCell ref="M37:P37"/>
    <mergeCell ref="Q37:S37"/>
    <mergeCell ref="T37:W37"/>
    <mergeCell ref="B36:H36"/>
    <mergeCell ref="I36:L36"/>
    <mergeCell ref="M36:P36"/>
    <mergeCell ref="Q36:S36"/>
    <mergeCell ref="T36:W36"/>
    <mergeCell ref="X36:AA36"/>
    <mergeCell ref="AB36:AD36"/>
    <mergeCell ref="AE36:AH36"/>
    <mergeCell ref="AI36:AL36"/>
    <mergeCell ref="B27:H27"/>
    <mergeCell ref="I28:L28"/>
    <mergeCell ref="M28:P28"/>
    <mergeCell ref="Q28:S28"/>
    <mergeCell ref="AE32:AO33"/>
    <mergeCell ref="Q35:S35"/>
    <mergeCell ref="T35:W35"/>
    <mergeCell ref="X35:AA35"/>
    <mergeCell ref="AB35:AD35"/>
    <mergeCell ref="I34:L34"/>
    <mergeCell ref="M34:P34"/>
    <mergeCell ref="X34:AA34"/>
    <mergeCell ref="AB34:AD34"/>
    <mergeCell ref="AE35:AH35"/>
    <mergeCell ref="AI35:AL35"/>
    <mergeCell ref="AM35:AO35"/>
    <mergeCell ref="B28:H28"/>
    <mergeCell ref="AB28:AD28"/>
    <mergeCell ref="AE28:AH28"/>
    <mergeCell ref="AI28:AL28"/>
    <mergeCell ref="AM28:AO28"/>
    <mergeCell ref="T28:W28"/>
    <mergeCell ref="X28:AA28"/>
    <mergeCell ref="I27:L27"/>
    <mergeCell ref="BX31:BY31"/>
    <mergeCell ref="B32:H34"/>
    <mergeCell ref="I32:AD32"/>
    <mergeCell ref="I33:S33"/>
    <mergeCell ref="Q34:S34"/>
    <mergeCell ref="T34:W34"/>
    <mergeCell ref="T33:AD33"/>
    <mergeCell ref="AE34:AH34"/>
    <mergeCell ref="AI34:AL34"/>
    <mergeCell ref="AM34:AO34"/>
    <mergeCell ref="C25:H25"/>
    <mergeCell ref="AI27:AL27"/>
    <mergeCell ref="AE24:AH24"/>
    <mergeCell ref="AI24:AL24"/>
    <mergeCell ref="B10:B25"/>
    <mergeCell ref="C13:H13"/>
    <mergeCell ref="C23:H23"/>
    <mergeCell ref="C21:H21"/>
    <mergeCell ref="Q14:S14"/>
    <mergeCell ref="C16:H16"/>
    <mergeCell ref="I16:L16"/>
    <mergeCell ref="M16:P16"/>
    <mergeCell ref="Q16:S16"/>
    <mergeCell ref="Q24:S24"/>
    <mergeCell ref="I23:L23"/>
    <mergeCell ref="M23:P23"/>
    <mergeCell ref="Q23:S23"/>
    <mergeCell ref="AB23:AD23"/>
    <mergeCell ref="AE23:AH23"/>
    <mergeCell ref="AI23:AL23"/>
    <mergeCell ref="B26:H26"/>
    <mergeCell ref="T25:W25"/>
    <mergeCell ref="X25:AA25"/>
    <mergeCell ref="I25:L25"/>
    <mergeCell ref="M27:P27"/>
    <mergeCell ref="Q27:S27"/>
    <mergeCell ref="AB27:AD27"/>
    <mergeCell ref="AE27:AH27"/>
    <mergeCell ref="M25:P25"/>
    <mergeCell ref="AM27:AO27"/>
    <mergeCell ref="T27:W27"/>
    <mergeCell ref="X27:AA27"/>
    <mergeCell ref="AI26:AL26"/>
    <mergeCell ref="AB20:AD20"/>
    <mergeCell ref="AE20:AH20"/>
    <mergeCell ref="AI20:AL20"/>
    <mergeCell ref="T24:W24"/>
    <mergeCell ref="X24:AA24"/>
    <mergeCell ref="AM24:AO24"/>
    <mergeCell ref="AB25:AD25"/>
    <mergeCell ref="AE25:AH25"/>
    <mergeCell ref="AI25:AL25"/>
    <mergeCell ref="AB24:AD24"/>
    <mergeCell ref="AM21:AO21"/>
    <mergeCell ref="T21:W21"/>
    <mergeCell ref="X21:AA21"/>
    <mergeCell ref="I21:L21"/>
    <mergeCell ref="AM25:AO25"/>
    <mergeCell ref="AM26:AO26"/>
    <mergeCell ref="T26:W26"/>
    <mergeCell ref="X26:AA26"/>
    <mergeCell ref="I26:L26"/>
    <mergeCell ref="M26:P26"/>
    <mergeCell ref="Q26:S26"/>
    <mergeCell ref="AM23:AO23"/>
    <mergeCell ref="AB21:AD21"/>
    <mergeCell ref="AE21:AH21"/>
    <mergeCell ref="AI21:AL21"/>
    <mergeCell ref="Q25:S25"/>
    <mergeCell ref="AB26:AD26"/>
    <mergeCell ref="AE26:AH26"/>
    <mergeCell ref="AM18:AO18"/>
    <mergeCell ref="T18:W18"/>
    <mergeCell ref="X18:AA18"/>
    <mergeCell ref="I18:L18"/>
    <mergeCell ref="M18:P18"/>
    <mergeCell ref="Q18:S18"/>
    <mergeCell ref="AB18:AD18"/>
    <mergeCell ref="AE18:AH18"/>
    <mergeCell ref="AI18:AL18"/>
    <mergeCell ref="C18:H18"/>
    <mergeCell ref="T17:W17"/>
    <mergeCell ref="X17:AA17"/>
    <mergeCell ref="I17:L17"/>
    <mergeCell ref="M17:P17"/>
    <mergeCell ref="Q17:S17"/>
    <mergeCell ref="C24:H24"/>
    <mergeCell ref="M21:P21"/>
    <mergeCell ref="Q21:S21"/>
    <mergeCell ref="T23:W23"/>
    <mergeCell ref="X23:AA23"/>
    <mergeCell ref="C20:H20"/>
    <mergeCell ref="T19:W19"/>
    <mergeCell ref="X19:AA19"/>
    <mergeCell ref="I19:L19"/>
    <mergeCell ref="M19:P19"/>
    <mergeCell ref="Q19:S19"/>
    <mergeCell ref="T20:W20"/>
    <mergeCell ref="X20:AA20"/>
    <mergeCell ref="I24:L24"/>
    <mergeCell ref="M24:P24"/>
    <mergeCell ref="I20:L20"/>
    <mergeCell ref="M20:P20"/>
    <mergeCell ref="Q20:S20"/>
    <mergeCell ref="AM15:AO15"/>
    <mergeCell ref="T15:W15"/>
    <mergeCell ref="X15:AA15"/>
    <mergeCell ref="I15:L15"/>
    <mergeCell ref="M15:P15"/>
    <mergeCell ref="Q15:S15"/>
    <mergeCell ref="C14:H14"/>
    <mergeCell ref="AE15:AH15"/>
    <mergeCell ref="AI15:AL15"/>
    <mergeCell ref="C15:H15"/>
    <mergeCell ref="T14:W14"/>
    <mergeCell ref="X14:AA14"/>
    <mergeCell ref="I14:L14"/>
    <mergeCell ref="M14:P14"/>
    <mergeCell ref="AE14:AH14"/>
    <mergeCell ref="AI14:AL14"/>
    <mergeCell ref="AM14:AO14"/>
    <mergeCell ref="AE8:AO8"/>
    <mergeCell ref="AE9:AH9"/>
    <mergeCell ref="AI9:AL9"/>
    <mergeCell ref="AM9:AO9"/>
    <mergeCell ref="T9:W9"/>
    <mergeCell ref="AE10:AH10"/>
    <mergeCell ref="AI10:AL10"/>
    <mergeCell ref="AM10:AO10"/>
    <mergeCell ref="AM11:AO11"/>
    <mergeCell ref="T11:W11"/>
    <mergeCell ref="X11:AA11"/>
    <mergeCell ref="AI13:AL13"/>
    <mergeCell ref="AM13:AO13"/>
    <mergeCell ref="C12:H12"/>
    <mergeCell ref="I12:L12"/>
    <mergeCell ref="M12:P12"/>
    <mergeCell ref="Q12:S12"/>
    <mergeCell ref="AE11:AH11"/>
    <mergeCell ref="AI11:AL11"/>
    <mergeCell ref="AB13:AD13"/>
    <mergeCell ref="AE13:AH13"/>
    <mergeCell ref="T13:W13"/>
    <mergeCell ref="X13:AA13"/>
    <mergeCell ref="I13:L13"/>
    <mergeCell ref="M13:P13"/>
    <mergeCell ref="Q13:S13"/>
    <mergeCell ref="Q11:S11"/>
    <mergeCell ref="AB12:AD12"/>
    <mergeCell ref="AE12:AH12"/>
    <mergeCell ref="AI12:AL12"/>
    <mergeCell ref="AM12:AO12"/>
    <mergeCell ref="T12:W12"/>
    <mergeCell ref="X12:AA12"/>
    <mergeCell ref="B4:F4"/>
    <mergeCell ref="J4:P4"/>
    <mergeCell ref="Q4:U4"/>
    <mergeCell ref="V4:Z4"/>
    <mergeCell ref="B5:F5"/>
    <mergeCell ref="J5:P5"/>
    <mergeCell ref="Q5:U5"/>
    <mergeCell ref="V5:Z5"/>
    <mergeCell ref="AB4:AF4"/>
    <mergeCell ref="G4:I4"/>
    <mergeCell ref="T16:W16"/>
    <mergeCell ref="X16:AA16"/>
    <mergeCell ref="B8:H9"/>
    <mergeCell ref="I8:S8"/>
    <mergeCell ref="T8:AD8"/>
    <mergeCell ref="AB15:AD15"/>
    <mergeCell ref="AB16:AD16"/>
    <mergeCell ref="C11:H11"/>
    <mergeCell ref="T10:W10"/>
    <mergeCell ref="X10:AA10"/>
    <mergeCell ref="I10:L10"/>
    <mergeCell ref="M10:P10"/>
    <mergeCell ref="Q10:S10"/>
    <mergeCell ref="AB11:AD11"/>
    <mergeCell ref="I11:L11"/>
    <mergeCell ref="M11:P11"/>
    <mergeCell ref="X9:AA9"/>
    <mergeCell ref="AB9:AD9"/>
    <mergeCell ref="I9:L9"/>
    <mergeCell ref="M9:P9"/>
    <mergeCell ref="Q9:S9"/>
    <mergeCell ref="C10:H10"/>
    <mergeCell ref="AB10:AD10"/>
    <mergeCell ref="AB14:AD14"/>
    <mergeCell ref="AE16:AH16"/>
    <mergeCell ref="AI16:AL16"/>
    <mergeCell ref="AM16:AO16"/>
    <mergeCell ref="C22:H22"/>
    <mergeCell ref="I22:L22"/>
    <mergeCell ref="M22:P22"/>
    <mergeCell ref="Q22:S22"/>
    <mergeCell ref="T22:W22"/>
    <mergeCell ref="X22:AA22"/>
    <mergeCell ref="AB22:AD22"/>
    <mergeCell ref="AE22:AH22"/>
    <mergeCell ref="AI22:AL22"/>
    <mergeCell ref="AM22:AO22"/>
    <mergeCell ref="AB19:AD19"/>
    <mergeCell ref="AE19:AH19"/>
    <mergeCell ref="AI19:AL19"/>
    <mergeCell ref="C17:H17"/>
    <mergeCell ref="AB17:AD17"/>
    <mergeCell ref="AE17:AH17"/>
    <mergeCell ref="AI17:AL17"/>
    <mergeCell ref="AM19:AO19"/>
    <mergeCell ref="AM20:AO20"/>
    <mergeCell ref="C19:H19"/>
    <mergeCell ref="AM17:AO17"/>
    <mergeCell ref="B1:D1"/>
    <mergeCell ref="BP3:BT3"/>
    <mergeCell ref="BU3:BY3"/>
    <mergeCell ref="BZ3:CD3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B3:F3"/>
    <mergeCell ref="G3:I3"/>
    <mergeCell ref="J3:P3"/>
    <mergeCell ref="Q3:U3"/>
    <mergeCell ref="V3:Z3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U81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47" width="2.7109375" style="40"/>
    <col min="48" max="48" width="2.7109375" style="54"/>
    <col min="49" max="16384" width="2.7109375" style="40"/>
  </cols>
  <sheetData>
    <row r="1" spans="1:125" s="80" customFormat="1" ht="13.7" customHeight="1">
      <c r="A1" s="146"/>
      <c r="B1" s="147" t="str">
        <f>AB4</f>
        <v/>
      </c>
      <c r="C1" s="147"/>
      <c r="D1" s="147"/>
      <c r="E1" s="23" t="s">
        <v>278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31"/>
      <c r="AG1" s="93"/>
      <c r="AH1" s="93"/>
      <c r="AI1" s="93"/>
      <c r="AJ1" s="93"/>
      <c r="AK1" s="93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C1" s="53"/>
      <c r="CE1" s="159"/>
      <c r="CF1" s="160"/>
      <c r="CG1" s="160"/>
      <c r="CH1" s="160"/>
    </row>
    <row r="2" spans="1:125" s="71" customFormat="1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 s="74"/>
      <c r="BI2" s="39"/>
      <c r="BJ2" s="39"/>
      <c r="BK2" s="39"/>
      <c r="CB2" s="72"/>
      <c r="CC2" s="39"/>
      <c r="CD2" s="72"/>
      <c r="CE2" s="159"/>
      <c r="CF2" s="627"/>
      <c r="CG2" s="627"/>
      <c r="CH2" s="627"/>
    </row>
    <row r="3" spans="1:125" s="80" customFormat="1" ht="13.7" customHeight="1">
      <c r="B3" s="173"/>
      <c r="C3" s="174"/>
      <c r="D3" s="174"/>
      <c r="E3" s="174"/>
      <c r="F3" s="175"/>
      <c r="G3" s="176" t="s">
        <v>260</v>
      </c>
      <c r="H3" s="177"/>
      <c r="I3" s="178"/>
      <c r="J3" s="179" t="s">
        <v>261</v>
      </c>
      <c r="K3" s="180"/>
      <c r="L3" s="180"/>
      <c r="M3" s="180"/>
      <c r="N3" s="180"/>
      <c r="O3" s="180"/>
      <c r="P3" s="181"/>
      <c r="Q3" s="176" t="s">
        <v>262</v>
      </c>
      <c r="R3" s="177"/>
      <c r="S3" s="177"/>
      <c r="T3" s="177"/>
      <c r="U3" s="177"/>
      <c r="V3" s="179" t="s">
        <v>263</v>
      </c>
      <c r="W3" s="180"/>
      <c r="X3" s="180"/>
      <c r="Y3" s="180"/>
      <c r="Z3" s="182"/>
      <c r="AA3" s="93"/>
      <c r="AB3" s="172" t="s">
        <v>269</v>
      </c>
      <c r="AC3" s="149"/>
      <c r="AD3" s="149"/>
      <c r="AE3" s="149"/>
      <c r="AF3" s="149"/>
      <c r="AG3" s="148" t="s">
        <v>258</v>
      </c>
      <c r="AH3" s="149"/>
      <c r="AI3" s="149"/>
      <c r="AJ3" s="149"/>
      <c r="AK3" s="154"/>
      <c r="AL3" s="148" t="s">
        <v>270</v>
      </c>
      <c r="AM3" s="149"/>
      <c r="AN3" s="149"/>
      <c r="AO3" s="149"/>
      <c r="AP3" s="149"/>
      <c r="AQ3" s="148" t="s">
        <v>271</v>
      </c>
      <c r="AR3" s="149"/>
      <c r="AS3" s="149"/>
      <c r="AT3" s="149"/>
      <c r="AU3" s="149"/>
      <c r="AV3" s="148" t="s">
        <v>272</v>
      </c>
      <c r="AW3" s="149"/>
      <c r="AX3" s="149"/>
      <c r="AY3" s="149"/>
      <c r="AZ3" s="149"/>
      <c r="BA3" s="148" t="s">
        <v>1</v>
      </c>
      <c r="BB3" s="149"/>
      <c r="BC3" s="149"/>
      <c r="BD3" s="149"/>
      <c r="BE3" s="149"/>
      <c r="BF3" s="148" t="s">
        <v>273</v>
      </c>
      <c r="BG3" s="149"/>
      <c r="BH3" s="149"/>
      <c r="BI3" s="149"/>
      <c r="BJ3" s="149"/>
      <c r="BK3" s="148" t="s">
        <v>259</v>
      </c>
      <c r="BL3" s="149"/>
      <c r="BM3" s="149"/>
      <c r="BN3" s="149"/>
      <c r="BO3" s="149"/>
      <c r="BP3" s="148" t="s">
        <v>274</v>
      </c>
      <c r="BQ3" s="149"/>
      <c r="BR3" s="149"/>
      <c r="BS3" s="149"/>
      <c r="BT3" s="154"/>
      <c r="BU3" s="148" t="s">
        <v>275</v>
      </c>
      <c r="BV3" s="149"/>
      <c r="BW3" s="149"/>
      <c r="BX3" s="149"/>
      <c r="BY3" s="149"/>
      <c r="BZ3" s="148" t="s">
        <v>276</v>
      </c>
      <c r="CA3" s="149"/>
      <c r="CB3" s="149"/>
      <c r="CC3" s="149"/>
      <c r="CD3" s="155"/>
    </row>
    <row r="4" spans="1:125" s="80" customFormat="1" ht="13.7" customHeight="1" thickBot="1">
      <c r="B4" s="183" t="s">
        <v>268</v>
      </c>
      <c r="C4" s="184"/>
      <c r="D4" s="184"/>
      <c r="E4" s="184"/>
      <c r="F4" s="185"/>
      <c r="G4" s="186" t="str">
        <f>IF(No.1!G4="","",No.1!G4)</f>
        <v/>
      </c>
      <c r="H4" s="187" t="str">
        <f>IF(No.1!H4="","",No.1!H4)</f>
        <v/>
      </c>
      <c r="I4" s="188" t="str">
        <f>IF(No.1!I4="","",No.1!I4)</f>
        <v/>
      </c>
      <c r="J4" s="186" t="str">
        <f>IF(No.1!J4="","",No.1!J4)</f>
        <v/>
      </c>
      <c r="K4" s="187" t="str">
        <f>IF(No.1!K4="","",No.1!K4)</f>
        <v/>
      </c>
      <c r="L4" s="187" t="str">
        <f>IF(No.1!L4="","",No.1!L4)</f>
        <v/>
      </c>
      <c r="M4" s="187" t="str">
        <f>IF(No.1!M4="","",No.1!M4)</f>
        <v/>
      </c>
      <c r="N4" s="187" t="str">
        <f>IF(No.1!N4="","",No.1!N4)</f>
        <v/>
      </c>
      <c r="O4" s="187" t="str">
        <f>IF(No.1!O4="","",No.1!O4)</f>
        <v/>
      </c>
      <c r="P4" s="188" t="str">
        <f>IF(No.1!P4="","",No.1!P4)</f>
        <v/>
      </c>
      <c r="Q4" s="189" t="str">
        <f>IF(No.1!Q4="","",No.1!Q4)</f>
        <v/>
      </c>
      <c r="R4" s="190" t="str">
        <f>IF(No.1!R4="","",No.1!R4)</f>
        <v/>
      </c>
      <c r="S4" s="190" t="str">
        <f>IF(No.1!S4="","",No.1!S4)</f>
        <v/>
      </c>
      <c r="T4" s="190" t="str">
        <f>IF(No.1!T4="","",No.1!T4)</f>
        <v/>
      </c>
      <c r="U4" s="190" t="str">
        <f>IF(No.1!U4="","",No.1!U4)</f>
        <v/>
      </c>
      <c r="V4" s="191" t="str">
        <f>IF(No.1!V4="","",No.1!V4)</f>
        <v/>
      </c>
      <c r="W4" s="192" t="str">
        <f>IF(No.1!W4="","",No.1!W4)</f>
        <v/>
      </c>
      <c r="X4" s="192" t="str">
        <f>IF(No.1!X4="","",No.1!X4)</f>
        <v/>
      </c>
      <c r="Y4" s="192" t="str">
        <f>IF(No.1!Y4="","",No.1!Y4)</f>
        <v/>
      </c>
      <c r="Z4" s="193" t="str">
        <f>IF(No.1!Z4="","",No.1!Z4)</f>
        <v/>
      </c>
      <c r="AA4" s="93"/>
      <c r="AB4" s="150" t="str">
        <f>IF(No.1!AB4="","",No.1!AB4)</f>
        <v/>
      </c>
      <c r="AC4" s="151" t="str">
        <f>IF(No.1!AC4="","",No.1!AC4)</f>
        <v/>
      </c>
      <c r="AD4" s="151" t="str">
        <f>IF(No.1!AD4="","",No.1!AD4)</f>
        <v/>
      </c>
      <c r="AE4" s="151" t="str">
        <f>IF(No.1!AE4="","",No.1!AE4)</f>
        <v/>
      </c>
      <c r="AF4" s="152" t="str">
        <f>IF(No.1!AF4="","",No.1!AF4)</f>
        <v/>
      </c>
      <c r="AG4" s="125" t="str">
        <f>IF(No.1!AG4="","",No.1!AG4)</f>
        <v/>
      </c>
      <c r="AH4" s="156" t="str">
        <f>IF(No.1!AH4="","",No.1!AH4)</f>
        <v/>
      </c>
      <c r="AI4" s="156" t="str">
        <f>IF(No.1!AI4="","",No.1!AI4)</f>
        <v/>
      </c>
      <c r="AJ4" s="156" t="str">
        <f>IF(No.1!AJ4="","",No.1!AJ4)</f>
        <v/>
      </c>
      <c r="AK4" s="157" t="str">
        <f>IF(No.1!AK4="","",No.1!AK4)</f>
        <v/>
      </c>
      <c r="AL4" s="126" t="str">
        <f>IF(No.1!AL4="","",No.1!AL4)</f>
        <v/>
      </c>
      <c r="AM4" s="156" t="str">
        <f>IF(No.1!AM4="","",No.1!AM4)</f>
        <v/>
      </c>
      <c r="AN4" s="156" t="str">
        <f>IF(No.1!AN4="","",No.1!AN4)</f>
        <v/>
      </c>
      <c r="AO4" s="156" t="str">
        <f>IF(No.1!AO4="","",No.1!AO4)</f>
        <v/>
      </c>
      <c r="AP4" s="157" t="str">
        <f>IF(No.1!AP4="","",No.1!AP4)</f>
        <v/>
      </c>
      <c r="AQ4" s="125" t="str">
        <f>IF(No.1!AQ4="","",No.1!AQ4)</f>
        <v/>
      </c>
      <c r="AR4" s="156" t="str">
        <f>IF(No.1!AR4="","",No.1!AR4)</f>
        <v/>
      </c>
      <c r="AS4" s="156" t="str">
        <f>IF(No.1!AS4="","",No.1!AS4)</f>
        <v/>
      </c>
      <c r="AT4" s="156" t="str">
        <f>IF(No.1!AT4="","",No.1!AT4)</f>
        <v/>
      </c>
      <c r="AU4" s="157" t="str">
        <f>IF(No.1!AU4="","",No.1!AU4)</f>
        <v/>
      </c>
      <c r="AV4" s="125" t="str">
        <f>IF(No.1!AV4="","",No.1!AV4)</f>
        <v/>
      </c>
      <c r="AW4" s="156" t="str">
        <f>IF(No.1!AW4="","",No.1!AW4)</f>
        <v/>
      </c>
      <c r="AX4" s="156" t="str">
        <f>IF(No.1!AX4="","",No.1!AX4)</f>
        <v/>
      </c>
      <c r="AY4" s="156" t="str">
        <f>IF(No.1!AY4="","",No.1!AY4)</f>
        <v/>
      </c>
      <c r="AZ4" s="157" t="str">
        <f>IF(No.1!AZ4="","",No.1!AZ4)</f>
        <v/>
      </c>
      <c r="BA4" s="126" t="str">
        <f>IF(No.1!BA4="","",No.1!BA4)</f>
        <v/>
      </c>
      <c r="BB4" s="156" t="str">
        <f>IF(No.1!BB4="","",No.1!BB4)</f>
        <v/>
      </c>
      <c r="BC4" s="156" t="str">
        <f>IF(No.1!BC4="","",No.1!BC4)</f>
        <v/>
      </c>
      <c r="BD4" s="156" t="str">
        <f>IF(No.1!BD4="","",No.1!BD4)</f>
        <v/>
      </c>
      <c r="BE4" s="157" t="str">
        <f>IF(No.1!BE4="","",No.1!BE4)</f>
        <v/>
      </c>
      <c r="BF4" s="127" t="str">
        <f>IF(No.1!BF4="","",No.1!BF4)</f>
        <v/>
      </c>
      <c r="BG4" s="156" t="str">
        <f>IF(No.1!BG4="","",No.1!BG4)</f>
        <v/>
      </c>
      <c r="BH4" s="156" t="str">
        <f>IF(No.1!BH4="","",No.1!BH4)</f>
        <v/>
      </c>
      <c r="BI4" s="156" t="str">
        <f>IF(No.1!BI4="","",No.1!BI4)</f>
        <v/>
      </c>
      <c r="BJ4" s="157" t="str">
        <f>IF(No.1!BJ4="","",No.1!BJ4)</f>
        <v/>
      </c>
      <c r="BK4" s="127" t="str">
        <f>IF(No.1!BK4="","",No.1!BK4)</f>
        <v/>
      </c>
      <c r="BL4" s="156" t="str">
        <f>IF(No.1!BL4="","",No.1!BL4)</f>
        <v/>
      </c>
      <c r="BM4" s="156" t="str">
        <f>IF(No.1!BM4="","",No.1!BM4)</f>
        <v/>
      </c>
      <c r="BN4" s="156" t="str">
        <f>IF(No.1!BN4="","",No.1!BN4)</f>
        <v/>
      </c>
      <c r="BO4" s="157" t="str">
        <f>IF(No.1!BO4="","",No.1!BO4)</f>
        <v/>
      </c>
      <c r="BP4" s="128" t="str">
        <f>IF(No.1!BP4="","",No.1!BP4)</f>
        <v/>
      </c>
      <c r="BQ4" s="156" t="str">
        <f>IF(No.1!BQ4="","",No.1!BQ4)</f>
        <v/>
      </c>
      <c r="BR4" s="156" t="str">
        <f>IF(No.1!BR4="","",No.1!BR4)</f>
        <v/>
      </c>
      <c r="BS4" s="156" t="str">
        <f>IF(No.1!BS4="","",No.1!BS4)</f>
        <v/>
      </c>
      <c r="BT4" s="157" t="str">
        <f>IF(No.1!BT4="","",No.1!BT4)</f>
        <v/>
      </c>
      <c r="BU4" s="127" t="str">
        <f>IF(No.1!BU4="","",No.1!BU4)</f>
        <v/>
      </c>
      <c r="BV4" s="156" t="str">
        <f>IF(No.1!BV4="","",No.1!BV4)</f>
        <v/>
      </c>
      <c r="BW4" s="156" t="str">
        <f>IF(No.1!BW4="","",No.1!BW4)</f>
        <v/>
      </c>
      <c r="BX4" s="156" t="str">
        <f>IF(No.1!BX4="","",No.1!BX4)</f>
        <v/>
      </c>
      <c r="BY4" s="157" t="str">
        <f>IF(No.1!BY4="","",No.1!BY4)</f>
        <v/>
      </c>
      <c r="BZ4" s="127" t="str">
        <f>IF(No.1!BZ4="","",No.1!BZ4)</f>
        <v/>
      </c>
      <c r="CA4" s="156" t="str">
        <f>IF(No.1!CA4="","",No.1!CA4)</f>
        <v/>
      </c>
      <c r="CB4" s="156" t="str">
        <f>IF(No.1!CB4="","",No.1!CB4)</f>
        <v/>
      </c>
      <c r="CC4" s="156" t="str">
        <f>IF(No.1!CC4="","",No.1!CC4)</f>
        <v/>
      </c>
      <c r="CD4" s="158" t="str">
        <f>IF(No.1!CD4="","",No.1!CD4)</f>
        <v/>
      </c>
      <c r="CE4" s="73"/>
      <c r="CF4" s="73"/>
      <c r="CG4" s="73"/>
      <c r="CH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</row>
    <row r="5" spans="1:125" s="80" customFormat="1" ht="13.7" customHeight="1" thickBot="1">
      <c r="B5" s="161" t="s">
        <v>264</v>
      </c>
      <c r="C5" s="162"/>
      <c r="D5" s="162"/>
      <c r="E5" s="162"/>
      <c r="F5" s="163"/>
      <c r="G5" s="164" t="str">
        <f>IF(No.1!G5="","",No.1!G5)</f>
        <v/>
      </c>
      <c r="H5" s="165" t="str">
        <f>IF(No.1!H5="","",No.1!H5)</f>
        <v/>
      </c>
      <c r="I5" s="166" t="str">
        <f>IF(No.1!I5="","",No.1!I5)</f>
        <v/>
      </c>
      <c r="J5" s="164" t="str">
        <f>IF(No.1!J5="","",No.1!J5)</f>
        <v/>
      </c>
      <c r="K5" s="165" t="str">
        <f>IF(No.1!K5="","",No.1!K5)</f>
        <v/>
      </c>
      <c r="L5" s="165" t="str">
        <f>IF(No.1!L5="","",No.1!L5)</f>
        <v/>
      </c>
      <c r="M5" s="165" t="str">
        <f>IF(No.1!M5="","",No.1!M5)</f>
        <v/>
      </c>
      <c r="N5" s="165" t="str">
        <f>IF(No.1!N5="","",No.1!N5)</f>
        <v/>
      </c>
      <c r="O5" s="165" t="str">
        <f>IF(No.1!O5="","",No.1!O5)</f>
        <v/>
      </c>
      <c r="P5" s="166" t="str">
        <f>IF(No.1!P5="","",No.1!P5)</f>
        <v/>
      </c>
      <c r="Q5" s="167" t="str">
        <f>IF(No.1!Q5="","",No.1!Q5)</f>
        <v/>
      </c>
      <c r="R5" s="168" t="str">
        <f>IF(No.1!R5="","",No.1!R5)</f>
        <v/>
      </c>
      <c r="S5" s="168" t="str">
        <f>IF(No.1!S5="","",No.1!S5)</f>
        <v/>
      </c>
      <c r="T5" s="168" t="str">
        <f>IF(No.1!T5="","",No.1!T5)</f>
        <v/>
      </c>
      <c r="U5" s="168" t="str">
        <f>IF(No.1!U5="","",No.1!U5)</f>
        <v/>
      </c>
      <c r="V5" s="169" t="str">
        <f>IF(No.1!V5="","",No.1!V5)</f>
        <v/>
      </c>
      <c r="W5" s="170" t="str">
        <f>IF(No.1!W5="","",No.1!W5)</f>
        <v/>
      </c>
      <c r="X5" s="170" t="str">
        <f>IF(No.1!X5="","",No.1!X5)</f>
        <v/>
      </c>
      <c r="Y5" s="170" t="str">
        <f>IF(No.1!Y5="","",No.1!Y5)</f>
        <v/>
      </c>
      <c r="Z5" s="171" t="str">
        <f>IF(No.1!Z5="","",No.1!Z5)</f>
        <v/>
      </c>
      <c r="AA5" s="73"/>
      <c r="AB5" s="73"/>
      <c r="AC5" s="93"/>
      <c r="AD5" s="93"/>
      <c r="AE5" s="93"/>
      <c r="AF5" s="93"/>
      <c r="AG5" s="93"/>
      <c r="AH5" s="9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53"/>
      <c r="BG5" s="53"/>
      <c r="BH5" s="53"/>
      <c r="BI5" s="53"/>
      <c r="BJ5" s="53"/>
      <c r="BK5" s="5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</row>
    <row r="6" spans="1:125" s="68" customFormat="1" ht="13.7" customHeight="1">
      <c r="B6" s="53"/>
      <c r="C6" s="53"/>
      <c r="D6" s="69"/>
      <c r="E6" s="69"/>
      <c r="F6" s="69"/>
      <c r="G6" s="69"/>
      <c r="H6" s="69"/>
      <c r="I6" s="69"/>
      <c r="J6" s="69"/>
      <c r="K6" s="8"/>
      <c r="L6" s="45"/>
      <c r="M6" s="45"/>
      <c r="N6" s="45"/>
      <c r="O6" s="45"/>
      <c r="P6" s="53"/>
      <c r="Q6" s="53"/>
      <c r="R6" s="69"/>
      <c r="S6" s="8"/>
      <c r="T6" s="46"/>
      <c r="U6" s="46"/>
      <c r="V6" s="46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</row>
    <row r="7" spans="1:125" ht="13.7" customHeight="1" thickBot="1">
      <c r="B7" s="29" t="s">
        <v>243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2"/>
      <c r="AN7" s="32"/>
      <c r="AO7" s="1" t="s">
        <v>4</v>
      </c>
      <c r="AT7" s="24" t="s">
        <v>244</v>
      </c>
      <c r="AU7" s="5"/>
      <c r="AV7" s="53"/>
      <c r="AW7" s="5"/>
      <c r="AX7" s="5"/>
      <c r="AY7" s="5"/>
      <c r="AZ7" s="5"/>
      <c r="BA7" s="5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22" t="s">
        <v>141</v>
      </c>
    </row>
    <row r="8" spans="1:125" ht="13.7" customHeight="1">
      <c r="B8" s="795" t="s">
        <v>245</v>
      </c>
      <c r="C8" s="796"/>
      <c r="D8" s="796"/>
      <c r="E8" s="796"/>
      <c r="F8" s="796"/>
      <c r="G8" s="796"/>
      <c r="H8" s="797"/>
      <c r="I8" s="194" t="s">
        <v>76</v>
      </c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194" t="s">
        <v>77</v>
      </c>
      <c r="U8" s="274"/>
      <c r="V8" s="274"/>
      <c r="W8" s="274"/>
      <c r="X8" s="274"/>
      <c r="Y8" s="274"/>
      <c r="Z8" s="274"/>
      <c r="AA8" s="274"/>
      <c r="AB8" s="274"/>
      <c r="AC8" s="274"/>
      <c r="AD8" s="274"/>
      <c r="AE8" s="194" t="s">
        <v>91</v>
      </c>
      <c r="AF8" s="274"/>
      <c r="AG8" s="274"/>
      <c r="AH8" s="274"/>
      <c r="AI8" s="274"/>
      <c r="AJ8" s="274"/>
      <c r="AK8" s="274"/>
      <c r="AL8" s="274"/>
      <c r="AM8" s="274"/>
      <c r="AN8" s="274"/>
      <c r="AO8" s="275"/>
      <c r="AT8" s="323"/>
      <c r="AU8" s="269"/>
      <c r="AV8" s="269"/>
      <c r="AW8" s="269"/>
      <c r="AX8" s="269"/>
      <c r="AY8" s="269"/>
      <c r="AZ8" s="269"/>
      <c r="BA8" s="270"/>
      <c r="BB8" s="773"/>
      <c r="BC8" s="774"/>
      <c r="BD8" s="774"/>
      <c r="BE8" s="774"/>
      <c r="BF8" s="774"/>
      <c r="BG8" s="774"/>
      <c r="BH8" s="774"/>
      <c r="BI8" s="774"/>
      <c r="BJ8" s="774"/>
      <c r="BK8" s="774"/>
      <c r="BL8" s="775"/>
      <c r="BM8" s="194" t="s">
        <v>139</v>
      </c>
      <c r="BN8" s="274"/>
      <c r="BO8" s="274"/>
      <c r="BP8" s="274"/>
      <c r="BQ8" s="274"/>
      <c r="BR8" s="274"/>
      <c r="BS8" s="274"/>
      <c r="BT8" s="274"/>
      <c r="BU8" s="274"/>
      <c r="BV8" s="274"/>
      <c r="BW8" s="275"/>
    </row>
    <row r="9" spans="1:125" ht="13.7" customHeight="1" thickBot="1">
      <c r="B9" s="798"/>
      <c r="C9" s="799"/>
      <c r="D9" s="799"/>
      <c r="E9" s="799"/>
      <c r="F9" s="799"/>
      <c r="G9" s="799"/>
      <c r="H9" s="800"/>
      <c r="I9" s="198" t="str">
        <f>IF($B$1&lt;&gt;"",$B$1,"")</f>
        <v/>
      </c>
      <c r="J9" s="199"/>
      <c r="K9" s="199"/>
      <c r="L9" s="199"/>
      <c r="M9" s="200" t="str">
        <f>IF($B$1&lt;&gt;"",$B$1-1,"")</f>
        <v/>
      </c>
      <c r="N9" s="199"/>
      <c r="O9" s="199"/>
      <c r="P9" s="201"/>
      <c r="Q9" s="202" t="s">
        <v>165</v>
      </c>
      <c r="R9" s="203"/>
      <c r="S9" s="204"/>
      <c r="T9" s="198" t="str">
        <f>IF($B$1&lt;&gt;"",$B$1,"")</f>
        <v/>
      </c>
      <c r="U9" s="199"/>
      <c r="V9" s="199"/>
      <c r="W9" s="199"/>
      <c r="X9" s="200" t="str">
        <f>IF($B$1&lt;&gt;"",$B$1-1,"")</f>
        <v/>
      </c>
      <c r="Y9" s="199"/>
      <c r="Z9" s="199"/>
      <c r="AA9" s="201"/>
      <c r="AB9" s="202" t="s">
        <v>165</v>
      </c>
      <c r="AC9" s="203"/>
      <c r="AD9" s="204"/>
      <c r="AE9" s="198" t="str">
        <f>IF($B$1&lt;&gt;"",$B$1,"")</f>
        <v/>
      </c>
      <c r="AF9" s="199"/>
      <c r="AG9" s="199"/>
      <c r="AH9" s="199"/>
      <c r="AI9" s="200" t="str">
        <f>IF($B$1&lt;&gt;"",$B$1-1,"")</f>
        <v/>
      </c>
      <c r="AJ9" s="199"/>
      <c r="AK9" s="199"/>
      <c r="AL9" s="201"/>
      <c r="AM9" s="202" t="s">
        <v>165</v>
      </c>
      <c r="AN9" s="203"/>
      <c r="AO9" s="204"/>
      <c r="AT9" s="271"/>
      <c r="AU9" s="272"/>
      <c r="AV9" s="272"/>
      <c r="AW9" s="272"/>
      <c r="AX9" s="272"/>
      <c r="AY9" s="272"/>
      <c r="AZ9" s="272"/>
      <c r="BA9" s="273"/>
      <c r="BB9" s="198" t="str">
        <f>IF($B$1&lt;&gt;"",$B$1,"")</f>
        <v/>
      </c>
      <c r="BC9" s="199"/>
      <c r="BD9" s="199"/>
      <c r="BE9" s="199"/>
      <c r="BF9" s="200" t="str">
        <f>IF($B$1&lt;&gt;"",$B$1-1,"")</f>
        <v/>
      </c>
      <c r="BG9" s="199"/>
      <c r="BH9" s="199"/>
      <c r="BI9" s="201"/>
      <c r="BJ9" s="202" t="s">
        <v>165</v>
      </c>
      <c r="BK9" s="203"/>
      <c r="BL9" s="204"/>
      <c r="BM9" s="198" t="str">
        <f>IF($B$1&lt;&gt;"",$B$1,"")</f>
        <v/>
      </c>
      <c r="BN9" s="199"/>
      <c r="BO9" s="199"/>
      <c r="BP9" s="199"/>
      <c r="BQ9" s="200" t="str">
        <f>IF($B$1&lt;&gt;"",$B$1-1,"")</f>
        <v/>
      </c>
      <c r="BR9" s="199"/>
      <c r="BS9" s="199"/>
      <c r="BT9" s="201"/>
      <c r="BU9" s="202" t="s">
        <v>165</v>
      </c>
      <c r="BV9" s="203"/>
      <c r="BW9" s="204"/>
    </row>
    <row r="10" spans="1:125" ht="13.7" customHeight="1">
      <c r="B10" s="810" t="s">
        <v>71</v>
      </c>
      <c r="C10" s="731" t="s">
        <v>89</v>
      </c>
      <c r="D10" s="813" t="s">
        <v>123</v>
      </c>
      <c r="E10" s="813"/>
      <c r="F10" s="813"/>
      <c r="G10" s="813"/>
      <c r="H10" s="814"/>
      <c r="I10" s="794"/>
      <c r="J10" s="776"/>
      <c r="K10" s="776"/>
      <c r="L10" s="776"/>
      <c r="M10" s="776"/>
      <c r="N10" s="776"/>
      <c r="O10" s="776"/>
      <c r="P10" s="776"/>
      <c r="Q10" s="634" t="str">
        <f>IF(I10="-", "-", IF(M10="-", "-", IF(ABS(M10)=0, "-", ROUND(100*(I10-M10)/ABS(M10), 1))))</f>
        <v>-</v>
      </c>
      <c r="R10" s="634" t="str">
        <f t="shared" ref="R10:S23" si="0">IF(N10="-", "-", IF(P10="-", "-", IF(ABS(P10)=0, "-", ROUND(100*(N10-P10)/ABS(P10), 1))))</f>
        <v>-</v>
      </c>
      <c r="S10" s="635" t="str">
        <f t="shared" si="0"/>
        <v>-</v>
      </c>
      <c r="T10" s="794"/>
      <c r="U10" s="776"/>
      <c r="V10" s="776"/>
      <c r="W10" s="776"/>
      <c r="X10" s="776"/>
      <c r="Y10" s="776"/>
      <c r="Z10" s="776"/>
      <c r="AA10" s="776"/>
      <c r="AB10" s="634" t="str">
        <f>IF(T10="-", "-", IF(X10="-", "-", IF(ABS(X10)=0, "-", ROUND(100*(T10-X10)/ABS(X10), 1))))</f>
        <v>-</v>
      </c>
      <c r="AC10" s="634" t="str">
        <f>IF(Y10="-", "-", IF(AA10="-", "-", IF(ABS(AA10)=0, "-", ROUND(100*(Y10-AA10)/ABS(AA10), 1))))</f>
        <v>-</v>
      </c>
      <c r="AD10" s="635" t="str">
        <f>IF(Z10="-", "-", IF(AB10="-", "-", IF(ABS(AB10)=0, "-", ROUND(100*(Z10-AB10)/ABS(AB10), 1))))</f>
        <v>-</v>
      </c>
      <c r="AE10" s="630"/>
      <c r="AF10" s="631"/>
      <c r="AG10" s="631"/>
      <c r="AH10" s="631"/>
      <c r="AI10" s="631"/>
      <c r="AJ10" s="631"/>
      <c r="AK10" s="631"/>
      <c r="AL10" s="631"/>
      <c r="AM10" s="228" t="str">
        <f t="shared" ref="AM10:AM23" si="1">IF(AE10="-", "-", IF(AI10="-", "-", IF(ABS(AI10)=0, "-", ROUND(100*(AE10-AI10)/ABS(AI10), 1))))</f>
        <v>-</v>
      </c>
      <c r="AN10" s="228" t="str">
        <f t="shared" ref="AN10:AO23" si="2">IF(AJ10="-", "-", IF(AL10="-", "-", IF(ABS(AL10)=0, "-", ROUND(100*(AJ10-AL10)/ABS(AL10), 1))))</f>
        <v>-</v>
      </c>
      <c r="AO10" s="229" t="str">
        <f t="shared" si="2"/>
        <v>-</v>
      </c>
      <c r="AT10" s="784" t="s">
        <v>115</v>
      </c>
      <c r="AU10" s="233" t="s">
        <v>217</v>
      </c>
      <c r="AV10" s="233"/>
      <c r="AW10" s="233"/>
      <c r="AX10" s="233"/>
      <c r="AY10" s="233"/>
      <c r="AZ10" s="233"/>
      <c r="BA10" s="510"/>
      <c r="BB10" s="787"/>
      <c r="BC10" s="788"/>
      <c r="BD10" s="788"/>
      <c r="BE10" s="789"/>
      <c r="BF10" s="790"/>
      <c r="BG10" s="788"/>
      <c r="BH10" s="788"/>
      <c r="BI10" s="788"/>
      <c r="BJ10" s="791"/>
      <c r="BK10" s="792"/>
      <c r="BL10" s="793"/>
      <c r="BM10" s="794"/>
      <c r="BN10" s="776"/>
      <c r="BO10" s="776"/>
      <c r="BP10" s="776"/>
      <c r="BQ10" s="776"/>
      <c r="BR10" s="776"/>
      <c r="BS10" s="776"/>
      <c r="BT10" s="776"/>
      <c r="BU10" s="634" t="str">
        <f>IF(BM10="-", "-", IF(BQ10="-", "-", IF(ABS(BQ10)=0, "-", ROUND(100*(BM10-BQ10)/ABS(BQ10), 1))))</f>
        <v>-</v>
      </c>
      <c r="BV10" s="634" t="str">
        <f>IF(BR10="-", "-", IF(BT10="-", "-", IF(ABS(BT10)=0, "-", ROUND(100*(BR10-BT10)/ABS(BT10), 1))))</f>
        <v>-</v>
      </c>
      <c r="BW10" s="635" t="str">
        <f>IF(BS10="-", "-", IF(BU10="-", "-", IF(ABS(BU10)=0, "-", ROUND(100*(BS10-BU10)/ABS(BU10), 1))))</f>
        <v>-</v>
      </c>
    </row>
    <row r="11" spans="1:125" ht="13.7" customHeight="1">
      <c r="B11" s="811"/>
      <c r="C11" s="766"/>
      <c r="D11" s="347" t="s">
        <v>124</v>
      </c>
      <c r="E11" s="347"/>
      <c r="F11" s="347"/>
      <c r="G11" s="347"/>
      <c r="H11" s="348"/>
      <c r="I11" s="226"/>
      <c r="J11" s="227"/>
      <c r="K11" s="227"/>
      <c r="L11" s="227"/>
      <c r="M11" s="227"/>
      <c r="N11" s="227"/>
      <c r="O11" s="227"/>
      <c r="P11" s="227"/>
      <c r="Q11" s="228" t="str">
        <f t="shared" ref="Q11:Q23" si="3">IF(I11="-", "-", IF(M11="-", "-", IF(ABS(M11)=0, "-", ROUND(100*(I11-M11)/ABS(M11), 1))))</f>
        <v>-</v>
      </c>
      <c r="R11" s="228" t="str">
        <f t="shared" si="0"/>
        <v>-</v>
      </c>
      <c r="S11" s="229" t="str">
        <f t="shared" si="0"/>
        <v>-</v>
      </c>
      <c r="T11" s="226"/>
      <c r="U11" s="227"/>
      <c r="V11" s="227"/>
      <c r="W11" s="227"/>
      <c r="X11" s="227"/>
      <c r="Y11" s="227"/>
      <c r="Z11" s="227"/>
      <c r="AA11" s="227"/>
      <c r="AB11" s="228" t="str">
        <f t="shared" ref="AB11:AB28" si="4">IF(T11="-", "-", IF(X11="-", "-", IF(ABS(X11)=0, "-", ROUND(100*(T11-X11)/ABS(X11), 1))))</f>
        <v>-</v>
      </c>
      <c r="AC11" s="228" t="str">
        <f t="shared" ref="AC11:AD26" si="5">IF(Y11="-", "-", IF(AA11="-", "-", IF(ABS(AA11)=0, "-", ROUND(100*(Y11-AA11)/ABS(AA11), 1))))</f>
        <v>-</v>
      </c>
      <c r="AD11" s="229" t="str">
        <f t="shared" si="5"/>
        <v>-</v>
      </c>
      <c r="AE11" s="630"/>
      <c r="AF11" s="631"/>
      <c r="AG11" s="631"/>
      <c r="AH11" s="631"/>
      <c r="AI11" s="631"/>
      <c r="AJ11" s="631"/>
      <c r="AK11" s="631"/>
      <c r="AL11" s="631"/>
      <c r="AM11" s="228" t="str">
        <f t="shared" si="1"/>
        <v>-</v>
      </c>
      <c r="AN11" s="228" t="str">
        <f t="shared" si="2"/>
        <v>-</v>
      </c>
      <c r="AO11" s="229" t="str">
        <f t="shared" si="2"/>
        <v>-</v>
      </c>
      <c r="AT11" s="785"/>
      <c r="AU11" s="225" t="s">
        <v>147</v>
      </c>
      <c r="AV11" s="225"/>
      <c r="AW11" s="225"/>
      <c r="AX11" s="225"/>
      <c r="AY11" s="225"/>
      <c r="AZ11" s="225"/>
      <c r="BA11" s="249"/>
      <c r="BB11" s="777"/>
      <c r="BC11" s="778"/>
      <c r="BD11" s="778"/>
      <c r="BE11" s="779"/>
      <c r="BF11" s="780"/>
      <c r="BG11" s="778"/>
      <c r="BH11" s="778"/>
      <c r="BI11" s="778"/>
      <c r="BJ11" s="781"/>
      <c r="BK11" s="782"/>
      <c r="BL11" s="783"/>
      <c r="BM11" s="226"/>
      <c r="BN11" s="227"/>
      <c r="BO11" s="227"/>
      <c r="BP11" s="227"/>
      <c r="BQ11" s="227"/>
      <c r="BR11" s="227"/>
      <c r="BS11" s="227"/>
      <c r="BT11" s="227"/>
      <c r="BU11" s="228" t="str">
        <f t="shared" ref="BU11:BU19" si="6">IF(BM11="-", "-", IF(BQ11="-", "-", IF(ABS(BQ11)=0, "-", ROUND(100*(BM11-BQ11)/ABS(BQ11), 1))))</f>
        <v>-</v>
      </c>
      <c r="BV11" s="228" t="str">
        <f t="shared" ref="BV11:BW19" si="7">IF(BR11="-", "-", IF(BT11="-", "-", IF(ABS(BT11)=0, "-", ROUND(100*(BR11-BT11)/ABS(BT11), 1))))</f>
        <v>-</v>
      </c>
      <c r="BW11" s="229" t="str">
        <f t="shared" si="7"/>
        <v>-</v>
      </c>
    </row>
    <row r="12" spans="1:125" ht="13.7" customHeight="1">
      <c r="B12" s="811"/>
      <c r="C12" s="766"/>
      <c r="D12" s="347" t="s">
        <v>125</v>
      </c>
      <c r="E12" s="347"/>
      <c r="F12" s="347"/>
      <c r="G12" s="347"/>
      <c r="H12" s="348"/>
      <c r="I12" s="226"/>
      <c r="J12" s="227"/>
      <c r="K12" s="227"/>
      <c r="L12" s="227"/>
      <c r="M12" s="227"/>
      <c r="N12" s="227"/>
      <c r="O12" s="227"/>
      <c r="P12" s="227"/>
      <c r="Q12" s="228" t="str">
        <f t="shared" si="3"/>
        <v>-</v>
      </c>
      <c r="R12" s="228" t="str">
        <f t="shared" si="0"/>
        <v>-</v>
      </c>
      <c r="S12" s="229" t="str">
        <f t="shared" si="0"/>
        <v>-</v>
      </c>
      <c r="T12" s="226"/>
      <c r="U12" s="227"/>
      <c r="V12" s="227"/>
      <c r="W12" s="227"/>
      <c r="X12" s="227"/>
      <c r="Y12" s="227"/>
      <c r="Z12" s="227"/>
      <c r="AA12" s="227"/>
      <c r="AB12" s="228" t="str">
        <f t="shared" si="4"/>
        <v>-</v>
      </c>
      <c r="AC12" s="228" t="str">
        <f t="shared" si="5"/>
        <v>-</v>
      </c>
      <c r="AD12" s="229" t="str">
        <f t="shared" si="5"/>
        <v>-</v>
      </c>
      <c r="AE12" s="630"/>
      <c r="AF12" s="631"/>
      <c r="AG12" s="631"/>
      <c r="AH12" s="631"/>
      <c r="AI12" s="631"/>
      <c r="AJ12" s="631"/>
      <c r="AK12" s="631"/>
      <c r="AL12" s="631"/>
      <c r="AM12" s="228" t="str">
        <f t="shared" si="1"/>
        <v>-</v>
      </c>
      <c r="AN12" s="228" t="str">
        <f t="shared" si="2"/>
        <v>-</v>
      </c>
      <c r="AO12" s="229" t="str">
        <f t="shared" si="2"/>
        <v>-</v>
      </c>
      <c r="AT12" s="785"/>
      <c r="AU12" s="246" t="s">
        <v>92</v>
      </c>
      <c r="AV12" s="246"/>
      <c r="AW12" s="246"/>
      <c r="AX12" s="225"/>
      <c r="AY12" s="225"/>
      <c r="AZ12" s="225"/>
      <c r="BA12" s="249"/>
      <c r="BB12" s="777"/>
      <c r="BC12" s="778"/>
      <c r="BD12" s="778"/>
      <c r="BE12" s="779"/>
      <c r="BF12" s="780"/>
      <c r="BG12" s="778"/>
      <c r="BH12" s="778"/>
      <c r="BI12" s="778"/>
      <c r="BJ12" s="781"/>
      <c r="BK12" s="782"/>
      <c r="BL12" s="783"/>
      <c r="BM12" s="226"/>
      <c r="BN12" s="227"/>
      <c r="BO12" s="227"/>
      <c r="BP12" s="227"/>
      <c r="BQ12" s="227"/>
      <c r="BR12" s="227"/>
      <c r="BS12" s="227"/>
      <c r="BT12" s="227"/>
      <c r="BU12" s="228" t="str">
        <f t="shared" si="6"/>
        <v>-</v>
      </c>
      <c r="BV12" s="228" t="str">
        <f t="shared" si="7"/>
        <v>-</v>
      </c>
      <c r="BW12" s="229" t="str">
        <f t="shared" si="7"/>
        <v>-</v>
      </c>
    </row>
    <row r="13" spans="1:125" ht="13.7" customHeight="1">
      <c r="B13" s="811"/>
      <c r="C13" s="766"/>
      <c r="D13" s="347" t="s">
        <v>78</v>
      </c>
      <c r="E13" s="347"/>
      <c r="F13" s="347"/>
      <c r="G13" s="347"/>
      <c r="H13" s="348"/>
      <c r="I13" s="226"/>
      <c r="J13" s="227"/>
      <c r="K13" s="227"/>
      <c r="L13" s="227"/>
      <c r="M13" s="227"/>
      <c r="N13" s="227"/>
      <c r="O13" s="227"/>
      <c r="P13" s="227"/>
      <c r="Q13" s="228" t="str">
        <f t="shared" si="3"/>
        <v>-</v>
      </c>
      <c r="R13" s="228" t="str">
        <f t="shared" si="0"/>
        <v>-</v>
      </c>
      <c r="S13" s="229" t="str">
        <f t="shared" si="0"/>
        <v>-</v>
      </c>
      <c r="T13" s="226"/>
      <c r="U13" s="227"/>
      <c r="V13" s="227"/>
      <c r="W13" s="227"/>
      <c r="X13" s="227"/>
      <c r="Y13" s="227"/>
      <c r="Z13" s="227"/>
      <c r="AA13" s="227"/>
      <c r="AB13" s="228" t="str">
        <f t="shared" si="4"/>
        <v>-</v>
      </c>
      <c r="AC13" s="228" t="str">
        <f t="shared" si="5"/>
        <v>-</v>
      </c>
      <c r="AD13" s="229" t="str">
        <f t="shared" si="5"/>
        <v>-</v>
      </c>
      <c r="AE13" s="630"/>
      <c r="AF13" s="631"/>
      <c r="AG13" s="631"/>
      <c r="AH13" s="631"/>
      <c r="AI13" s="631"/>
      <c r="AJ13" s="631"/>
      <c r="AK13" s="631"/>
      <c r="AL13" s="631"/>
      <c r="AM13" s="228" t="str">
        <f t="shared" si="1"/>
        <v>-</v>
      </c>
      <c r="AN13" s="228" t="str">
        <f t="shared" si="2"/>
        <v>-</v>
      </c>
      <c r="AO13" s="229" t="str">
        <f t="shared" si="2"/>
        <v>-</v>
      </c>
      <c r="AT13" s="785"/>
      <c r="AU13" s="246" t="s">
        <v>93</v>
      </c>
      <c r="AV13" s="246"/>
      <c r="AW13" s="246"/>
      <c r="AX13" s="225"/>
      <c r="AY13" s="225"/>
      <c r="AZ13" s="225"/>
      <c r="BA13" s="249"/>
      <c r="BB13" s="777"/>
      <c r="BC13" s="778"/>
      <c r="BD13" s="778"/>
      <c r="BE13" s="779"/>
      <c r="BF13" s="780"/>
      <c r="BG13" s="778"/>
      <c r="BH13" s="778"/>
      <c r="BI13" s="778"/>
      <c r="BJ13" s="781"/>
      <c r="BK13" s="782"/>
      <c r="BL13" s="783"/>
      <c r="BM13" s="226"/>
      <c r="BN13" s="227"/>
      <c r="BO13" s="227"/>
      <c r="BP13" s="227"/>
      <c r="BQ13" s="227"/>
      <c r="BR13" s="227"/>
      <c r="BS13" s="227"/>
      <c r="BT13" s="227"/>
      <c r="BU13" s="228" t="str">
        <f t="shared" si="6"/>
        <v>-</v>
      </c>
      <c r="BV13" s="228" t="str">
        <f t="shared" si="7"/>
        <v>-</v>
      </c>
      <c r="BW13" s="229" t="str">
        <f t="shared" si="7"/>
        <v>-</v>
      </c>
    </row>
    <row r="14" spans="1:125" ht="13.7" customHeight="1">
      <c r="B14" s="811"/>
      <c r="C14" s="767"/>
      <c r="D14" s="347" t="s">
        <v>46</v>
      </c>
      <c r="E14" s="347"/>
      <c r="F14" s="347"/>
      <c r="G14" s="347"/>
      <c r="H14" s="348"/>
      <c r="I14" s="746"/>
      <c r="J14" s="747"/>
      <c r="K14" s="747"/>
      <c r="L14" s="747"/>
      <c r="M14" s="747"/>
      <c r="N14" s="747"/>
      <c r="O14" s="747"/>
      <c r="P14" s="747"/>
      <c r="Q14" s="702" t="str">
        <f t="shared" si="3"/>
        <v>-</v>
      </c>
      <c r="R14" s="702" t="str">
        <f t="shared" si="0"/>
        <v>-</v>
      </c>
      <c r="S14" s="703" t="str">
        <f t="shared" si="0"/>
        <v>-</v>
      </c>
      <c r="T14" s="746"/>
      <c r="U14" s="747"/>
      <c r="V14" s="747"/>
      <c r="W14" s="747"/>
      <c r="X14" s="747"/>
      <c r="Y14" s="747"/>
      <c r="Z14" s="747"/>
      <c r="AA14" s="747"/>
      <c r="AB14" s="702" t="str">
        <f t="shared" si="4"/>
        <v>-</v>
      </c>
      <c r="AC14" s="702" t="str">
        <f t="shared" si="5"/>
        <v>-</v>
      </c>
      <c r="AD14" s="703" t="str">
        <f t="shared" si="5"/>
        <v>-</v>
      </c>
      <c r="AE14" s="640"/>
      <c r="AF14" s="641"/>
      <c r="AG14" s="641"/>
      <c r="AH14" s="641"/>
      <c r="AI14" s="641"/>
      <c r="AJ14" s="641"/>
      <c r="AK14" s="641"/>
      <c r="AL14" s="641"/>
      <c r="AM14" s="551" t="str">
        <f t="shared" si="1"/>
        <v>-</v>
      </c>
      <c r="AN14" s="551" t="str">
        <f t="shared" si="2"/>
        <v>-</v>
      </c>
      <c r="AO14" s="552" t="str">
        <f t="shared" si="2"/>
        <v>-</v>
      </c>
      <c r="AT14" s="785"/>
      <c r="AU14" s="186" t="s">
        <v>94</v>
      </c>
      <c r="AV14" s="187"/>
      <c r="AW14" s="187"/>
      <c r="AX14" s="187"/>
      <c r="AY14" s="187"/>
      <c r="AZ14" s="187"/>
      <c r="BA14" s="255"/>
      <c r="BB14" s="777"/>
      <c r="BC14" s="778"/>
      <c r="BD14" s="778"/>
      <c r="BE14" s="779"/>
      <c r="BF14" s="780"/>
      <c r="BG14" s="778"/>
      <c r="BH14" s="778"/>
      <c r="BI14" s="778"/>
      <c r="BJ14" s="781"/>
      <c r="BK14" s="782"/>
      <c r="BL14" s="783"/>
      <c r="BM14" s="226"/>
      <c r="BN14" s="227"/>
      <c r="BO14" s="227"/>
      <c r="BP14" s="227"/>
      <c r="BQ14" s="227"/>
      <c r="BR14" s="227"/>
      <c r="BS14" s="227"/>
      <c r="BT14" s="227"/>
      <c r="BU14" s="228" t="str">
        <f t="shared" si="6"/>
        <v>-</v>
      </c>
      <c r="BV14" s="228" t="str">
        <f t="shared" si="7"/>
        <v>-</v>
      </c>
      <c r="BW14" s="229" t="str">
        <f t="shared" si="7"/>
        <v>-</v>
      </c>
    </row>
    <row r="15" spans="1:125" ht="13.7" customHeight="1">
      <c r="B15" s="811"/>
      <c r="C15" s="765" t="s">
        <v>175</v>
      </c>
      <c r="D15" s="347" t="s">
        <v>126</v>
      </c>
      <c r="E15" s="347"/>
      <c r="F15" s="347"/>
      <c r="G15" s="347"/>
      <c r="H15" s="348"/>
      <c r="I15" s="226"/>
      <c r="J15" s="227"/>
      <c r="K15" s="227"/>
      <c r="L15" s="227"/>
      <c r="M15" s="227"/>
      <c r="N15" s="227"/>
      <c r="O15" s="227"/>
      <c r="P15" s="227"/>
      <c r="Q15" s="228" t="str">
        <f t="shared" si="3"/>
        <v>-</v>
      </c>
      <c r="R15" s="228" t="str">
        <f t="shared" si="0"/>
        <v>-</v>
      </c>
      <c r="S15" s="229" t="str">
        <f t="shared" si="0"/>
        <v>-</v>
      </c>
      <c r="T15" s="226"/>
      <c r="U15" s="227"/>
      <c r="V15" s="227"/>
      <c r="W15" s="227"/>
      <c r="X15" s="227"/>
      <c r="Y15" s="227"/>
      <c r="Z15" s="227"/>
      <c r="AA15" s="227"/>
      <c r="AB15" s="228" t="str">
        <f t="shared" si="4"/>
        <v>-</v>
      </c>
      <c r="AC15" s="228" t="str">
        <f t="shared" si="5"/>
        <v>-</v>
      </c>
      <c r="AD15" s="229" t="str">
        <f t="shared" si="5"/>
        <v>-</v>
      </c>
      <c r="AE15" s="630"/>
      <c r="AF15" s="631"/>
      <c r="AG15" s="631"/>
      <c r="AH15" s="631"/>
      <c r="AI15" s="631"/>
      <c r="AJ15" s="631"/>
      <c r="AK15" s="631"/>
      <c r="AL15" s="631"/>
      <c r="AM15" s="228" t="str">
        <f t="shared" si="1"/>
        <v>-</v>
      </c>
      <c r="AN15" s="228" t="str">
        <f t="shared" si="2"/>
        <v>-</v>
      </c>
      <c r="AO15" s="229" t="str">
        <f t="shared" si="2"/>
        <v>-</v>
      </c>
      <c r="AT15" s="785"/>
      <c r="AU15" s="225" t="s">
        <v>95</v>
      </c>
      <c r="AV15" s="225"/>
      <c r="AW15" s="225"/>
      <c r="AX15" s="225"/>
      <c r="AY15" s="225"/>
      <c r="AZ15" s="225"/>
      <c r="BA15" s="249"/>
      <c r="BB15" s="777"/>
      <c r="BC15" s="778"/>
      <c r="BD15" s="778"/>
      <c r="BE15" s="779"/>
      <c r="BF15" s="780"/>
      <c r="BG15" s="778"/>
      <c r="BH15" s="778"/>
      <c r="BI15" s="778"/>
      <c r="BJ15" s="781"/>
      <c r="BK15" s="782"/>
      <c r="BL15" s="783"/>
      <c r="BM15" s="226"/>
      <c r="BN15" s="227"/>
      <c r="BO15" s="227"/>
      <c r="BP15" s="227"/>
      <c r="BQ15" s="227"/>
      <c r="BR15" s="227"/>
      <c r="BS15" s="227"/>
      <c r="BT15" s="227"/>
      <c r="BU15" s="228" t="str">
        <f t="shared" si="6"/>
        <v>-</v>
      </c>
      <c r="BV15" s="228" t="str">
        <f t="shared" si="7"/>
        <v>-</v>
      </c>
      <c r="BW15" s="229" t="str">
        <f t="shared" si="7"/>
        <v>-</v>
      </c>
    </row>
    <row r="16" spans="1:125" ht="13.7" customHeight="1">
      <c r="B16" s="811"/>
      <c r="C16" s="766"/>
      <c r="D16" s="347" t="s">
        <v>90</v>
      </c>
      <c r="E16" s="347"/>
      <c r="F16" s="347"/>
      <c r="G16" s="347"/>
      <c r="H16" s="348"/>
      <c r="I16" s="226"/>
      <c r="J16" s="227"/>
      <c r="K16" s="227"/>
      <c r="L16" s="227"/>
      <c r="M16" s="227"/>
      <c r="N16" s="227"/>
      <c r="O16" s="227"/>
      <c r="P16" s="227"/>
      <c r="Q16" s="228" t="str">
        <f t="shared" si="3"/>
        <v>-</v>
      </c>
      <c r="R16" s="228" t="str">
        <f t="shared" si="0"/>
        <v>-</v>
      </c>
      <c r="S16" s="229" t="str">
        <f t="shared" si="0"/>
        <v>-</v>
      </c>
      <c r="T16" s="226"/>
      <c r="U16" s="227"/>
      <c r="V16" s="227"/>
      <c r="W16" s="227"/>
      <c r="X16" s="227"/>
      <c r="Y16" s="227"/>
      <c r="Z16" s="227"/>
      <c r="AA16" s="227"/>
      <c r="AB16" s="228" t="str">
        <f t="shared" si="4"/>
        <v>-</v>
      </c>
      <c r="AC16" s="228" t="str">
        <f t="shared" si="5"/>
        <v>-</v>
      </c>
      <c r="AD16" s="229" t="str">
        <f t="shared" si="5"/>
        <v>-</v>
      </c>
      <c r="AE16" s="630"/>
      <c r="AF16" s="631"/>
      <c r="AG16" s="631"/>
      <c r="AH16" s="631"/>
      <c r="AI16" s="631"/>
      <c r="AJ16" s="631"/>
      <c r="AK16" s="631"/>
      <c r="AL16" s="631"/>
      <c r="AM16" s="228" t="str">
        <f t="shared" si="1"/>
        <v>-</v>
      </c>
      <c r="AN16" s="228" t="str">
        <f t="shared" si="2"/>
        <v>-</v>
      </c>
      <c r="AO16" s="229" t="str">
        <f t="shared" si="2"/>
        <v>-</v>
      </c>
      <c r="AT16" s="785"/>
      <c r="AU16" s="225" t="s">
        <v>96</v>
      </c>
      <c r="AV16" s="225"/>
      <c r="AW16" s="225"/>
      <c r="AX16" s="225"/>
      <c r="AY16" s="225"/>
      <c r="AZ16" s="225"/>
      <c r="BA16" s="249"/>
      <c r="BB16" s="777"/>
      <c r="BC16" s="778"/>
      <c r="BD16" s="778"/>
      <c r="BE16" s="779"/>
      <c r="BF16" s="780"/>
      <c r="BG16" s="778"/>
      <c r="BH16" s="778"/>
      <c r="BI16" s="778"/>
      <c r="BJ16" s="781"/>
      <c r="BK16" s="782"/>
      <c r="BL16" s="783"/>
      <c r="BM16" s="226"/>
      <c r="BN16" s="227"/>
      <c r="BO16" s="227"/>
      <c r="BP16" s="227"/>
      <c r="BQ16" s="227"/>
      <c r="BR16" s="227"/>
      <c r="BS16" s="227"/>
      <c r="BT16" s="227"/>
      <c r="BU16" s="228" t="str">
        <f t="shared" si="6"/>
        <v>-</v>
      </c>
      <c r="BV16" s="228" t="str">
        <f t="shared" si="7"/>
        <v>-</v>
      </c>
      <c r="BW16" s="229" t="str">
        <f t="shared" si="7"/>
        <v>-</v>
      </c>
    </row>
    <row r="17" spans="2:75" ht="13.7" customHeight="1">
      <c r="B17" s="811"/>
      <c r="C17" s="766"/>
      <c r="D17" s="347" t="s">
        <v>78</v>
      </c>
      <c r="E17" s="347"/>
      <c r="F17" s="347"/>
      <c r="G17" s="347"/>
      <c r="H17" s="348"/>
      <c r="I17" s="226"/>
      <c r="J17" s="227"/>
      <c r="K17" s="227"/>
      <c r="L17" s="227"/>
      <c r="M17" s="227"/>
      <c r="N17" s="227"/>
      <c r="O17" s="227"/>
      <c r="P17" s="227"/>
      <c r="Q17" s="228" t="str">
        <f t="shared" si="3"/>
        <v>-</v>
      </c>
      <c r="R17" s="228" t="str">
        <f t="shared" si="0"/>
        <v>-</v>
      </c>
      <c r="S17" s="229" t="str">
        <f t="shared" si="0"/>
        <v>-</v>
      </c>
      <c r="T17" s="226"/>
      <c r="U17" s="227"/>
      <c r="V17" s="227"/>
      <c r="W17" s="227"/>
      <c r="X17" s="227"/>
      <c r="Y17" s="227"/>
      <c r="Z17" s="227"/>
      <c r="AA17" s="227"/>
      <c r="AB17" s="228" t="str">
        <f t="shared" si="4"/>
        <v>-</v>
      </c>
      <c r="AC17" s="228" t="str">
        <f t="shared" si="5"/>
        <v>-</v>
      </c>
      <c r="AD17" s="229" t="str">
        <f t="shared" si="5"/>
        <v>-</v>
      </c>
      <c r="AE17" s="630"/>
      <c r="AF17" s="631"/>
      <c r="AG17" s="631"/>
      <c r="AH17" s="631"/>
      <c r="AI17" s="631"/>
      <c r="AJ17" s="631"/>
      <c r="AK17" s="631"/>
      <c r="AL17" s="631"/>
      <c r="AM17" s="228" t="str">
        <f t="shared" si="1"/>
        <v>-</v>
      </c>
      <c r="AN17" s="228" t="str">
        <f t="shared" si="2"/>
        <v>-</v>
      </c>
      <c r="AO17" s="229" t="str">
        <f t="shared" si="2"/>
        <v>-</v>
      </c>
      <c r="AT17" s="785"/>
      <c r="AU17" s="225" t="s">
        <v>78</v>
      </c>
      <c r="AV17" s="225"/>
      <c r="AW17" s="225"/>
      <c r="AX17" s="225"/>
      <c r="AY17" s="225"/>
      <c r="AZ17" s="225"/>
      <c r="BA17" s="249"/>
      <c r="BB17" s="777"/>
      <c r="BC17" s="778"/>
      <c r="BD17" s="778"/>
      <c r="BE17" s="779"/>
      <c r="BF17" s="780"/>
      <c r="BG17" s="778"/>
      <c r="BH17" s="778"/>
      <c r="BI17" s="778"/>
      <c r="BJ17" s="781"/>
      <c r="BK17" s="782"/>
      <c r="BL17" s="783"/>
      <c r="BM17" s="226"/>
      <c r="BN17" s="227"/>
      <c r="BO17" s="227"/>
      <c r="BP17" s="227"/>
      <c r="BQ17" s="227"/>
      <c r="BR17" s="227"/>
      <c r="BS17" s="227"/>
      <c r="BT17" s="227"/>
      <c r="BU17" s="228" t="str">
        <f t="shared" si="6"/>
        <v>-</v>
      </c>
      <c r="BV17" s="228" t="str">
        <f t="shared" si="7"/>
        <v>-</v>
      </c>
      <c r="BW17" s="229" t="str">
        <f t="shared" si="7"/>
        <v>-</v>
      </c>
    </row>
    <row r="18" spans="2:75" ht="13.7" customHeight="1">
      <c r="B18" s="811"/>
      <c r="C18" s="767"/>
      <c r="D18" s="347" t="s">
        <v>46</v>
      </c>
      <c r="E18" s="347"/>
      <c r="F18" s="347"/>
      <c r="G18" s="347"/>
      <c r="H18" s="348"/>
      <c r="I18" s="746"/>
      <c r="J18" s="747"/>
      <c r="K18" s="747"/>
      <c r="L18" s="747"/>
      <c r="M18" s="747"/>
      <c r="N18" s="747"/>
      <c r="O18" s="747"/>
      <c r="P18" s="747"/>
      <c r="Q18" s="702" t="str">
        <f t="shared" si="3"/>
        <v>-</v>
      </c>
      <c r="R18" s="702" t="str">
        <f t="shared" si="0"/>
        <v>-</v>
      </c>
      <c r="S18" s="703" t="str">
        <f t="shared" si="0"/>
        <v>-</v>
      </c>
      <c r="T18" s="746"/>
      <c r="U18" s="747"/>
      <c r="V18" s="747"/>
      <c r="W18" s="747"/>
      <c r="X18" s="747"/>
      <c r="Y18" s="747"/>
      <c r="Z18" s="747"/>
      <c r="AA18" s="747"/>
      <c r="AB18" s="702" t="str">
        <f t="shared" si="4"/>
        <v>-</v>
      </c>
      <c r="AC18" s="702" t="str">
        <f t="shared" si="5"/>
        <v>-</v>
      </c>
      <c r="AD18" s="703" t="str">
        <f t="shared" si="5"/>
        <v>-</v>
      </c>
      <c r="AE18" s="640"/>
      <c r="AF18" s="641"/>
      <c r="AG18" s="641"/>
      <c r="AH18" s="641"/>
      <c r="AI18" s="641"/>
      <c r="AJ18" s="641"/>
      <c r="AK18" s="641"/>
      <c r="AL18" s="641"/>
      <c r="AM18" s="551" t="str">
        <f t="shared" si="1"/>
        <v>-</v>
      </c>
      <c r="AN18" s="551" t="str">
        <f t="shared" si="2"/>
        <v>-</v>
      </c>
      <c r="AO18" s="552" t="str">
        <f t="shared" si="2"/>
        <v>-</v>
      </c>
      <c r="AT18" s="785"/>
      <c r="AU18" s="302" t="s">
        <v>10</v>
      </c>
      <c r="AV18" s="302"/>
      <c r="AW18" s="302"/>
      <c r="AX18" s="302"/>
      <c r="AY18" s="302"/>
      <c r="AZ18" s="302"/>
      <c r="BA18" s="493"/>
      <c r="BB18" s="777"/>
      <c r="BC18" s="778"/>
      <c r="BD18" s="778"/>
      <c r="BE18" s="779"/>
      <c r="BF18" s="780"/>
      <c r="BG18" s="778"/>
      <c r="BH18" s="778"/>
      <c r="BI18" s="778"/>
      <c r="BJ18" s="781"/>
      <c r="BK18" s="782"/>
      <c r="BL18" s="783"/>
      <c r="BM18" s="746"/>
      <c r="BN18" s="747"/>
      <c r="BO18" s="747"/>
      <c r="BP18" s="747"/>
      <c r="BQ18" s="747"/>
      <c r="BR18" s="747"/>
      <c r="BS18" s="747"/>
      <c r="BT18" s="747"/>
      <c r="BU18" s="702" t="str">
        <f t="shared" si="6"/>
        <v>-</v>
      </c>
      <c r="BV18" s="702" t="str">
        <f t="shared" si="7"/>
        <v>-</v>
      </c>
      <c r="BW18" s="703" t="str">
        <f t="shared" si="7"/>
        <v>-</v>
      </c>
    </row>
    <row r="19" spans="2:75" ht="13.7" customHeight="1" thickBot="1">
      <c r="B19" s="812"/>
      <c r="C19" s="693" t="s">
        <v>52</v>
      </c>
      <c r="D19" s="343"/>
      <c r="E19" s="343"/>
      <c r="F19" s="343"/>
      <c r="G19" s="343"/>
      <c r="H19" s="344"/>
      <c r="I19" s="746"/>
      <c r="J19" s="747"/>
      <c r="K19" s="747"/>
      <c r="L19" s="747"/>
      <c r="M19" s="747"/>
      <c r="N19" s="747"/>
      <c r="O19" s="747"/>
      <c r="P19" s="747"/>
      <c r="Q19" s="702" t="str">
        <f t="shared" si="3"/>
        <v>-</v>
      </c>
      <c r="R19" s="702" t="str">
        <f t="shared" si="0"/>
        <v>-</v>
      </c>
      <c r="S19" s="703" t="str">
        <f t="shared" si="0"/>
        <v>-</v>
      </c>
      <c r="T19" s="746"/>
      <c r="U19" s="747"/>
      <c r="V19" s="747"/>
      <c r="W19" s="747"/>
      <c r="X19" s="747"/>
      <c r="Y19" s="747"/>
      <c r="Z19" s="747"/>
      <c r="AA19" s="747"/>
      <c r="AB19" s="702" t="str">
        <f t="shared" si="4"/>
        <v>-</v>
      </c>
      <c r="AC19" s="702" t="str">
        <f t="shared" si="5"/>
        <v>-</v>
      </c>
      <c r="AD19" s="703" t="str">
        <f t="shared" si="5"/>
        <v>-</v>
      </c>
      <c r="AE19" s="640"/>
      <c r="AF19" s="641"/>
      <c r="AG19" s="641"/>
      <c r="AH19" s="641"/>
      <c r="AI19" s="641"/>
      <c r="AJ19" s="641"/>
      <c r="AK19" s="641"/>
      <c r="AL19" s="641"/>
      <c r="AM19" s="551" t="str">
        <f t="shared" si="1"/>
        <v>-</v>
      </c>
      <c r="AN19" s="551" t="str">
        <f t="shared" si="2"/>
        <v>-</v>
      </c>
      <c r="AO19" s="552" t="str">
        <f t="shared" si="2"/>
        <v>-</v>
      </c>
      <c r="AT19" s="786"/>
      <c r="AU19" s="5"/>
      <c r="AV19" s="53"/>
      <c r="AW19" s="301" t="s">
        <v>166</v>
      </c>
      <c r="AX19" s="806"/>
      <c r="AY19" s="806"/>
      <c r="AZ19" s="806"/>
      <c r="BA19" s="807"/>
      <c r="BB19" s="808"/>
      <c r="BC19" s="802"/>
      <c r="BD19" s="802"/>
      <c r="BE19" s="809"/>
      <c r="BF19" s="801"/>
      <c r="BG19" s="802"/>
      <c r="BH19" s="802"/>
      <c r="BI19" s="802"/>
      <c r="BJ19" s="803"/>
      <c r="BK19" s="804"/>
      <c r="BL19" s="805"/>
      <c r="BM19" s="389"/>
      <c r="BN19" s="359"/>
      <c r="BO19" s="359"/>
      <c r="BP19" s="359"/>
      <c r="BQ19" s="359"/>
      <c r="BR19" s="359"/>
      <c r="BS19" s="359"/>
      <c r="BT19" s="359"/>
      <c r="BU19" s="361" t="str">
        <f t="shared" si="6"/>
        <v>-</v>
      </c>
      <c r="BV19" s="361" t="str">
        <f t="shared" si="7"/>
        <v>-</v>
      </c>
      <c r="BW19" s="362" t="str">
        <f t="shared" si="7"/>
        <v>-</v>
      </c>
    </row>
    <row r="20" spans="2:75" ht="13.7" customHeight="1" thickBot="1">
      <c r="B20" s="816" t="s">
        <v>72</v>
      </c>
      <c r="C20" s="818" t="s">
        <v>89</v>
      </c>
      <c r="D20" s="347" t="s">
        <v>127</v>
      </c>
      <c r="E20" s="347"/>
      <c r="F20" s="347"/>
      <c r="G20" s="347"/>
      <c r="H20" s="348"/>
      <c r="I20" s="226"/>
      <c r="J20" s="227"/>
      <c r="K20" s="227"/>
      <c r="L20" s="227"/>
      <c r="M20" s="227"/>
      <c r="N20" s="227"/>
      <c r="O20" s="227"/>
      <c r="P20" s="227"/>
      <c r="Q20" s="228" t="str">
        <f t="shared" si="3"/>
        <v>-</v>
      </c>
      <c r="R20" s="228" t="str">
        <f t="shared" si="0"/>
        <v>-</v>
      </c>
      <c r="S20" s="229" t="str">
        <f t="shared" si="0"/>
        <v>-</v>
      </c>
      <c r="T20" s="226"/>
      <c r="U20" s="227"/>
      <c r="V20" s="227"/>
      <c r="W20" s="227"/>
      <c r="X20" s="227"/>
      <c r="Y20" s="227"/>
      <c r="Z20" s="227"/>
      <c r="AA20" s="227"/>
      <c r="AB20" s="228" t="str">
        <f t="shared" si="4"/>
        <v>-</v>
      </c>
      <c r="AC20" s="228" t="str">
        <f t="shared" si="5"/>
        <v>-</v>
      </c>
      <c r="AD20" s="229" t="str">
        <f t="shared" si="5"/>
        <v>-</v>
      </c>
      <c r="AE20" s="630"/>
      <c r="AF20" s="631"/>
      <c r="AG20" s="631"/>
      <c r="AH20" s="631"/>
      <c r="AI20" s="631"/>
      <c r="AJ20" s="631"/>
      <c r="AK20" s="631"/>
      <c r="AL20" s="631"/>
      <c r="AM20" s="228" t="str">
        <f t="shared" si="1"/>
        <v>-</v>
      </c>
      <c r="AN20" s="228" t="str">
        <f t="shared" si="2"/>
        <v>-</v>
      </c>
      <c r="AO20" s="229" t="str">
        <f t="shared" si="2"/>
        <v>-</v>
      </c>
      <c r="AT20" s="829"/>
      <c r="AU20" s="830"/>
      <c r="AV20" s="830"/>
      <c r="AW20" s="830"/>
      <c r="AX20" s="830"/>
      <c r="AY20" s="830"/>
      <c r="AZ20" s="830"/>
      <c r="BA20" s="831"/>
      <c r="BB20" s="832" t="s">
        <v>193</v>
      </c>
      <c r="BC20" s="833"/>
      <c r="BD20" s="833"/>
      <c r="BE20" s="833"/>
      <c r="BF20" s="834"/>
      <c r="BG20" s="834"/>
      <c r="BH20" s="834"/>
      <c r="BI20" s="834"/>
      <c r="BJ20" s="834"/>
      <c r="BK20" s="834"/>
      <c r="BL20" s="835"/>
      <c r="BM20" s="836" t="s">
        <v>139</v>
      </c>
      <c r="BN20" s="353"/>
      <c r="BO20" s="353"/>
      <c r="BP20" s="353"/>
      <c r="BQ20" s="837"/>
      <c r="BR20" s="837"/>
      <c r="BS20" s="837"/>
      <c r="BT20" s="837"/>
      <c r="BU20" s="837"/>
      <c r="BV20" s="837"/>
      <c r="BW20" s="838"/>
    </row>
    <row r="21" spans="2:75" ht="13.7" customHeight="1">
      <c r="B21" s="811"/>
      <c r="C21" s="766"/>
      <c r="D21" s="347" t="s">
        <v>128</v>
      </c>
      <c r="E21" s="347"/>
      <c r="F21" s="347"/>
      <c r="G21" s="347"/>
      <c r="H21" s="348"/>
      <c r="I21" s="226"/>
      <c r="J21" s="227"/>
      <c r="K21" s="227"/>
      <c r="L21" s="227"/>
      <c r="M21" s="227"/>
      <c r="N21" s="227"/>
      <c r="O21" s="227"/>
      <c r="P21" s="227"/>
      <c r="Q21" s="228" t="str">
        <f t="shared" si="3"/>
        <v>-</v>
      </c>
      <c r="R21" s="228" t="str">
        <f t="shared" si="0"/>
        <v>-</v>
      </c>
      <c r="S21" s="229" t="str">
        <f t="shared" si="0"/>
        <v>-</v>
      </c>
      <c r="T21" s="226"/>
      <c r="U21" s="227"/>
      <c r="V21" s="227"/>
      <c r="W21" s="227"/>
      <c r="X21" s="227"/>
      <c r="Y21" s="227"/>
      <c r="Z21" s="227"/>
      <c r="AA21" s="227"/>
      <c r="AB21" s="228" t="str">
        <f t="shared" si="4"/>
        <v>-</v>
      </c>
      <c r="AC21" s="228" t="str">
        <f t="shared" si="5"/>
        <v>-</v>
      </c>
      <c r="AD21" s="229" t="str">
        <f t="shared" si="5"/>
        <v>-</v>
      </c>
      <c r="AE21" s="630"/>
      <c r="AF21" s="631"/>
      <c r="AG21" s="631"/>
      <c r="AH21" s="631"/>
      <c r="AI21" s="631"/>
      <c r="AJ21" s="631"/>
      <c r="AK21" s="631"/>
      <c r="AL21" s="631"/>
      <c r="AM21" s="228" t="str">
        <f t="shared" si="1"/>
        <v>-</v>
      </c>
      <c r="AN21" s="228" t="str">
        <f t="shared" si="2"/>
        <v>-</v>
      </c>
      <c r="AO21" s="229" t="str">
        <f t="shared" si="2"/>
        <v>-</v>
      </c>
      <c r="AT21" s="826" t="s">
        <v>114</v>
      </c>
      <c r="AU21" s="225" t="s">
        <v>171</v>
      </c>
      <c r="AV21" s="225"/>
      <c r="AW21" s="225"/>
      <c r="AX21" s="225"/>
      <c r="AY21" s="225"/>
      <c r="AZ21" s="225"/>
      <c r="BA21" s="249"/>
      <c r="BB21" s="695"/>
      <c r="BC21" s="521"/>
      <c r="BD21" s="521"/>
      <c r="BE21" s="521"/>
      <c r="BF21" s="696"/>
      <c r="BG21" s="521"/>
      <c r="BH21" s="521"/>
      <c r="BI21" s="697"/>
      <c r="BJ21" s="215" t="str">
        <f t="shared" ref="BJ21" si="8">IF(BB21="-", "-", IF(BF21="-", "-", IF(ABS(BF21)=0, "-", ROUND(100*(BB21-BF21)/ABS(BF21), 1))))</f>
        <v>-</v>
      </c>
      <c r="BK21" s="215" t="str">
        <f t="shared" ref="BK21:BL21" si="9">IF(BG21="-", "-", IF(BI21="-", "-", IF(ABS(BI21)=0, "-", ROUND(100*(BG21-BI21)/ABS(BI21), 1))))</f>
        <v>-</v>
      </c>
      <c r="BL21" s="216" t="str">
        <f t="shared" si="9"/>
        <v>-</v>
      </c>
      <c r="BM21" s="226"/>
      <c r="BN21" s="227"/>
      <c r="BO21" s="227"/>
      <c r="BP21" s="227"/>
      <c r="BQ21" s="227"/>
      <c r="BR21" s="227"/>
      <c r="BS21" s="227"/>
      <c r="BT21" s="227"/>
      <c r="BU21" s="228" t="str">
        <f t="shared" ref="BU21:BU24" si="10">IF(BM21="-", "-", IF(BQ21="-", "-", IF(ABS(BQ21)=0, "-", ROUND(100*(BM21-BQ21)/ABS(BQ21), 1))))</f>
        <v>-</v>
      </c>
      <c r="BV21" s="228" t="str">
        <f t="shared" ref="BV21:BW24" si="11">IF(BR21="-", "-", IF(BT21="-", "-", IF(ABS(BT21)=0, "-", ROUND(100*(BR21-BT21)/ABS(BT21), 1))))</f>
        <v>-</v>
      </c>
      <c r="BW21" s="229" t="str">
        <f t="shared" si="11"/>
        <v>-</v>
      </c>
    </row>
    <row r="22" spans="2:75" ht="13.7" customHeight="1">
      <c r="B22" s="811"/>
      <c r="C22" s="766"/>
      <c r="D22" s="347" t="s">
        <v>129</v>
      </c>
      <c r="E22" s="347"/>
      <c r="F22" s="347"/>
      <c r="G22" s="347"/>
      <c r="H22" s="348"/>
      <c r="I22" s="226"/>
      <c r="J22" s="227"/>
      <c r="K22" s="227"/>
      <c r="L22" s="227"/>
      <c r="M22" s="227"/>
      <c r="N22" s="227"/>
      <c r="O22" s="227"/>
      <c r="P22" s="227"/>
      <c r="Q22" s="228" t="str">
        <f t="shared" si="3"/>
        <v>-</v>
      </c>
      <c r="R22" s="228" t="str">
        <f t="shared" si="0"/>
        <v>-</v>
      </c>
      <c r="S22" s="229" t="str">
        <f t="shared" si="0"/>
        <v>-</v>
      </c>
      <c r="T22" s="226"/>
      <c r="U22" s="227"/>
      <c r="V22" s="227"/>
      <c r="W22" s="227"/>
      <c r="X22" s="227"/>
      <c r="Y22" s="227"/>
      <c r="Z22" s="227"/>
      <c r="AA22" s="227"/>
      <c r="AB22" s="228" t="str">
        <f t="shared" si="4"/>
        <v>-</v>
      </c>
      <c r="AC22" s="228" t="str">
        <f t="shared" si="5"/>
        <v>-</v>
      </c>
      <c r="AD22" s="229" t="str">
        <f t="shared" si="5"/>
        <v>-</v>
      </c>
      <c r="AE22" s="630"/>
      <c r="AF22" s="631"/>
      <c r="AG22" s="631"/>
      <c r="AH22" s="631"/>
      <c r="AI22" s="631"/>
      <c r="AJ22" s="631"/>
      <c r="AK22" s="631"/>
      <c r="AL22" s="631"/>
      <c r="AM22" s="228" t="str">
        <f t="shared" si="1"/>
        <v>-</v>
      </c>
      <c r="AN22" s="228" t="str">
        <f t="shared" si="2"/>
        <v>-</v>
      </c>
      <c r="AO22" s="229" t="str">
        <f t="shared" si="2"/>
        <v>-</v>
      </c>
      <c r="AT22" s="827"/>
      <c r="AU22" s="225" t="s">
        <v>78</v>
      </c>
      <c r="AV22" s="225"/>
      <c r="AW22" s="225"/>
      <c r="AX22" s="225"/>
      <c r="AY22" s="225"/>
      <c r="AZ22" s="225"/>
      <c r="BA22" s="249"/>
      <c r="BB22" s="839"/>
      <c r="BC22" s="840"/>
      <c r="BD22" s="840"/>
      <c r="BE22" s="841"/>
      <c r="BF22" s="840"/>
      <c r="BG22" s="840"/>
      <c r="BH22" s="840"/>
      <c r="BI22" s="840"/>
      <c r="BJ22" s="842"/>
      <c r="BK22" s="840"/>
      <c r="BL22" s="841"/>
      <c r="BM22" s="226"/>
      <c r="BN22" s="227"/>
      <c r="BO22" s="227"/>
      <c r="BP22" s="227"/>
      <c r="BQ22" s="227"/>
      <c r="BR22" s="227"/>
      <c r="BS22" s="227"/>
      <c r="BT22" s="227"/>
      <c r="BU22" s="228" t="str">
        <f t="shared" si="10"/>
        <v>-</v>
      </c>
      <c r="BV22" s="228" t="str">
        <f t="shared" si="11"/>
        <v>-</v>
      </c>
      <c r="BW22" s="229" t="str">
        <f t="shared" si="11"/>
        <v>-</v>
      </c>
    </row>
    <row r="23" spans="2:75" ht="13.7" customHeight="1">
      <c r="B23" s="811"/>
      <c r="C23" s="766"/>
      <c r="D23" s="347" t="s">
        <v>130</v>
      </c>
      <c r="E23" s="347"/>
      <c r="F23" s="347"/>
      <c r="G23" s="347"/>
      <c r="H23" s="348"/>
      <c r="I23" s="226"/>
      <c r="J23" s="227"/>
      <c r="K23" s="227"/>
      <c r="L23" s="227"/>
      <c r="M23" s="227"/>
      <c r="N23" s="227"/>
      <c r="O23" s="227"/>
      <c r="P23" s="227"/>
      <c r="Q23" s="228" t="str">
        <f t="shared" si="3"/>
        <v>-</v>
      </c>
      <c r="R23" s="228" t="str">
        <f t="shared" si="0"/>
        <v>-</v>
      </c>
      <c r="S23" s="229" t="str">
        <f t="shared" si="0"/>
        <v>-</v>
      </c>
      <c r="T23" s="226"/>
      <c r="U23" s="227"/>
      <c r="V23" s="227"/>
      <c r="W23" s="227"/>
      <c r="X23" s="227"/>
      <c r="Y23" s="227"/>
      <c r="Z23" s="227"/>
      <c r="AA23" s="227"/>
      <c r="AB23" s="228" t="str">
        <f t="shared" si="4"/>
        <v>-</v>
      </c>
      <c r="AC23" s="228" t="str">
        <f t="shared" si="5"/>
        <v>-</v>
      </c>
      <c r="AD23" s="229" t="str">
        <f t="shared" si="5"/>
        <v>-</v>
      </c>
      <c r="AE23" s="630"/>
      <c r="AF23" s="631"/>
      <c r="AG23" s="631"/>
      <c r="AH23" s="631"/>
      <c r="AI23" s="631"/>
      <c r="AJ23" s="631"/>
      <c r="AK23" s="631"/>
      <c r="AL23" s="631"/>
      <c r="AM23" s="228" t="str">
        <f t="shared" si="1"/>
        <v>-</v>
      </c>
      <c r="AN23" s="228" t="str">
        <f t="shared" si="2"/>
        <v>-</v>
      </c>
      <c r="AO23" s="229" t="str">
        <f t="shared" si="2"/>
        <v>-</v>
      </c>
      <c r="AT23" s="827"/>
      <c r="AU23" s="302" t="s">
        <v>10</v>
      </c>
      <c r="AV23" s="302"/>
      <c r="AW23" s="302"/>
      <c r="AX23" s="225"/>
      <c r="AY23" s="225"/>
      <c r="AZ23" s="225"/>
      <c r="BA23" s="249"/>
      <c r="BB23" s="839"/>
      <c r="BC23" s="840"/>
      <c r="BD23" s="840"/>
      <c r="BE23" s="841"/>
      <c r="BF23" s="840"/>
      <c r="BG23" s="840"/>
      <c r="BH23" s="840"/>
      <c r="BI23" s="840"/>
      <c r="BJ23" s="842"/>
      <c r="BK23" s="840"/>
      <c r="BL23" s="841"/>
      <c r="BM23" s="746"/>
      <c r="BN23" s="747"/>
      <c r="BO23" s="747"/>
      <c r="BP23" s="747"/>
      <c r="BQ23" s="747"/>
      <c r="BR23" s="747"/>
      <c r="BS23" s="747"/>
      <c r="BT23" s="747"/>
      <c r="BU23" s="702" t="str">
        <f t="shared" si="10"/>
        <v>-</v>
      </c>
      <c r="BV23" s="702" t="str">
        <f t="shared" si="11"/>
        <v>-</v>
      </c>
      <c r="BW23" s="703" t="str">
        <f t="shared" si="11"/>
        <v>-</v>
      </c>
    </row>
    <row r="24" spans="2:75" ht="13.7" customHeight="1" thickBot="1">
      <c r="B24" s="811"/>
      <c r="C24" s="767"/>
      <c r="D24" s="347" t="s">
        <v>46</v>
      </c>
      <c r="E24" s="347"/>
      <c r="F24" s="347"/>
      <c r="G24" s="347"/>
      <c r="H24" s="348"/>
      <c r="I24" s="843"/>
      <c r="J24" s="844"/>
      <c r="K24" s="844"/>
      <c r="L24" s="844"/>
      <c r="M24" s="845"/>
      <c r="N24" s="845"/>
      <c r="O24" s="845"/>
      <c r="P24" s="845"/>
      <c r="Q24" s="819"/>
      <c r="R24" s="819"/>
      <c r="S24" s="820"/>
      <c r="T24" s="746"/>
      <c r="U24" s="747"/>
      <c r="V24" s="747"/>
      <c r="W24" s="747"/>
      <c r="X24" s="747"/>
      <c r="Y24" s="747"/>
      <c r="Z24" s="747"/>
      <c r="AA24" s="747"/>
      <c r="AB24" s="702" t="str">
        <f t="shared" si="4"/>
        <v>-</v>
      </c>
      <c r="AC24" s="702" t="str">
        <f t="shared" si="5"/>
        <v>-</v>
      </c>
      <c r="AD24" s="703" t="str">
        <f t="shared" si="5"/>
        <v>-</v>
      </c>
      <c r="AE24" s="843"/>
      <c r="AF24" s="844"/>
      <c r="AG24" s="844"/>
      <c r="AH24" s="844"/>
      <c r="AI24" s="815"/>
      <c r="AJ24" s="815"/>
      <c r="AK24" s="815"/>
      <c r="AL24" s="815"/>
      <c r="AM24" s="819"/>
      <c r="AN24" s="819"/>
      <c r="AO24" s="820"/>
      <c r="AT24" s="828"/>
      <c r="AU24" s="6"/>
      <c r="AV24" s="6"/>
      <c r="AW24" s="674" t="s">
        <v>166</v>
      </c>
      <c r="AX24" s="821"/>
      <c r="AY24" s="821"/>
      <c r="AZ24" s="821"/>
      <c r="BA24" s="822"/>
      <c r="BB24" s="823"/>
      <c r="BC24" s="824"/>
      <c r="BD24" s="824"/>
      <c r="BE24" s="825"/>
      <c r="BF24" s="824"/>
      <c r="BG24" s="824"/>
      <c r="BH24" s="824"/>
      <c r="BI24" s="824"/>
      <c r="BJ24" s="846"/>
      <c r="BK24" s="824"/>
      <c r="BL24" s="825"/>
      <c r="BM24" s="226"/>
      <c r="BN24" s="227"/>
      <c r="BO24" s="227"/>
      <c r="BP24" s="227"/>
      <c r="BQ24" s="227"/>
      <c r="BR24" s="227"/>
      <c r="BS24" s="227"/>
      <c r="BT24" s="227"/>
      <c r="BU24" s="228" t="str">
        <f t="shared" si="10"/>
        <v>-</v>
      </c>
      <c r="BV24" s="228" t="str">
        <f t="shared" si="11"/>
        <v>-</v>
      </c>
      <c r="BW24" s="229" t="str">
        <f t="shared" si="11"/>
        <v>-</v>
      </c>
    </row>
    <row r="25" spans="2:75" ht="13.7" customHeight="1" thickBot="1">
      <c r="B25" s="811"/>
      <c r="C25" s="765" t="s">
        <v>175</v>
      </c>
      <c r="D25" s="347" t="s">
        <v>127</v>
      </c>
      <c r="E25" s="347"/>
      <c r="F25" s="347"/>
      <c r="G25" s="347"/>
      <c r="H25" s="348"/>
      <c r="I25" s="226"/>
      <c r="J25" s="227"/>
      <c r="K25" s="227"/>
      <c r="L25" s="227"/>
      <c r="M25" s="227"/>
      <c r="N25" s="227"/>
      <c r="O25" s="227"/>
      <c r="P25" s="227"/>
      <c r="Q25" s="228" t="str">
        <f t="shared" ref="Q25:Q29" si="12">IF(I25="-", "-", IF(M25="-", "-", IF(ABS(M25)=0, "-", ROUND(100*(I25-M25)/ABS(M25), 1))))</f>
        <v>-</v>
      </c>
      <c r="R25" s="228" t="str">
        <f t="shared" ref="R25:S29" si="13">IF(N25="-", "-", IF(P25="-", "-", IF(ABS(P25)=0, "-", ROUND(100*(N25-P25)/ABS(P25), 1))))</f>
        <v>-</v>
      </c>
      <c r="S25" s="229" t="str">
        <f t="shared" si="13"/>
        <v>-</v>
      </c>
      <c r="T25" s="226"/>
      <c r="U25" s="227"/>
      <c r="V25" s="227"/>
      <c r="W25" s="227"/>
      <c r="X25" s="227"/>
      <c r="Y25" s="227"/>
      <c r="Z25" s="227"/>
      <c r="AA25" s="227"/>
      <c r="AB25" s="228" t="str">
        <f t="shared" si="4"/>
        <v>-</v>
      </c>
      <c r="AC25" s="228" t="str">
        <f t="shared" si="5"/>
        <v>-</v>
      </c>
      <c r="AD25" s="229" t="str">
        <f t="shared" si="5"/>
        <v>-</v>
      </c>
      <c r="AE25" s="630"/>
      <c r="AF25" s="631"/>
      <c r="AG25" s="631"/>
      <c r="AH25" s="631"/>
      <c r="AI25" s="631"/>
      <c r="AJ25" s="631"/>
      <c r="AK25" s="631"/>
      <c r="AL25" s="631"/>
      <c r="AM25" s="228" t="str">
        <f t="shared" ref="AM25:AM28" si="14">IF(AE25="-", "-", IF(AI25="-", "-", IF(ABS(AI25)=0, "-", ROUND(100*(AE25-AI25)/ABS(AI25), 1))))</f>
        <v>-</v>
      </c>
      <c r="AN25" s="228" t="str">
        <f t="shared" ref="AN25:AO28" si="15">IF(AJ25="-", "-", IF(AL25="-", "-", IF(ABS(AL25)=0, "-", ROUND(100*(AJ25-AL25)/ABS(AL25), 1))))</f>
        <v>-</v>
      </c>
      <c r="AO25" s="229" t="str">
        <f t="shared" si="15"/>
        <v>-</v>
      </c>
      <c r="AT25" s="207"/>
      <c r="AU25" s="208"/>
      <c r="AV25" s="208"/>
      <c r="AW25" s="208"/>
      <c r="AX25" s="208"/>
      <c r="AY25" s="208"/>
      <c r="AZ25" s="208"/>
      <c r="BA25" s="517"/>
      <c r="BB25" s="832" t="s">
        <v>194</v>
      </c>
      <c r="BC25" s="833"/>
      <c r="BD25" s="833"/>
      <c r="BE25" s="833"/>
      <c r="BF25" s="834"/>
      <c r="BG25" s="834"/>
      <c r="BH25" s="834"/>
      <c r="BI25" s="834"/>
      <c r="BJ25" s="834"/>
      <c r="BK25" s="834"/>
      <c r="BL25" s="835"/>
      <c r="BM25" s="836" t="s">
        <v>139</v>
      </c>
      <c r="BN25" s="353"/>
      <c r="BO25" s="353"/>
      <c r="BP25" s="353"/>
      <c r="BQ25" s="837"/>
      <c r="BR25" s="837"/>
      <c r="BS25" s="837"/>
      <c r="BT25" s="837"/>
      <c r="BU25" s="837"/>
      <c r="BV25" s="837"/>
      <c r="BW25" s="838"/>
    </row>
    <row r="26" spans="2:75" ht="13.7" customHeight="1">
      <c r="B26" s="811"/>
      <c r="C26" s="732"/>
      <c r="D26" s="347" t="s">
        <v>128</v>
      </c>
      <c r="E26" s="347"/>
      <c r="F26" s="347"/>
      <c r="G26" s="347"/>
      <c r="H26" s="348"/>
      <c r="I26" s="226"/>
      <c r="J26" s="227"/>
      <c r="K26" s="227"/>
      <c r="L26" s="227"/>
      <c r="M26" s="227"/>
      <c r="N26" s="227"/>
      <c r="O26" s="227"/>
      <c r="P26" s="227"/>
      <c r="Q26" s="228" t="str">
        <f t="shared" si="12"/>
        <v>-</v>
      </c>
      <c r="R26" s="228" t="str">
        <f t="shared" si="13"/>
        <v>-</v>
      </c>
      <c r="S26" s="229" t="str">
        <f t="shared" si="13"/>
        <v>-</v>
      </c>
      <c r="T26" s="226"/>
      <c r="U26" s="227"/>
      <c r="V26" s="227"/>
      <c r="W26" s="227"/>
      <c r="X26" s="227"/>
      <c r="Y26" s="227"/>
      <c r="Z26" s="227"/>
      <c r="AA26" s="227"/>
      <c r="AB26" s="228" t="str">
        <f t="shared" si="4"/>
        <v>-</v>
      </c>
      <c r="AC26" s="228" t="str">
        <f t="shared" si="5"/>
        <v>-</v>
      </c>
      <c r="AD26" s="229" t="str">
        <f t="shared" si="5"/>
        <v>-</v>
      </c>
      <c r="AE26" s="630"/>
      <c r="AF26" s="631"/>
      <c r="AG26" s="631"/>
      <c r="AH26" s="631"/>
      <c r="AI26" s="631"/>
      <c r="AJ26" s="631"/>
      <c r="AK26" s="631"/>
      <c r="AL26" s="631"/>
      <c r="AM26" s="228" t="str">
        <f t="shared" si="14"/>
        <v>-</v>
      </c>
      <c r="AN26" s="228" t="str">
        <f t="shared" si="15"/>
        <v>-</v>
      </c>
      <c r="AO26" s="229" t="str">
        <f t="shared" si="15"/>
        <v>-</v>
      </c>
      <c r="AT26" s="737" t="s">
        <v>70</v>
      </c>
      <c r="AU26" s="847" t="s">
        <v>414</v>
      </c>
      <c r="AV26" s="848"/>
      <c r="AW26" s="849"/>
      <c r="AX26" s="148" t="s">
        <v>98</v>
      </c>
      <c r="AY26" s="149"/>
      <c r="AZ26" s="149"/>
      <c r="BA26" s="155"/>
      <c r="BB26" s="695"/>
      <c r="BC26" s="521"/>
      <c r="BD26" s="521"/>
      <c r="BE26" s="521"/>
      <c r="BF26" s="696"/>
      <c r="BG26" s="521"/>
      <c r="BH26" s="521"/>
      <c r="BI26" s="697"/>
      <c r="BJ26" s="215" t="str">
        <f t="shared" ref="BJ26:BJ44" si="16">IF(BB26="-", "-", IF(BF26="-", "-", IF(ABS(BF26)=0, "-", ROUND(100*(BB26-BF26)/ABS(BF26), 1))))</f>
        <v>-</v>
      </c>
      <c r="BK26" s="215" t="str">
        <f t="shared" ref="BK26:BL44" si="17">IF(BG26="-", "-", IF(BI26="-", "-", IF(ABS(BI26)=0, "-", ROUND(100*(BG26-BI26)/ABS(BI26), 1))))</f>
        <v>-</v>
      </c>
      <c r="BL26" s="216" t="str">
        <f t="shared" si="17"/>
        <v>-</v>
      </c>
      <c r="BM26" s="226"/>
      <c r="BN26" s="227"/>
      <c r="BO26" s="227"/>
      <c r="BP26" s="227"/>
      <c r="BQ26" s="227"/>
      <c r="BR26" s="227"/>
      <c r="BS26" s="227"/>
      <c r="BT26" s="227"/>
      <c r="BU26" s="228" t="str">
        <f t="shared" ref="BU26:BU47" si="18">IF(BM26="-", "-", IF(BQ26="-", "-", IF(ABS(BQ26)=0, "-", ROUND(100*(BM26-BQ26)/ABS(BQ26), 1))))</f>
        <v>-</v>
      </c>
      <c r="BV26" s="228" t="str">
        <f t="shared" ref="BV26:BW47" si="19">IF(BR26="-", "-", IF(BT26="-", "-", IF(ABS(BT26)=0, "-", ROUND(100*(BR26-BT26)/ABS(BT26), 1))))</f>
        <v>-</v>
      </c>
      <c r="BW26" s="229" t="str">
        <f t="shared" si="19"/>
        <v>-</v>
      </c>
    </row>
    <row r="27" spans="2:75" ht="13.7" customHeight="1">
      <c r="B27" s="811"/>
      <c r="C27" s="732"/>
      <c r="D27" s="347" t="s">
        <v>129</v>
      </c>
      <c r="E27" s="347"/>
      <c r="F27" s="347"/>
      <c r="G27" s="347"/>
      <c r="H27" s="348"/>
      <c r="I27" s="226"/>
      <c r="J27" s="227"/>
      <c r="K27" s="227"/>
      <c r="L27" s="227"/>
      <c r="M27" s="227"/>
      <c r="N27" s="227"/>
      <c r="O27" s="227"/>
      <c r="P27" s="227"/>
      <c r="Q27" s="228" t="str">
        <f t="shared" si="12"/>
        <v>-</v>
      </c>
      <c r="R27" s="228" t="str">
        <f t="shared" si="13"/>
        <v>-</v>
      </c>
      <c r="S27" s="229" t="str">
        <f t="shared" si="13"/>
        <v>-</v>
      </c>
      <c r="T27" s="226"/>
      <c r="U27" s="227"/>
      <c r="V27" s="227"/>
      <c r="W27" s="227"/>
      <c r="X27" s="227"/>
      <c r="Y27" s="227"/>
      <c r="Z27" s="227"/>
      <c r="AA27" s="227"/>
      <c r="AB27" s="228" t="str">
        <f t="shared" si="4"/>
        <v>-</v>
      </c>
      <c r="AC27" s="228" t="str">
        <f t="shared" ref="AC27:AD28" si="20">IF(Y27="-", "-", IF(AA27="-", "-", IF(ABS(AA27)=0, "-", ROUND(100*(Y27-AA27)/ABS(AA27), 1))))</f>
        <v>-</v>
      </c>
      <c r="AD27" s="229" t="str">
        <f t="shared" si="20"/>
        <v>-</v>
      </c>
      <c r="AE27" s="630"/>
      <c r="AF27" s="631"/>
      <c r="AG27" s="631"/>
      <c r="AH27" s="631"/>
      <c r="AI27" s="631"/>
      <c r="AJ27" s="631"/>
      <c r="AK27" s="631"/>
      <c r="AL27" s="631"/>
      <c r="AM27" s="228" t="str">
        <f t="shared" si="14"/>
        <v>-</v>
      </c>
      <c r="AN27" s="228" t="str">
        <f t="shared" si="15"/>
        <v>-</v>
      </c>
      <c r="AO27" s="229" t="str">
        <f t="shared" si="15"/>
        <v>-</v>
      </c>
      <c r="AT27" s="738"/>
      <c r="AU27" s="850"/>
      <c r="AV27" s="851"/>
      <c r="AW27" s="852"/>
      <c r="AX27" s="186" t="s">
        <v>110</v>
      </c>
      <c r="AY27" s="187"/>
      <c r="AZ27" s="187"/>
      <c r="BA27" s="255"/>
      <c r="BB27" s="409"/>
      <c r="BC27" s="410"/>
      <c r="BD27" s="410"/>
      <c r="BE27" s="410"/>
      <c r="BF27" s="411"/>
      <c r="BG27" s="410"/>
      <c r="BH27" s="410"/>
      <c r="BI27" s="412"/>
      <c r="BJ27" s="228" t="str">
        <f t="shared" si="16"/>
        <v>-</v>
      </c>
      <c r="BK27" s="228" t="str">
        <f t="shared" si="17"/>
        <v>-</v>
      </c>
      <c r="BL27" s="229" t="str">
        <f t="shared" si="17"/>
        <v>-</v>
      </c>
      <c r="BM27" s="226"/>
      <c r="BN27" s="227"/>
      <c r="BO27" s="227"/>
      <c r="BP27" s="227"/>
      <c r="BQ27" s="227"/>
      <c r="BR27" s="227"/>
      <c r="BS27" s="227"/>
      <c r="BT27" s="227"/>
      <c r="BU27" s="228" t="str">
        <f t="shared" si="18"/>
        <v>-</v>
      </c>
      <c r="BV27" s="228" t="str">
        <f t="shared" si="19"/>
        <v>-</v>
      </c>
      <c r="BW27" s="229" t="str">
        <f t="shared" si="19"/>
        <v>-</v>
      </c>
    </row>
    <row r="28" spans="2:75" ht="13.7" customHeight="1">
      <c r="B28" s="811"/>
      <c r="C28" s="732"/>
      <c r="D28" s="347" t="s">
        <v>130</v>
      </c>
      <c r="E28" s="347"/>
      <c r="F28" s="347"/>
      <c r="G28" s="347"/>
      <c r="H28" s="348"/>
      <c r="I28" s="226"/>
      <c r="J28" s="227"/>
      <c r="K28" s="227"/>
      <c r="L28" s="227"/>
      <c r="M28" s="227"/>
      <c r="N28" s="227"/>
      <c r="O28" s="227"/>
      <c r="P28" s="227"/>
      <c r="Q28" s="228" t="str">
        <f t="shared" si="12"/>
        <v>-</v>
      </c>
      <c r="R28" s="228" t="str">
        <f t="shared" si="13"/>
        <v>-</v>
      </c>
      <c r="S28" s="229" t="str">
        <f t="shared" si="13"/>
        <v>-</v>
      </c>
      <c r="T28" s="226"/>
      <c r="U28" s="227"/>
      <c r="V28" s="227"/>
      <c r="W28" s="227"/>
      <c r="X28" s="227"/>
      <c r="Y28" s="227"/>
      <c r="Z28" s="227"/>
      <c r="AA28" s="227"/>
      <c r="AB28" s="228" t="str">
        <f t="shared" si="4"/>
        <v>-</v>
      </c>
      <c r="AC28" s="228" t="str">
        <f t="shared" si="20"/>
        <v>-</v>
      </c>
      <c r="AD28" s="229" t="str">
        <f t="shared" si="20"/>
        <v>-</v>
      </c>
      <c r="AE28" s="630"/>
      <c r="AF28" s="631"/>
      <c r="AG28" s="631"/>
      <c r="AH28" s="631"/>
      <c r="AI28" s="631"/>
      <c r="AJ28" s="631"/>
      <c r="AK28" s="631"/>
      <c r="AL28" s="631"/>
      <c r="AM28" s="228" t="str">
        <f t="shared" si="14"/>
        <v>-</v>
      </c>
      <c r="AN28" s="228" t="str">
        <f t="shared" si="15"/>
        <v>-</v>
      </c>
      <c r="AO28" s="229" t="str">
        <f t="shared" si="15"/>
        <v>-</v>
      </c>
      <c r="AT28" s="738"/>
      <c r="AU28" s="853"/>
      <c r="AV28" s="854"/>
      <c r="AW28" s="855"/>
      <c r="AX28" s="186" t="s">
        <v>99</v>
      </c>
      <c r="AY28" s="187"/>
      <c r="AZ28" s="187"/>
      <c r="BA28" s="255"/>
      <c r="BB28" s="409"/>
      <c r="BC28" s="410"/>
      <c r="BD28" s="410"/>
      <c r="BE28" s="410"/>
      <c r="BF28" s="411"/>
      <c r="BG28" s="410"/>
      <c r="BH28" s="410"/>
      <c r="BI28" s="412"/>
      <c r="BJ28" s="228" t="str">
        <f t="shared" si="16"/>
        <v>-</v>
      </c>
      <c r="BK28" s="228" t="str">
        <f t="shared" si="17"/>
        <v>-</v>
      </c>
      <c r="BL28" s="229" t="str">
        <f t="shared" si="17"/>
        <v>-</v>
      </c>
      <c r="BM28" s="226"/>
      <c r="BN28" s="227"/>
      <c r="BO28" s="227"/>
      <c r="BP28" s="227"/>
      <c r="BQ28" s="227"/>
      <c r="BR28" s="227"/>
      <c r="BS28" s="227"/>
      <c r="BT28" s="227"/>
      <c r="BU28" s="228" t="str">
        <f t="shared" si="18"/>
        <v>-</v>
      </c>
      <c r="BV28" s="228" t="str">
        <f t="shared" si="19"/>
        <v>-</v>
      </c>
      <c r="BW28" s="229" t="str">
        <f t="shared" si="19"/>
        <v>-</v>
      </c>
    </row>
    <row r="29" spans="2:75" ht="13.7" customHeight="1">
      <c r="B29" s="811"/>
      <c r="C29" s="732"/>
      <c r="D29" s="51"/>
      <c r="E29" s="693" t="s">
        <v>131</v>
      </c>
      <c r="F29" s="861"/>
      <c r="G29" s="861"/>
      <c r="H29" s="862"/>
      <c r="I29" s="226"/>
      <c r="J29" s="227"/>
      <c r="K29" s="227"/>
      <c r="L29" s="227"/>
      <c r="M29" s="227"/>
      <c r="N29" s="227"/>
      <c r="O29" s="227"/>
      <c r="P29" s="227"/>
      <c r="Q29" s="228" t="str">
        <f t="shared" si="12"/>
        <v>-</v>
      </c>
      <c r="R29" s="228" t="str">
        <f t="shared" si="13"/>
        <v>-</v>
      </c>
      <c r="S29" s="229" t="str">
        <f t="shared" si="13"/>
        <v>-</v>
      </c>
      <c r="T29" s="843"/>
      <c r="U29" s="844"/>
      <c r="V29" s="844"/>
      <c r="W29" s="844"/>
      <c r="X29" s="845"/>
      <c r="Y29" s="845"/>
      <c r="Z29" s="845"/>
      <c r="AA29" s="845"/>
      <c r="AB29" s="819"/>
      <c r="AC29" s="819"/>
      <c r="AD29" s="820"/>
      <c r="AE29" s="843"/>
      <c r="AF29" s="844"/>
      <c r="AG29" s="844"/>
      <c r="AH29" s="844"/>
      <c r="AI29" s="815"/>
      <c r="AJ29" s="815"/>
      <c r="AK29" s="815"/>
      <c r="AL29" s="815"/>
      <c r="AM29" s="819"/>
      <c r="AN29" s="819"/>
      <c r="AO29" s="820"/>
      <c r="AT29" s="738"/>
      <c r="AU29" s="537" t="s">
        <v>133</v>
      </c>
      <c r="AV29" s="538"/>
      <c r="AW29" s="296"/>
      <c r="AX29" s="296"/>
      <c r="AY29" s="296"/>
      <c r="AZ29" s="296"/>
      <c r="BA29" s="297"/>
      <c r="BB29" s="409"/>
      <c r="BC29" s="410"/>
      <c r="BD29" s="410"/>
      <c r="BE29" s="410"/>
      <c r="BF29" s="411"/>
      <c r="BG29" s="410"/>
      <c r="BH29" s="410"/>
      <c r="BI29" s="412"/>
      <c r="BJ29" s="228" t="str">
        <f t="shared" si="16"/>
        <v>-</v>
      </c>
      <c r="BK29" s="228" t="str">
        <f t="shared" si="17"/>
        <v>-</v>
      </c>
      <c r="BL29" s="229" t="str">
        <f t="shared" si="17"/>
        <v>-</v>
      </c>
      <c r="BM29" s="226"/>
      <c r="BN29" s="227"/>
      <c r="BO29" s="227"/>
      <c r="BP29" s="227"/>
      <c r="BQ29" s="227"/>
      <c r="BR29" s="227"/>
      <c r="BS29" s="227"/>
      <c r="BT29" s="227"/>
      <c r="BU29" s="228" t="str">
        <f t="shared" si="18"/>
        <v>-</v>
      </c>
      <c r="BV29" s="228" t="str">
        <f t="shared" si="19"/>
        <v>-</v>
      </c>
      <c r="BW29" s="229" t="str">
        <f t="shared" si="19"/>
        <v>-</v>
      </c>
    </row>
    <row r="30" spans="2:75" ht="13.7" customHeight="1">
      <c r="B30" s="811"/>
      <c r="C30" s="733"/>
      <c r="D30" s="347" t="s">
        <v>46</v>
      </c>
      <c r="E30" s="347"/>
      <c r="F30" s="347"/>
      <c r="G30" s="347"/>
      <c r="H30" s="348"/>
      <c r="I30" s="843"/>
      <c r="J30" s="844"/>
      <c r="K30" s="844"/>
      <c r="L30" s="844"/>
      <c r="M30" s="845"/>
      <c r="N30" s="845"/>
      <c r="O30" s="845"/>
      <c r="P30" s="845"/>
      <c r="Q30" s="819"/>
      <c r="R30" s="819"/>
      <c r="S30" s="820"/>
      <c r="T30" s="746"/>
      <c r="U30" s="747"/>
      <c r="V30" s="747"/>
      <c r="W30" s="747"/>
      <c r="X30" s="747"/>
      <c r="Y30" s="747"/>
      <c r="Z30" s="747"/>
      <c r="AA30" s="747"/>
      <c r="AB30" s="702" t="str">
        <f t="shared" ref="AB30:AB31" si="21">IF(T30="-", "-", IF(X30="-", "-", IF(ABS(X30)=0, "-", ROUND(100*(T30-X30)/ABS(X30), 1))))</f>
        <v>-</v>
      </c>
      <c r="AC30" s="702" t="str">
        <f t="shared" ref="AC30:AD31" si="22">IF(Y30="-", "-", IF(AA30="-", "-", IF(ABS(AA30)=0, "-", ROUND(100*(Y30-AA30)/ABS(AA30), 1))))</f>
        <v>-</v>
      </c>
      <c r="AD30" s="703" t="str">
        <f t="shared" si="22"/>
        <v>-</v>
      </c>
      <c r="AE30" s="843"/>
      <c r="AF30" s="844"/>
      <c r="AG30" s="844"/>
      <c r="AH30" s="844"/>
      <c r="AI30" s="815"/>
      <c r="AJ30" s="815"/>
      <c r="AK30" s="815"/>
      <c r="AL30" s="815"/>
      <c r="AM30" s="819"/>
      <c r="AN30" s="819"/>
      <c r="AO30" s="820"/>
      <c r="AT30" s="738"/>
      <c r="AU30" s="225" t="s">
        <v>134</v>
      </c>
      <c r="AV30" s="225"/>
      <c r="AW30" s="225"/>
      <c r="AX30" s="225"/>
      <c r="AY30" s="225"/>
      <c r="AZ30" s="225"/>
      <c r="BA30" s="249"/>
      <c r="BB30" s="409"/>
      <c r="BC30" s="410"/>
      <c r="BD30" s="410"/>
      <c r="BE30" s="410"/>
      <c r="BF30" s="411"/>
      <c r="BG30" s="410"/>
      <c r="BH30" s="410"/>
      <c r="BI30" s="412"/>
      <c r="BJ30" s="228" t="str">
        <f t="shared" si="16"/>
        <v>-</v>
      </c>
      <c r="BK30" s="228" t="str">
        <f t="shared" si="17"/>
        <v>-</v>
      </c>
      <c r="BL30" s="229" t="str">
        <f t="shared" si="17"/>
        <v>-</v>
      </c>
      <c r="BM30" s="226"/>
      <c r="BN30" s="227"/>
      <c r="BO30" s="227"/>
      <c r="BP30" s="227"/>
      <c r="BQ30" s="227"/>
      <c r="BR30" s="227"/>
      <c r="BS30" s="227"/>
      <c r="BT30" s="227"/>
      <c r="BU30" s="228" t="str">
        <f t="shared" si="18"/>
        <v>-</v>
      </c>
      <c r="BV30" s="228" t="str">
        <f t="shared" si="19"/>
        <v>-</v>
      </c>
      <c r="BW30" s="229" t="str">
        <f t="shared" si="19"/>
        <v>-</v>
      </c>
    </row>
    <row r="31" spans="2:75" ht="13.7" customHeight="1" thickBot="1">
      <c r="B31" s="817"/>
      <c r="C31" s="708" t="s">
        <v>52</v>
      </c>
      <c r="D31" s="357"/>
      <c r="E31" s="357"/>
      <c r="F31" s="357"/>
      <c r="G31" s="357"/>
      <c r="H31" s="358"/>
      <c r="I31" s="856"/>
      <c r="J31" s="857"/>
      <c r="K31" s="857"/>
      <c r="L31" s="857"/>
      <c r="M31" s="858"/>
      <c r="N31" s="858"/>
      <c r="O31" s="858"/>
      <c r="P31" s="858"/>
      <c r="Q31" s="859"/>
      <c r="R31" s="859"/>
      <c r="S31" s="860"/>
      <c r="T31" s="763"/>
      <c r="U31" s="764"/>
      <c r="V31" s="764"/>
      <c r="W31" s="764"/>
      <c r="X31" s="764"/>
      <c r="Y31" s="764"/>
      <c r="Z31" s="764"/>
      <c r="AA31" s="764"/>
      <c r="AB31" s="711" t="str">
        <f t="shared" si="21"/>
        <v>-</v>
      </c>
      <c r="AC31" s="711" t="str">
        <f t="shared" si="22"/>
        <v>-</v>
      </c>
      <c r="AD31" s="712" t="str">
        <f t="shared" si="22"/>
        <v>-</v>
      </c>
      <c r="AE31" s="856"/>
      <c r="AF31" s="857"/>
      <c r="AG31" s="857"/>
      <c r="AH31" s="857"/>
      <c r="AI31" s="863"/>
      <c r="AJ31" s="863"/>
      <c r="AK31" s="863"/>
      <c r="AL31" s="863"/>
      <c r="AM31" s="859"/>
      <c r="AN31" s="859"/>
      <c r="AO31" s="860"/>
      <c r="AT31" s="738"/>
      <c r="AU31" s="225" t="s">
        <v>135</v>
      </c>
      <c r="AV31" s="225"/>
      <c r="AW31" s="225"/>
      <c r="AX31" s="225"/>
      <c r="AY31" s="225"/>
      <c r="AZ31" s="225"/>
      <c r="BA31" s="249"/>
      <c r="BB31" s="409"/>
      <c r="BC31" s="410"/>
      <c r="BD31" s="410"/>
      <c r="BE31" s="410"/>
      <c r="BF31" s="411"/>
      <c r="BG31" s="410"/>
      <c r="BH31" s="410"/>
      <c r="BI31" s="412"/>
      <c r="BJ31" s="228" t="str">
        <f t="shared" si="16"/>
        <v>-</v>
      </c>
      <c r="BK31" s="228" t="str">
        <f t="shared" si="17"/>
        <v>-</v>
      </c>
      <c r="BL31" s="229" t="str">
        <f t="shared" si="17"/>
        <v>-</v>
      </c>
      <c r="BM31" s="226"/>
      <c r="BN31" s="227"/>
      <c r="BO31" s="227"/>
      <c r="BP31" s="227"/>
      <c r="BQ31" s="227"/>
      <c r="BR31" s="227"/>
      <c r="BS31" s="227"/>
      <c r="BT31" s="227"/>
      <c r="BU31" s="228" t="str">
        <f t="shared" si="18"/>
        <v>-</v>
      </c>
      <c r="BV31" s="228" t="str">
        <f t="shared" si="19"/>
        <v>-</v>
      </c>
      <c r="BW31" s="229" t="str">
        <f t="shared" si="19"/>
        <v>-</v>
      </c>
    </row>
    <row r="32" spans="2:75" ht="13.7" customHeight="1">
      <c r="B32" s="769" t="s">
        <v>246</v>
      </c>
      <c r="C32" s="770"/>
      <c r="D32" s="770"/>
      <c r="E32" s="770"/>
      <c r="F32" s="770"/>
      <c r="G32" s="770"/>
      <c r="H32" s="771"/>
      <c r="I32" s="194" t="s">
        <v>76</v>
      </c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194" t="s">
        <v>77</v>
      </c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194" t="s">
        <v>91</v>
      </c>
      <c r="AF32" s="274"/>
      <c r="AG32" s="274"/>
      <c r="AH32" s="274"/>
      <c r="AI32" s="274"/>
      <c r="AJ32" s="274"/>
      <c r="AK32" s="274"/>
      <c r="AL32" s="274"/>
      <c r="AM32" s="274"/>
      <c r="AN32" s="274"/>
      <c r="AO32" s="275"/>
      <c r="AT32" s="738"/>
      <c r="AU32" s="225" t="s">
        <v>251</v>
      </c>
      <c r="AV32" s="225"/>
      <c r="AW32" s="225"/>
      <c r="AX32" s="225"/>
      <c r="AY32" s="225"/>
      <c r="AZ32" s="225"/>
      <c r="BA32" s="249"/>
      <c r="BB32" s="409"/>
      <c r="BC32" s="410"/>
      <c r="BD32" s="410"/>
      <c r="BE32" s="410"/>
      <c r="BF32" s="411"/>
      <c r="BG32" s="410"/>
      <c r="BH32" s="410"/>
      <c r="BI32" s="412"/>
      <c r="BJ32" s="228" t="str">
        <f t="shared" si="16"/>
        <v>-</v>
      </c>
      <c r="BK32" s="228" t="str">
        <f t="shared" si="17"/>
        <v>-</v>
      </c>
      <c r="BL32" s="229" t="str">
        <f t="shared" si="17"/>
        <v>-</v>
      </c>
      <c r="BM32" s="226"/>
      <c r="BN32" s="227"/>
      <c r="BO32" s="227"/>
      <c r="BP32" s="227"/>
      <c r="BQ32" s="227"/>
      <c r="BR32" s="227"/>
      <c r="BS32" s="227"/>
      <c r="BT32" s="227"/>
      <c r="BU32" s="228" t="str">
        <f t="shared" si="18"/>
        <v>-</v>
      </c>
      <c r="BV32" s="228" t="str">
        <f t="shared" si="19"/>
        <v>-</v>
      </c>
      <c r="BW32" s="229" t="str">
        <f t="shared" si="19"/>
        <v>-</v>
      </c>
    </row>
    <row r="33" spans="2:75" ht="13.7" customHeight="1" thickBot="1">
      <c r="B33" s="772"/>
      <c r="C33" s="519"/>
      <c r="D33" s="519"/>
      <c r="E33" s="519"/>
      <c r="F33" s="519"/>
      <c r="G33" s="519"/>
      <c r="H33" s="520"/>
      <c r="I33" s="198" t="str">
        <f>IF($B$1&lt;&gt;"",$B$1,"")</f>
        <v/>
      </c>
      <c r="J33" s="199"/>
      <c r="K33" s="199"/>
      <c r="L33" s="199"/>
      <c r="M33" s="200" t="str">
        <f>IF($B$1&lt;&gt;"",$B$1-1,"")</f>
        <v/>
      </c>
      <c r="N33" s="199"/>
      <c r="O33" s="199"/>
      <c r="P33" s="201"/>
      <c r="Q33" s="202" t="s">
        <v>165</v>
      </c>
      <c r="R33" s="203"/>
      <c r="S33" s="204"/>
      <c r="T33" s="198" t="str">
        <f>IF($B$1&lt;&gt;"",$B$1,"")</f>
        <v/>
      </c>
      <c r="U33" s="199"/>
      <c r="V33" s="199"/>
      <c r="W33" s="199"/>
      <c r="X33" s="200" t="str">
        <f>IF($B$1&lt;&gt;"",$B$1-1,"")</f>
        <v/>
      </c>
      <c r="Y33" s="199"/>
      <c r="Z33" s="199"/>
      <c r="AA33" s="201"/>
      <c r="AB33" s="202" t="s">
        <v>165</v>
      </c>
      <c r="AC33" s="203"/>
      <c r="AD33" s="204"/>
      <c r="AE33" s="198" t="str">
        <f>IF($B$1&lt;&gt;"",$B$1,"")</f>
        <v/>
      </c>
      <c r="AF33" s="199"/>
      <c r="AG33" s="199"/>
      <c r="AH33" s="199"/>
      <c r="AI33" s="200" t="str">
        <f>IF($B$1&lt;&gt;"",$B$1-1,"")</f>
        <v/>
      </c>
      <c r="AJ33" s="199"/>
      <c r="AK33" s="199"/>
      <c r="AL33" s="201"/>
      <c r="AM33" s="202" t="s">
        <v>165</v>
      </c>
      <c r="AN33" s="203"/>
      <c r="AO33" s="204"/>
      <c r="AT33" s="738"/>
      <c r="AU33" s="225" t="s">
        <v>136</v>
      </c>
      <c r="AV33" s="225"/>
      <c r="AW33" s="225"/>
      <c r="AX33" s="225"/>
      <c r="AY33" s="225"/>
      <c r="AZ33" s="225"/>
      <c r="BA33" s="249"/>
      <c r="BB33" s="409"/>
      <c r="BC33" s="410"/>
      <c r="BD33" s="410"/>
      <c r="BE33" s="410"/>
      <c r="BF33" s="411"/>
      <c r="BG33" s="410"/>
      <c r="BH33" s="410"/>
      <c r="BI33" s="412"/>
      <c r="BJ33" s="228" t="str">
        <f t="shared" si="16"/>
        <v>-</v>
      </c>
      <c r="BK33" s="228" t="str">
        <f t="shared" si="17"/>
        <v>-</v>
      </c>
      <c r="BL33" s="229" t="str">
        <f t="shared" si="17"/>
        <v>-</v>
      </c>
      <c r="BM33" s="226"/>
      <c r="BN33" s="227"/>
      <c r="BO33" s="227"/>
      <c r="BP33" s="227"/>
      <c r="BQ33" s="227"/>
      <c r="BR33" s="227"/>
      <c r="BS33" s="227"/>
      <c r="BT33" s="227"/>
      <c r="BU33" s="228" t="str">
        <f t="shared" si="18"/>
        <v>-</v>
      </c>
      <c r="BV33" s="228" t="str">
        <f t="shared" si="19"/>
        <v>-</v>
      </c>
      <c r="BW33" s="229" t="str">
        <f t="shared" si="19"/>
        <v>-</v>
      </c>
    </row>
    <row r="34" spans="2:75" ht="13.7" customHeight="1">
      <c r="B34" s="734" t="s">
        <v>71</v>
      </c>
      <c r="C34" s="731" t="s">
        <v>89</v>
      </c>
      <c r="D34" s="864" t="s">
        <v>246</v>
      </c>
      <c r="E34" s="585" t="s">
        <v>123</v>
      </c>
      <c r="F34" s="338"/>
      <c r="G34" s="338"/>
      <c r="H34" s="339"/>
      <c r="I34" s="226"/>
      <c r="J34" s="227"/>
      <c r="K34" s="227"/>
      <c r="L34" s="227"/>
      <c r="M34" s="227"/>
      <c r="N34" s="227"/>
      <c r="O34" s="227"/>
      <c r="P34" s="227"/>
      <c r="Q34" s="228" t="str">
        <f t="shared" ref="Q34:Q46" si="23">IF(I34="-", "-", IF(M34="-", "-", IF(ABS(M34)=0, "-", ROUND(100*(I34-M34)/ABS(M34), 1))))</f>
        <v>-</v>
      </c>
      <c r="R34" s="228" t="str">
        <f t="shared" ref="R34:S46" si="24">IF(N34="-", "-", IF(P34="-", "-", IF(ABS(P34)=0, "-", ROUND(100*(N34-P34)/ABS(P34), 1))))</f>
        <v>-</v>
      </c>
      <c r="S34" s="229" t="str">
        <f t="shared" si="24"/>
        <v>-</v>
      </c>
      <c r="T34" s="226"/>
      <c r="U34" s="227"/>
      <c r="V34" s="227"/>
      <c r="W34" s="227"/>
      <c r="X34" s="227"/>
      <c r="Y34" s="227"/>
      <c r="Z34" s="227"/>
      <c r="AA34" s="227"/>
      <c r="AB34" s="228" t="str">
        <f t="shared" ref="AB34:AB46" si="25">IF(T34="-", "-", IF(X34="-", "-", IF(ABS(X34)=0, "-", ROUND(100*(T34-X34)/ABS(X34), 1))))</f>
        <v>-</v>
      </c>
      <c r="AC34" s="228" t="str">
        <f t="shared" ref="AC34:AD46" si="26">IF(Y34="-", "-", IF(AA34="-", "-", IF(ABS(AA34)=0, "-", ROUND(100*(Y34-AA34)/ABS(AA34), 1))))</f>
        <v>-</v>
      </c>
      <c r="AD34" s="229" t="str">
        <f t="shared" si="26"/>
        <v>-</v>
      </c>
      <c r="AE34" s="630"/>
      <c r="AF34" s="631"/>
      <c r="AG34" s="631"/>
      <c r="AH34" s="631"/>
      <c r="AI34" s="631"/>
      <c r="AJ34" s="631"/>
      <c r="AK34" s="631"/>
      <c r="AL34" s="631"/>
      <c r="AM34" s="228" t="str">
        <f t="shared" ref="AM34:AM46" si="27">IF(AE34="-", "-", IF(AI34="-", "-", IF(ABS(AI34)=0, "-", ROUND(100*(AE34-AI34)/ABS(AI34), 1))))</f>
        <v>-</v>
      </c>
      <c r="AN34" s="228" t="str">
        <f t="shared" ref="AN34:AO46" si="28">IF(AJ34="-", "-", IF(AL34="-", "-", IF(ABS(AL34)=0, "-", ROUND(100*(AJ34-AL34)/ABS(AL34), 1))))</f>
        <v>-</v>
      </c>
      <c r="AO34" s="229" t="str">
        <f t="shared" si="28"/>
        <v>-</v>
      </c>
      <c r="AT34" s="738"/>
      <c r="AU34" s="225" t="s">
        <v>137</v>
      </c>
      <c r="AV34" s="225"/>
      <c r="AW34" s="225"/>
      <c r="AX34" s="225"/>
      <c r="AY34" s="225"/>
      <c r="AZ34" s="225"/>
      <c r="BA34" s="249"/>
      <c r="BB34" s="409"/>
      <c r="BC34" s="410"/>
      <c r="BD34" s="410"/>
      <c r="BE34" s="410"/>
      <c r="BF34" s="411"/>
      <c r="BG34" s="410"/>
      <c r="BH34" s="410"/>
      <c r="BI34" s="412"/>
      <c r="BJ34" s="228" t="str">
        <f t="shared" si="16"/>
        <v>-</v>
      </c>
      <c r="BK34" s="228" t="str">
        <f t="shared" si="17"/>
        <v>-</v>
      </c>
      <c r="BL34" s="229" t="str">
        <f t="shared" si="17"/>
        <v>-</v>
      </c>
      <c r="BM34" s="226"/>
      <c r="BN34" s="227"/>
      <c r="BO34" s="227"/>
      <c r="BP34" s="227"/>
      <c r="BQ34" s="227"/>
      <c r="BR34" s="227"/>
      <c r="BS34" s="227"/>
      <c r="BT34" s="227"/>
      <c r="BU34" s="228" t="str">
        <f t="shared" si="18"/>
        <v>-</v>
      </c>
      <c r="BV34" s="228" t="str">
        <f t="shared" si="19"/>
        <v>-</v>
      </c>
      <c r="BW34" s="229" t="str">
        <f t="shared" si="19"/>
        <v>-</v>
      </c>
    </row>
    <row r="35" spans="2:75" ht="13.7" customHeight="1">
      <c r="B35" s="735"/>
      <c r="C35" s="732"/>
      <c r="D35" s="865"/>
      <c r="E35" s="693" t="s">
        <v>124</v>
      </c>
      <c r="F35" s="343"/>
      <c r="G35" s="343"/>
      <c r="H35" s="344"/>
      <c r="I35" s="226"/>
      <c r="J35" s="227"/>
      <c r="K35" s="227"/>
      <c r="L35" s="227"/>
      <c r="M35" s="227"/>
      <c r="N35" s="227"/>
      <c r="O35" s="227"/>
      <c r="P35" s="227"/>
      <c r="Q35" s="228" t="str">
        <f t="shared" si="23"/>
        <v>-</v>
      </c>
      <c r="R35" s="228" t="str">
        <f t="shared" si="24"/>
        <v>-</v>
      </c>
      <c r="S35" s="229" t="str">
        <f t="shared" si="24"/>
        <v>-</v>
      </c>
      <c r="T35" s="226"/>
      <c r="U35" s="227"/>
      <c r="V35" s="227"/>
      <c r="W35" s="227"/>
      <c r="X35" s="227"/>
      <c r="Y35" s="227"/>
      <c r="Z35" s="227"/>
      <c r="AA35" s="227"/>
      <c r="AB35" s="228" t="str">
        <f t="shared" si="25"/>
        <v>-</v>
      </c>
      <c r="AC35" s="228" t="str">
        <f t="shared" si="26"/>
        <v>-</v>
      </c>
      <c r="AD35" s="229" t="str">
        <f t="shared" si="26"/>
        <v>-</v>
      </c>
      <c r="AE35" s="630"/>
      <c r="AF35" s="631"/>
      <c r="AG35" s="631"/>
      <c r="AH35" s="631"/>
      <c r="AI35" s="631"/>
      <c r="AJ35" s="631"/>
      <c r="AK35" s="631"/>
      <c r="AL35" s="631"/>
      <c r="AM35" s="228" t="str">
        <f t="shared" si="27"/>
        <v>-</v>
      </c>
      <c r="AN35" s="228" t="str">
        <f t="shared" si="28"/>
        <v>-</v>
      </c>
      <c r="AO35" s="229" t="str">
        <f t="shared" si="28"/>
        <v>-</v>
      </c>
      <c r="AT35" s="738"/>
      <c r="AU35" s="225" t="s">
        <v>143</v>
      </c>
      <c r="AV35" s="225"/>
      <c r="AW35" s="225"/>
      <c r="AX35" s="225"/>
      <c r="AY35" s="225"/>
      <c r="AZ35" s="225"/>
      <c r="BA35" s="249"/>
      <c r="BB35" s="409"/>
      <c r="BC35" s="410"/>
      <c r="BD35" s="410"/>
      <c r="BE35" s="410"/>
      <c r="BF35" s="411"/>
      <c r="BG35" s="410"/>
      <c r="BH35" s="410"/>
      <c r="BI35" s="412"/>
      <c r="BJ35" s="228" t="str">
        <f t="shared" si="16"/>
        <v>-</v>
      </c>
      <c r="BK35" s="228" t="str">
        <f t="shared" si="17"/>
        <v>-</v>
      </c>
      <c r="BL35" s="229" t="str">
        <f t="shared" si="17"/>
        <v>-</v>
      </c>
      <c r="BM35" s="226"/>
      <c r="BN35" s="227"/>
      <c r="BO35" s="227"/>
      <c r="BP35" s="227"/>
      <c r="BQ35" s="227"/>
      <c r="BR35" s="227"/>
      <c r="BS35" s="227"/>
      <c r="BT35" s="227"/>
      <c r="BU35" s="228" t="str">
        <f t="shared" si="18"/>
        <v>-</v>
      </c>
      <c r="BV35" s="228" t="str">
        <f t="shared" si="19"/>
        <v>-</v>
      </c>
      <c r="BW35" s="229" t="str">
        <f t="shared" si="19"/>
        <v>-</v>
      </c>
    </row>
    <row r="36" spans="2:75" ht="13.7" customHeight="1">
      <c r="B36" s="735"/>
      <c r="C36" s="732"/>
      <c r="D36" s="866"/>
      <c r="E36" s="693" t="s">
        <v>250</v>
      </c>
      <c r="F36" s="867"/>
      <c r="G36" s="867"/>
      <c r="H36" s="868"/>
      <c r="I36" s="226"/>
      <c r="J36" s="227"/>
      <c r="K36" s="227"/>
      <c r="L36" s="227"/>
      <c r="M36" s="227"/>
      <c r="N36" s="227"/>
      <c r="O36" s="227"/>
      <c r="P36" s="227"/>
      <c r="Q36" s="228" t="str">
        <f t="shared" si="23"/>
        <v>-</v>
      </c>
      <c r="R36" s="228" t="str">
        <f t="shared" si="24"/>
        <v>-</v>
      </c>
      <c r="S36" s="229" t="str">
        <f t="shared" si="24"/>
        <v>-</v>
      </c>
      <c r="T36" s="226"/>
      <c r="U36" s="227"/>
      <c r="V36" s="227"/>
      <c r="W36" s="227"/>
      <c r="X36" s="227"/>
      <c r="Y36" s="227"/>
      <c r="Z36" s="227"/>
      <c r="AA36" s="227"/>
      <c r="AB36" s="228" t="str">
        <f t="shared" si="25"/>
        <v>-</v>
      </c>
      <c r="AC36" s="228" t="str">
        <f t="shared" si="26"/>
        <v>-</v>
      </c>
      <c r="AD36" s="229" t="str">
        <f t="shared" si="26"/>
        <v>-</v>
      </c>
      <c r="AE36" s="630"/>
      <c r="AF36" s="631"/>
      <c r="AG36" s="631"/>
      <c r="AH36" s="631"/>
      <c r="AI36" s="631"/>
      <c r="AJ36" s="631"/>
      <c r="AK36" s="631"/>
      <c r="AL36" s="631"/>
      <c r="AM36" s="228" t="str">
        <f t="shared" si="27"/>
        <v>-</v>
      </c>
      <c r="AN36" s="228" t="str">
        <f t="shared" si="28"/>
        <v>-</v>
      </c>
      <c r="AO36" s="229" t="str">
        <f t="shared" si="28"/>
        <v>-</v>
      </c>
      <c r="AT36" s="738"/>
      <c r="AU36" s="225" t="s">
        <v>100</v>
      </c>
      <c r="AV36" s="225"/>
      <c r="AW36" s="225"/>
      <c r="AX36" s="225"/>
      <c r="AY36" s="225"/>
      <c r="AZ36" s="225"/>
      <c r="BA36" s="249"/>
      <c r="BB36" s="409"/>
      <c r="BC36" s="410"/>
      <c r="BD36" s="410"/>
      <c r="BE36" s="410"/>
      <c r="BF36" s="411"/>
      <c r="BG36" s="410"/>
      <c r="BH36" s="410"/>
      <c r="BI36" s="412"/>
      <c r="BJ36" s="228" t="str">
        <f t="shared" si="16"/>
        <v>-</v>
      </c>
      <c r="BK36" s="228" t="str">
        <f t="shared" si="17"/>
        <v>-</v>
      </c>
      <c r="BL36" s="229" t="str">
        <f t="shared" si="17"/>
        <v>-</v>
      </c>
      <c r="BM36" s="226"/>
      <c r="BN36" s="227"/>
      <c r="BO36" s="227"/>
      <c r="BP36" s="227"/>
      <c r="BQ36" s="227"/>
      <c r="BR36" s="227"/>
      <c r="BS36" s="227"/>
      <c r="BT36" s="227"/>
      <c r="BU36" s="228" t="str">
        <f t="shared" si="18"/>
        <v>-</v>
      </c>
      <c r="BV36" s="228" t="str">
        <f t="shared" si="19"/>
        <v>-</v>
      </c>
      <c r="BW36" s="229" t="str">
        <f t="shared" si="19"/>
        <v>-</v>
      </c>
    </row>
    <row r="37" spans="2:75" ht="13.7" customHeight="1">
      <c r="B37" s="735"/>
      <c r="C37" s="732"/>
      <c r="D37" s="873" t="s">
        <v>78</v>
      </c>
      <c r="E37" s="874"/>
      <c r="F37" s="874"/>
      <c r="G37" s="874"/>
      <c r="H37" s="875"/>
      <c r="I37" s="226"/>
      <c r="J37" s="227"/>
      <c r="K37" s="227"/>
      <c r="L37" s="227"/>
      <c r="M37" s="227"/>
      <c r="N37" s="227"/>
      <c r="O37" s="227"/>
      <c r="P37" s="227"/>
      <c r="Q37" s="228" t="str">
        <f t="shared" si="23"/>
        <v>-</v>
      </c>
      <c r="R37" s="228" t="str">
        <f t="shared" si="24"/>
        <v>-</v>
      </c>
      <c r="S37" s="229" t="str">
        <f t="shared" si="24"/>
        <v>-</v>
      </c>
      <c r="T37" s="226"/>
      <c r="U37" s="227"/>
      <c r="V37" s="227"/>
      <c r="W37" s="227"/>
      <c r="X37" s="227"/>
      <c r="Y37" s="227"/>
      <c r="Z37" s="227"/>
      <c r="AA37" s="227"/>
      <c r="AB37" s="228" t="str">
        <f t="shared" si="25"/>
        <v>-</v>
      </c>
      <c r="AC37" s="228" t="str">
        <f t="shared" si="26"/>
        <v>-</v>
      </c>
      <c r="AD37" s="229" t="str">
        <f t="shared" si="26"/>
        <v>-</v>
      </c>
      <c r="AE37" s="630"/>
      <c r="AF37" s="631"/>
      <c r="AG37" s="631"/>
      <c r="AH37" s="631"/>
      <c r="AI37" s="631"/>
      <c r="AJ37" s="631"/>
      <c r="AK37" s="631"/>
      <c r="AL37" s="631"/>
      <c r="AM37" s="228" t="str">
        <f t="shared" si="27"/>
        <v>-</v>
      </c>
      <c r="AN37" s="228" t="str">
        <f t="shared" si="28"/>
        <v>-</v>
      </c>
      <c r="AO37" s="229" t="str">
        <f t="shared" si="28"/>
        <v>-</v>
      </c>
      <c r="AT37" s="738"/>
      <c r="AU37" s="869" t="s">
        <v>415</v>
      </c>
      <c r="AV37" s="869"/>
      <c r="AW37" s="870"/>
      <c r="AX37" s="225" t="s">
        <v>101</v>
      </c>
      <c r="AY37" s="225"/>
      <c r="AZ37" s="225"/>
      <c r="BA37" s="249"/>
      <c r="BB37" s="409"/>
      <c r="BC37" s="410"/>
      <c r="BD37" s="410"/>
      <c r="BE37" s="410"/>
      <c r="BF37" s="411"/>
      <c r="BG37" s="410"/>
      <c r="BH37" s="410"/>
      <c r="BI37" s="412"/>
      <c r="BJ37" s="228" t="str">
        <f t="shared" si="16"/>
        <v>-</v>
      </c>
      <c r="BK37" s="228" t="str">
        <f t="shared" si="17"/>
        <v>-</v>
      </c>
      <c r="BL37" s="229" t="str">
        <f t="shared" si="17"/>
        <v>-</v>
      </c>
      <c r="BM37" s="226"/>
      <c r="BN37" s="227"/>
      <c r="BO37" s="227"/>
      <c r="BP37" s="227"/>
      <c r="BQ37" s="227"/>
      <c r="BR37" s="227"/>
      <c r="BS37" s="227"/>
      <c r="BT37" s="227"/>
      <c r="BU37" s="228" t="str">
        <f t="shared" si="18"/>
        <v>-</v>
      </c>
      <c r="BV37" s="228" t="str">
        <f t="shared" si="19"/>
        <v>-</v>
      </c>
      <c r="BW37" s="229" t="str">
        <f t="shared" si="19"/>
        <v>-</v>
      </c>
    </row>
    <row r="38" spans="2:75" ht="13.7" customHeight="1">
      <c r="B38" s="735"/>
      <c r="C38" s="733"/>
      <c r="D38" s="347" t="s">
        <v>46</v>
      </c>
      <c r="E38" s="347"/>
      <c r="F38" s="347"/>
      <c r="G38" s="347"/>
      <c r="H38" s="348"/>
      <c r="I38" s="746"/>
      <c r="J38" s="747"/>
      <c r="K38" s="747"/>
      <c r="L38" s="747"/>
      <c r="M38" s="747"/>
      <c r="N38" s="747"/>
      <c r="O38" s="747"/>
      <c r="P38" s="747"/>
      <c r="Q38" s="702" t="str">
        <f t="shared" si="23"/>
        <v>-</v>
      </c>
      <c r="R38" s="702" t="str">
        <f t="shared" si="24"/>
        <v>-</v>
      </c>
      <c r="S38" s="703" t="str">
        <f t="shared" si="24"/>
        <v>-</v>
      </c>
      <c r="T38" s="746"/>
      <c r="U38" s="747"/>
      <c r="V38" s="747"/>
      <c r="W38" s="747"/>
      <c r="X38" s="747"/>
      <c r="Y38" s="747"/>
      <c r="Z38" s="747"/>
      <c r="AA38" s="747"/>
      <c r="AB38" s="702" t="str">
        <f t="shared" si="25"/>
        <v>-</v>
      </c>
      <c r="AC38" s="702" t="str">
        <f t="shared" si="26"/>
        <v>-</v>
      </c>
      <c r="AD38" s="703" t="str">
        <f t="shared" si="26"/>
        <v>-</v>
      </c>
      <c r="AE38" s="640"/>
      <c r="AF38" s="641"/>
      <c r="AG38" s="641"/>
      <c r="AH38" s="641"/>
      <c r="AI38" s="641"/>
      <c r="AJ38" s="641"/>
      <c r="AK38" s="641"/>
      <c r="AL38" s="641"/>
      <c r="AM38" s="551" t="str">
        <f t="shared" si="27"/>
        <v>-</v>
      </c>
      <c r="AN38" s="551" t="str">
        <f t="shared" si="28"/>
        <v>-</v>
      </c>
      <c r="AO38" s="552" t="str">
        <f t="shared" si="28"/>
        <v>-</v>
      </c>
      <c r="AT38" s="738"/>
      <c r="AU38" s="871"/>
      <c r="AV38" s="871"/>
      <c r="AW38" s="872"/>
      <c r="AX38" s="225" t="s">
        <v>102</v>
      </c>
      <c r="AY38" s="225"/>
      <c r="AZ38" s="225"/>
      <c r="BA38" s="249"/>
      <c r="BB38" s="409"/>
      <c r="BC38" s="410"/>
      <c r="BD38" s="410"/>
      <c r="BE38" s="410"/>
      <c r="BF38" s="411"/>
      <c r="BG38" s="410"/>
      <c r="BH38" s="410"/>
      <c r="BI38" s="412"/>
      <c r="BJ38" s="228" t="str">
        <f t="shared" si="16"/>
        <v>-</v>
      </c>
      <c r="BK38" s="228" t="str">
        <f t="shared" si="17"/>
        <v>-</v>
      </c>
      <c r="BL38" s="229" t="str">
        <f t="shared" si="17"/>
        <v>-</v>
      </c>
      <c r="BM38" s="226"/>
      <c r="BN38" s="227"/>
      <c r="BO38" s="227"/>
      <c r="BP38" s="227"/>
      <c r="BQ38" s="227"/>
      <c r="BR38" s="227"/>
      <c r="BS38" s="227"/>
      <c r="BT38" s="227"/>
      <c r="BU38" s="228" t="str">
        <f t="shared" si="18"/>
        <v>-</v>
      </c>
      <c r="BV38" s="228" t="str">
        <f t="shared" si="19"/>
        <v>-</v>
      </c>
      <c r="BW38" s="229" t="str">
        <f t="shared" si="19"/>
        <v>-</v>
      </c>
    </row>
    <row r="39" spans="2:75" ht="13.7" customHeight="1">
      <c r="B39" s="735"/>
      <c r="C39" s="765" t="s">
        <v>175</v>
      </c>
      <c r="D39" s="347" t="s">
        <v>126</v>
      </c>
      <c r="E39" s="347"/>
      <c r="F39" s="347"/>
      <c r="G39" s="347"/>
      <c r="H39" s="348"/>
      <c r="I39" s="226"/>
      <c r="J39" s="227"/>
      <c r="K39" s="227"/>
      <c r="L39" s="227"/>
      <c r="M39" s="227"/>
      <c r="N39" s="227"/>
      <c r="O39" s="227"/>
      <c r="P39" s="227"/>
      <c r="Q39" s="228" t="str">
        <f t="shared" si="23"/>
        <v>-</v>
      </c>
      <c r="R39" s="228" t="str">
        <f t="shared" si="24"/>
        <v>-</v>
      </c>
      <c r="S39" s="229" t="str">
        <f t="shared" si="24"/>
        <v>-</v>
      </c>
      <c r="T39" s="226"/>
      <c r="U39" s="227"/>
      <c r="V39" s="227"/>
      <c r="W39" s="227"/>
      <c r="X39" s="227"/>
      <c r="Y39" s="227"/>
      <c r="Z39" s="227"/>
      <c r="AA39" s="227"/>
      <c r="AB39" s="228" t="str">
        <f t="shared" si="25"/>
        <v>-</v>
      </c>
      <c r="AC39" s="228" t="str">
        <f t="shared" si="26"/>
        <v>-</v>
      </c>
      <c r="AD39" s="229" t="str">
        <f t="shared" si="26"/>
        <v>-</v>
      </c>
      <c r="AE39" s="630"/>
      <c r="AF39" s="631"/>
      <c r="AG39" s="631"/>
      <c r="AH39" s="631"/>
      <c r="AI39" s="631"/>
      <c r="AJ39" s="631"/>
      <c r="AK39" s="631"/>
      <c r="AL39" s="631"/>
      <c r="AM39" s="228" t="str">
        <f t="shared" si="27"/>
        <v>-</v>
      </c>
      <c r="AN39" s="228" t="str">
        <f t="shared" si="28"/>
        <v>-</v>
      </c>
      <c r="AO39" s="229" t="str">
        <f t="shared" si="28"/>
        <v>-</v>
      </c>
      <c r="AT39" s="738"/>
      <c r="AU39" s="537" t="s">
        <v>103</v>
      </c>
      <c r="AV39" s="538"/>
      <c r="AW39" s="538"/>
      <c r="AX39" s="538"/>
      <c r="AY39" s="538"/>
      <c r="AZ39" s="538"/>
      <c r="BA39" s="539"/>
      <c r="BB39" s="409"/>
      <c r="BC39" s="410"/>
      <c r="BD39" s="410"/>
      <c r="BE39" s="410"/>
      <c r="BF39" s="411"/>
      <c r="BG39" s="410"/>
      <c r="BH39" s="410"/>
      <c r="BI39" s="412"/>
      <c r="BJ39" s="228" t="str">
        <f t="shared" si="16"/>
        <v>-</v>
      </c>
      <c r="BK39" s="228" t="str">
        <f t="shared" si="17"/>
        <v>-</v>
      </c>
      <c r="BL39" s="229" t="str">
        <f t="shared" si="17"/>
        <v>-</v>
      </c>
      <c r="BM39" s="226"/>
      <c r="BN39" s="227"/>
      <c r="BO39" s="227"/>
      <c r="BP39" s="227"/>
      <c r="BQ39" s="227"/>
      <c r="BR39" s="227"/>
      <c r="BS39" s="227"/>
      <c r="BT39" s="227"/>
      <c r="BU39" s="228" t="str">
        <f t="shared" si="18"/>
        <v>-</v>
      </c>
      <c r="BV39" s="228" t="str">
        <f t="shared" si="19"/>
        <v>-</v>
      </c>
      <c r="BW39" s="229" t="str">
        <f t="shared" si="19"/>
        <v>-</v>
      </c>
    </row>
    <row r="40" spans="2:75" ht="13.7" customHeight="1">
      <c r="B40" s="735"/>
      <c r="C40" s="766"/>
      <c r="D40" s="347" t="s">
        <v>132</v>
      </c>
      <c r="E40" s="347"/>
      <c r="F40" s="347"/>
      <c r="G40" s="347"/>
      <c r="H40" s="348"/>
      <c r="I40" s="226"/>
      <c r="J40" s="227"/>
      <c r="K40" s="227"/>
      <c r="L40" s="227"/>
      <c r="M40" s="227"/>
      <c r="N40" s="227"/>
      <c r="O40" s="227"/>
      <c r="P40" s="227"/>
      <c r="Q40" s="228" t="str">
        <f t="shared" si="23"/>
        <v>-</v>
      </c>
      <c r="R40" s="228" t="str">
        <f t="shared" si="24"/>
        <v>-</v>
      </c>
      <c r="S40" s="229" t="str">
        <f t="shared" si="24"/>
        <v>-</v>
      </c>
      <c r="T40" s="226"/>
      <c r="U40" s="227"/>
      <c r="V40" s="227"/>
      <c r="W40" s="227"/>
      <c r="X40" s="227"/>
      <c r="Y40" s="227"/>
      <c r="Z40" s="227"/>
      <c r="AA40" s="227"/>
      <c r="AB40" s="228" t="str">
        <f t="shared" si="25"/>
        <v>-</v>
      </c>
      <c r="AC40" s="228" t="str">
        <f t="shared" si="26"/>
        <v>-</v>
      </c>
      <c r="AD40" s="229" t="str">
        <f t="shared" si="26"/>
        <v>-</v>
      </c>
      <c r="AE40" s="630"/>
      <c r="AF40" s="631"/>
      <c r="AG40" s="631"/>
      <c r="AH40" s="631"/>
      <c r="AI40" s="631"/>
      <c r="AJ40" s="631"/>
      <c r="AK40" s="631"/>
      <c r="AL40" s="631"/>
      <c r="AM40" s="228" t="str">
        <f t="shared" si="27"/>
        <v>-</v>
      </c>
      <c r="AN40" s="228" t="str">
        <f t="shared" si="28"/>
        <v>-</v>
      </c>
      <c r="AO40" s="229" t="str">
        <f t="shared" si="28"/>
        <v>-</v>
      </c>
      <c r="AT40" s="738"/>
      <c r="AU40" s="873" t="s">
        <v>138</v>
      </c>
      <c r="AV40" s="874"/>
      <c r="AW40" s="874"/>
      <c r="AX40" s="874"/>
      <c r="AY40" s="874"/>
      <c r="AZ40" s="874"/>
      <c r="BA40" s="875"/>
      <c r="BB40" s="409"/>
      <c r="BC40" s="410"/>
      <c r="BD40" s="410"/>
      <c r="BE40" s="410"/>
      <c r="BF40" s="411"/>
      <c r="BG40" s="410"/>
      <c r="BH40" s="410"/>
      <c r="BI40" s="412"/>
      <c r="BJ40" s="228" t="str">
        <f t="shared" si="16"/>
        <v>-</v>
      </c>
      <c r="BK40" s="228" t="str">
        <f t="shared" si="17"/>
        <v>-</v>
      </c>
      <c r="BL40" s="229" t="str">
        <f t="shared" si="17"/>
        <v>-</v>
      </c>
      <c r="BM40" s="226"/>
      <c r="BN40" s="227"/>
      <c r="BO40" s="227"/>
      <c r="BP40" s="227"/>
      <c r="BQ40" s="227"/>
      <c r="BR40" s="227"/>
      <c r="BS40" s="227"/>
      <c r="BT40" s="227"/>
      <c r="BU40" s="228" t="str">
        <f t="shared" si="18"/>
        <v>-</v>
      </c>
      <c r="BV40" s="228" t="str">
        <f t="shared" si="19"/>
        <v>-</v>
      </c>
      <c r="BW40" s="229" t="str">
        <f t="shared" si="19"/>
        <v>-</v>
      </c>
    </row>
    <row r="41" spans="2:75" ht="13.7" customHeight="1">
      <c r="B41" s="735"/>
      <c r="C41" s="766"/>
      <c r="D41" s="347" t="s">
        <v>78</v>
      </c>
      <c r="E41" s="347"/>
      <c r="F41" s="347"/>
      <c r="G41" s="347"/>
      <c r="H41" s="348"/>
      <c r="I41" s="226"/>
      <c r="J41" s="227"/>
      <c r="K41" s="227"/>
      <c r="L41" s="227"/>
      <c r="M41" s="227"/>
      <c r="N41" s="227"/>
      <c r="O41" s="227"/>
      <c r="P41" s="227"/>
      <c r="Q41" s="228" t="str">
        <f t="shared" si="23"/>
        <v>-</v>
      </c>
      <c r="R41" s="228" t="str">
        <f t="shared" si="24"/>
        <v>-</v>
      </c>
      <c r="S41" s="229" t="str">
        <f t="shared" si="24"/>
        <v>-</v>
      </c>
      <c r="T41" s="226"/>
      <c r="U41" s="227"/>
      <c r="V41" s="227"/>
      <c r="W41" s="227"/>
      <c r="X41" s="227"/>
      <c r="Y41" s="227"/>
      <c r="Z41" s="227"/>
      <c r="AA41" s="227"/>
      <c r="AB41" s="228" t="str">
        <f t="shared" si="25"/>
        <v>-</v>
      </c>
      <c r="AC41" s="228" t="str">
        <f t="shared" si="26"/>
        <v>-</v>
      </c>
      <c r="AD41" s="229" t="str">
        <f t="shared" si="26"/>
        <v>-</v>
      </c>
      <c r="AE41" s="630"/>
      <c r="AF41" s="631"/>
      <c r="AG41" s="631"/>
      <c r="AH41" s="631"/>
      <c r="AI41" s="631"/>
      <c r="AJ41" s="631"/>
      <c r="AK41" s="631"/>
      <c r="AL41" s="631"/>
      <c r="AM41" s="228" t="str">
        <f t="shared" si="27"/>
        <v>-</v>
      </c>
      <c r="AN41" s="228" t="str">
        <f t="shared" si="28"/>
        <v>-</v>
      </c>
      <c r="AO41" s="229" t="str">
        <f t="shared" si="28"/>
        <v>-</v>
      </c>
      <c r="AT41" s="738"/>
      <c r="AU41" s="225" t="s">
        <v>104</v>
      </c>
      <c r="AV41" s="225"/>
      <c r="AW41" s="225"/>
      <c r="AX41" s="225"/>
      <c r="AY41" s="225"/>
      <c r="AZ41" s="225"/>
      <c r="BA41" s="249"/>
      <c r="BB41" s="409"/>
      <c r="BC41" s="410"/>
      <c r="BD41" s="410"/>
      <c r="BE41" s="410"/>
      <c r="BF41" s="411"/>
      <c r="BG41" s="410"/>
      <c r="BH41" s="410"/>
      <c r="BI41" s="412"/>
      <c r="BJ41" s="228" t="str">
        <f t="shared" si="16"/>
        <v>-</v>
      </c>
      <c r="BK41" s="228" t="str">
        <f t="shared" si="17"/>
        <v>-</v>
      </c>
      <c r="BL41" s="229" t="str">
        <f t="shared" si="17"/>
        <v>-</v>
      </c>
      <c r="BM41" s="226"/>
      <c r="BN41" s="227"/>
      <c r="BO41" s="227"/>
      <c r="BP41" s="227"/>
      <c r="BQ41" s="227"/>
      <c r="BR41" s="227"/>
      <c r="BS41" s="227"/>
      <c r="BT41" s="227"/>
      <c r="BU41" s="228" t="str">
        <f t="shared" si="18"/>
        <v>-</v>
      </c>
      <c r="BV41" s="228" t="str">
        <f t="shared" si="19"/>
        <v>-</v>
      </c>
      <c r="BW41" s="229" t="str">
        <f t="shared" si="19"/>
        <v>-</v>
      </c>
    </row>
    <row r="42" spans="2:75" ht="13.7" customHeight="1">
      <c r="B42" s="735"/>
      <c r="C42" s="767"/>
      <c r="D42" s="347" t="s">
        <v>46</v>
      </c>
      <c r="E42" s="347"/>
      <c r="F42" s="347"/>
      <c r="G42" s="347"/>
      <c r="H42" s="348"/>
      <c r="I42" s="746"/>
      <c r="J42" s="747"/>
      <c r="K42" s="747"/>
      <c r="L42" s="747"/>
      <c r="M42" s="747"/>
      <c r="N42" s="747"/>
      <c r="O42" s="747"/>
      <c r="P42" s="747"/>
      <c r="Q42" s="702" t="str">
        <f t="shared" si="23"/>
        <v>-</v>
      </c>
      <c r="R42" s="702" t="str">
        <f t="shared" si="24"/>
        <v>-</v>
      </c>
      <c r="S42" s="703" t="str">
        <f t="shared" si="24"/>
        <v>-</v>
      </c>
      <c r="T42" s="746"/>
      <c r="U42" s="747"/>
      <c r="V42" s="747"/>
      <c r="W42" s="747"/>
      <c r="X42" s="747"/>
      <c r="Y42" s="747"/>
      <c r="Z42" s="747"/>
      <c r="AA42" s="747"/>
      <c r="AB42" s="702" t="str">
        <f t="shared" si="25"/>
        <v>-</v>
      </c>
      <c r="AC42" s="702" t="str">
        <f t="shared" si="26"/>
        <v>-</v>
      </c>
      <c r="AD42" s="703" t="str">
        <f t="shared" si="26"/>
        <v>-</v>
      </c>
      <c r="AE42" s="640"/>
      <c r="AF42" s="641"/>
      <c r="AG42" s="641"/>
      <c r="AH42" s="641"/>
      <c r="AI42" s="641"/>
      <c r="AJ42" s="641"/>
      <c r="AK42" s="641"/>
      <c r="AL42" s="641"/>
      <c r="AM42" s="551" t="str">
        <f t="shared" si="27"/>
        <v>-</v>
      </c>
      <c r="AN42" s="551" t="str">
        <f t="shared" si="28"/>
        <v>-</v>
      </c>
      <c r="AO42" s="552" t="str">
        <f t="shared" si="28"/>
        <v>-</v>
      </c>
      <c r="AT42" s="738"/>
      <c r="AU42" s="225" t="s">
        <v>252</v>
      </c>
      <c r="AV42" s="225"/>
      <c r="AW42" s="225"/>
      <c r="AX42" s="225"/>
      <c r="AY42" s="225"/>
      <c r="AZ42" s="225"/>
      <c r="BA42" s="249"/>
      <c r="BB42" s="409"/>
      <c r="BC42" s="410"/>
      <c r="BD42" s="410"/>
      <c r="BE42" s="410"/>
      <c r="BF42" s="411"/>
      <c r="BG42" s="410"/>
      <c r="BH42" s="410"/>
      <c r="BI42" s="412"/>
      <c r="BJ42" s="228" t="str">
        <f t="shared" si="16"/>
        <v>-</v>
      </c>
      <c r="BK42" s="228" t="str">
        <f t="shared" si="17"/>
        <v>-</v>
      </c>
      <c r="BL42" s="229" t="str">
        <f t="shared" si="17"/>
        <v>-</v>
      </c>
      <c r="BM42" s="226"/>
      <c r="BN42" s="227"/>
      <c r="BO42" s="227"/>
      <c r="BP42" s="227"/>
      <c r="BQ42" s="227"/>
      <c r="BR42" s="227"/>
      <c r="BS42" s="227"/>
      <c r="BT42" s="227"/>
      <c r="BU42" s="228" t="str">
        <f t="shared" si="18"/>
        <v>-</v>
      </c>
      <c r="BV42" s="228" t="str">
        <f t="shared" si="19"/>
        <v>-</v>
      </c>
      <c r="BW42" s="229" t="str">
        <f t="shared" si="19"/>
        <v>-</v>
      </c>
    </row>
    <row r="43" spans="2:75" ht="13.7" customHeight="1">
      <c r="B43" s="736"/>
      <c r="C43" s="693" t="s">
        <v>52</v>
      </c>
      <c r="D43" s="343"/>
      <c r="E43" s="343"/>
      <c r="F43" s="343"/>
      <c r="G43" s="343"/>
      <c r="H43" s="344"/>
      <c r="I43" s="746"/>
      <c r="J43" s="747"/>
      <c r="K43" s="747"/>
      <c r="L43" s="747"/>
      <c r="M43" s="747"/>
      <c r="N43" s="747"/>
      <c r="O43" s="747"/>
      <c r="P43" s="747"/>
      <c r="Q43" s="702" t="str">
        <f t="shared" si="23"/>
        <v>-</v>
      </c>
      <c r="R43" s="702" t="str">
        <f t="shared" si="24"/>
        <v>-</v>
      </c>
      <c r="S43" s="703" t="str">
        <f t="shared" si="24"/>
        <v>-</v>
      </c>
      <c r="T43" s="746"/>
      <c r="U43" s="747"/>
      <c r="V43" s="747"/>
      <c r="W43" s="747"/>
      <c r="X43" s="747"/>
      <c r="Y43" s="747"/>
      <c r="Z43" s="747"/>
      <c r="AA43" s="747"/>
      <c r="AB43" s="702" t="str">
        <f t="shared" si="25"/>
        <v>-</v>
      </c>
      <c r="AC43" s="702" t="str">
        <f t="shared" si="26"/>
        <v>-</v>
      </c>
      <c r="AD43" s="703" t="str">
        <f t="shared" si="26"/>
        <v>-</v>
      </c>
      <c r="AE43" s="640"/>
      <c r="AF43" s="641"/>
      <c r="AG43" s="641"/>
      <c r="AH43" s="641"/>
      <c r="AI43" s="641"/>
      <c r="AJ43" s="641"/>
      <c r="AK43" s="641"/>
      <c r="AL43" s="641"/>
      <c r="AM43" s="551" t="str">
        <f t="shared" si="27"/>
        <v>-</v>
      </c>
      <c r="AN43" s="551" t="str">
        <f t="shared" si="28"/>
        <v>-</v>
      </c>
      <c r="AO43" s="552" t="str">
        <f t="shared" si="28"/>
        <v>-</v>
      </c>
      <c r="AT43" s="738"/>
      <c r="AU43" s="225" t="s">
        <v>105</v>
      </c>
      <c r="AV43" s="225"/>
      <c r="AW43" s="225"/>
      <c r="AX43" s="225"/>
      <c r="AY43" s="225"/>
      <c r="AZ43" s="225"/>
      <c r="BA43" s="249"/>
      <c r="BB43" s="409"/>
      <c r="BC43" s="410"/>
      <c r="BD43" s="410"/>
      <c r="BE43" s="410"/>
      <c r="BF43" s="411"/>
      <c r="BG43" s="410"/>
      <c r="BH43" s="410"/>
      <c r="BI43" s="412"/>
      <c r="BJ43" s="228" t="str">
        <f t="shared" si="16"/>
        <v>-</v>
      </c>
      <c r="BK43" s="228" t="str">
        <f t="shared" si="17"/>
        <v>-</v>
      </c>
      <c r="BL43" s="229" t="str">
        <f t="shared" si="17"/>
        <v>-</v>
      </c>
      <c r="BM43" s="226"/>
      <c r="BN43" s="227"/>
      <c r="BO43" s="227"/>
      <c r="BP43" s="227"/>
      <c r="BQ43" s="227"/>
      <c r="BR43" s="227"/>
      <c r="BS43" s="227"/>
      <c r="BT43" s="227"/>
      <c r="BU43" s="228" t="str">
        <f t="shared" si="18"/>
        <v>-</v>
      </c>
      <c r="BV43" s="228" t="str">
        <f t="shared" si="19"/>
        <v>-</v>
      </c>
      <c r="BW43" s="229" t="str">
        <f t="shared" si="19"/>
        <v>-</v>
      </c>
    </row>
    <row r="44" spans="2:75" ht="13.7" customHeight="1">
      <c r="B44" s="882" t="s">
        <v>72</v>
      </c>
      <c r="C44" s="295" t="s">
        <v>89</v>
      </c>
      <c r="D44" s="296"/>
      <c r="E44" s="296"/>
      <c r="F44" s="296"/>
      <c r="G44" s="296"/>
      <c r="H44" s="297"/>
      <c r="I44" s="226"/>
      <c r="J44" s="227"/>
      <c r="K44" s="227"/>
      <c r="L44" s="227"/>
      <c r="M44" s="227"/>
      <c r="N44" s="227"/>
      <c r="O44" s="227"/>
      <c r="P44" s="227"/>
      <c r="Q44" s="228" t="str">
        <f t="shared" si="23"/>
        <v>-</v>
      </c>
      <c r="R44" s="228" t="str">
        <f t="shared" si="24"/>
        <v>-</v>
      </c>
      <c r="S44" s="229" t="str">
        <f t="shared" si="24"/>
        <v>-</v>
      </c>
      <c r="T44" s="226"/>
      <c r="U44" s="227"/>
      <c r="V44" s="227"/>
      <c r="W44" s="227"/>
      <c r="X44" s="227"/>
      <c r="Y44" s="227"/>
      <c r="Z44" s="227"/>
      <c r="AA44" s="227"/>
      <c r="AB44" s="228" t="str">
        <f t="shared" si="25"/>
        <v>-</v>
      </c>
      <c r="AC44" s="228" t="str">
        <f t="shared" si="26"/>
        <v>-</v>
      </c>
      <c r="AD44" s="229" t="str">
        <f t="shared" si="26"/>
        <v>-</v>
      </c>
      <c r="AE44" s="630"/>
      <c r="AF44" s="631"/>
      <c r="AG44" s="631"/>
      <c r="AH44" s="631"/>
      <c r="AI44" s="631"/>
      <c r="AJ44" s="631"/>
      <c r="AK44" s="631"/>
      <c r="AL44" s="631"/>
      <c r="AM44" s="228" t="str">
        <f t="shared" si="27"/>
        <v>-</v>
      </c>
      <c r="AN44" s="228" t="str">
        <f t="shared" si="28"/>
        <v>-</v>
      </c>
      <c r="AO44" s="229" t="str">
        <f t="shared" si="28"/>
        <v>-</v>
      </c>
      <c r="AT44" s="738"/>
      <c r="AU44" s="225" t="s">
        <v>167</v>
      </c>
      <c r="AV44" s="225"/>
      <c r="AW44" s="225"/>
      <c r="AX44" s="225"/>
      <c r="AY44" s="225"/>
      <c r="AZ44" s="225"/>
      <c r="BA44" s="249"/>
      <c r="BB44" s="409"/>
      <c r="BC44" s="410"/>
      <c r="BD44" s="410"/>
      <c r="BE44" s="410"/>
      <c r="BF44" s="411"/>
      <c r="BG44" s="410"/>
      <c r="BH44" s="410"/>
      <c r="BI44" s="412"/>
      <c r="BJ44" s="228" t="str">
        <f t="shared" si="16"/>
        <v>-</v>
      </c>
      <c r="BK44" s="228" t="str">
        <f t="shared" si="17"/>
        <v>-</v>
      </c>
      <c r="BL44" s="229" t="str">
        <f t="shared" si="17"/>
        <v>-</v>
      </c>
      <c r="BM44" s="226"/>
      <c r="BN44" s="227"/>
      <c r="BO44" s="227"/>
      <c r="BP44" s="227"/>
      <c r="BQ44" s="227"/>
      <c r="BR44" s="227"/>
      <c r="BS44" s="227"/>
      <c r="BT44" s="227"/>
      <c r="BU44" s="228" t="str">
        <f t="shared" si="18"/>
        <v>-</v>
      </c>
      <c r="BV44" s="228" t="str">
        <f t="shared" si="19"/>
        <v>-</v>
      </c>
      <c r="BW44" s="229" t="str">
        <f t="shared" si="19"/>
        <v>-</v>
      </c>
    </row>
    <row r="45" spans="2:75" ht="13.7" customHeight="1">
      <c r="B45" s="883"/>
      <c r="C45" s="295" t="s">
        <v>175</v>
      </c>
      <c r="D45" s="296"/>
      <c r="E45" s="296"/>
      <c r="F45" s="296"/>
      <c r="G45" s="296"/>
      <c r="H45" s="297"/>
      <c r="I45" s="226"/>
      <c r="J45" s="227"/>
      <c r="K45" s="227"/>
      <c r="L45" s="227"/>
      <c r="M45" s="227"/>
      <c r="N45" s="227"/>
      <c r="O45" s="227"/>
      <c r="P45" s="227"/>
      <c r="Q45" s="228" t="str">
        <f t="shared" si="23"/>
        <v>-</v>
      </c>
      <c r="R45" s="228" t="str">
        <f t="shared" si="24"/>
        <v>-</v>
      </c>
      <c r="S45" s="229" t="str">
        <f t="shared" si="24"/>
        <v>-</v>
      </c>
      <c r="T45" s="226"/>
      <c r="U45" s="227"/>
      <c r="V45" s="227"/>
      <c r="W45" s="227"/>
      <c r="X45" s="227"/>
      <c r="Y45" s="227"/>
      <c r="Z45" s="227"/>
      <c r="AA45" s="227"/>
      <c r="AB45" s="228" t="str">
        <f t="shared" si="25"/>
        <v>-</v>
      </c>
      <c r="AC45" s="228" t="str">
        <f t="shared" si="26"/>
        <v>-</v>
      </c>
      <c r="AD45" s="229" t="str">
        <f t="shared" si="26"/>
        <v>-</v>
      </c>
      <c r="AE45" s="630"/>
      <c r="AF45" s="631"/>
      <c r="AG45" s="631"/>
      <c r="AH45" s="631"/>
      <c r="AI45" s="631"/>
      <c r="AJ45" s="631"/>
      <c r="AK45" s="631"/>
      <c r="AL45" s="631"/>
      <c r="AM45" s="228" t="str">
        <f t="shared" si="27"/>
        <v>-</v>
      </c>
      <c r="AN45" s="228" t="str">
        <f t="shared" si="28"/>
        <v>-</v>
      </c>
      <c r="AO45" s="229" t="str">
        <f t="shared" si="28"/>
        <v>-</v>
      </c>
      <c r="AT45" s="738"/>
      <c r="AU45" s="225" t="s">
        <v>78</v>
      </c>
      <c r="AV45" s="225"/>
      <c r="AW45" s="225"/>
      <c r="AX45" s="225"/>
      <c r="AY45" s="225"/>
      <c r="AZ45" s="225"/>
      <c r="BA45" s="249"/>
      <c r="BB45" s="839"/>
      <c r="BC45" s="840"/>
      <c r="BD45" s="840"/>
      <c r="BE45" s="841"/>
      <c r="BF45" s="840"/>
      <c r="BG45" s="840"/>
      <c r="BH45" s="840"/>
      <c r="BI45" s="840"/>
      <c r="BJ45" s="842"/>
      <c r="BK45" s="840"/>
      <c r="BL45" s="841"/>
      <c r="BM45" s="226"/>
      <c r="BN45" s="227"/>
      <c r="BO45" s="227"/>
      <c r="BP45" s="227"/>
      <c r="BQ45" s="227"/>
      <c r="BR45" s="227"/>
      <c r="BS45" s="227"/>
      <c r="BT45" s="227"/>
      <c r="BU45" s="228" t="str">
        <f t="shared" si="18"/>
        <v>-</v>
      </c>
      <c r="BV45" s="228" t="str">
        <f t="shared" si="19"/>
        <v>-</v>
      </c>
      <c r="BW45" s="229" t="str">
        <f t="shared" si="19"/>
        <v>-</v>
      </c>
    </row>
    <row r="46" spans="2:75" ht="13.7" customHeight="1" thickBot="1">
      <c r="B46" s="884"/>
      <c r="C46" s="760" t="s">
        <v>10</v>
      </c>
      <c r="D46" s="761"/>
      <c r="E46" s="761"/>
      <c r="F46" s="761"/>
      <c r="G46" s="761"/>
      <c r="H46" s="762"/>
      <c r="I46" s="763"/>
      <c r="J46" s="764"/>
      <c r="K46" s="764"/>
      <c r="L46" s="764"/>
      <c r="M46" s="764"/>
      <c r="N46" s="764"/>
      <c r="O46" s="764"/>
      <c r="P46" s="764"/>
      <c r="Q46" s="711" t="str">
        <f t="shared" si="23"/>
        <v>-</v>
      </c>
      <c r="R46" s="711" t="str">
        <f t="shared" si="24"/>
        <v>-</v>
      </c>
      <c r="S46" s="712" t="str">
        <f t="shared" si="24"/>
        <v>-</v>
      </c>
      <c r="T46" s="763"/>
      <c r="U46" s="764"/>
      <c r="V46" s="764"/>
      <c r="W46" s="764"/>
      <c r="X46" s="764"/>
      <c r="Y46" s="764"/>
      <c r="Z46" s="764"/>
      <c r="AA46" s="764"/>
      <c r="AB46" s="711" t="str">
        <f t="shared" si="25"/>
        <v>-</v>
      </c>
      <c r="AC46" s="711" t="str">
        <f t="shared" si="26"/>
        <v>-</v>
      </c>
      <c r="AD46" s="712" t="str">
        <f t="shared" si="26"/>
        <v>-</v>
      </c>
      <c r="AE46" s="640"/>
      <c r="AF46" s="641"/>
      <c r="AG46" s="641"/>
      <c r="AH46" s="641"/>
      <c r="AI46" s="641"/>
      <c r="AJ46" s="641"/>
      <c r="AK46" s="641"/>
      <c r="AL46" s="641"/>
      <c r="AM46" s="551" t="str">
        <f t="shared" si="27"/>
        <v>-</v>
      </c>
      <c r="AN46" s="551" t="str">
        <f t="shared" si="28"/>
        <v>-</v>
      </c>
      <c r="AO46" s="552" t="str">
        <f t="shared" si="28"/>
        <v>-</v>
      </c>
      <c r="AT46" s="738"/>
      <c r="AU46" s="302" t="s">
        <v>10</v>
      </c>
      <c r="AV46" s="302"/>
      <c r="AW46" s="302"/>
      <c r="AX46" s="225"/>
      <c r="AY46" s="225"/>
      <c r="AZ46" s="225"/>
      <c r="BA46" s="249"/>
      <c r="BB46" s="839"/>
      <c r="BC46" s="840"/>
      <c r="BD46" s="840"/>
      <c r="BE46" s="841"/>
      <c r="BF46" s="840"/>
      <c r="BG46" s="840"/>
      <c r="BH46" s="840"/>
      <c r="BI46" s="840"/>
      <c r="BJ46" s="842"/>
      <c r="BK46" s="840"/>
      <c r="BL46" s="841"/>
      <c r="BM46" s="746"/>
      <c r="BN46" s="747"/>
      <c r="BO46" s="747"/>
      <c r="BP46" s="747"/>
      <c r="BQ46" s="747"/>
      <c r="BR46" s="747"/>
      <c r="BS46" s="747"/>
      <c r="BT46" s="747"/>
      <c r="BU46" s="702" t="str">
        <f t="shared" si="18"/>
        <v>-</v>
      </c>
      <c r="BV46" s="702" t="str">
        <f t="shared" si="19"/>
        <v>-</v>
      </c>
      <c r="BW46" s="703" t="str">
        <f t="shared" si="19"/>
        <v>-</v>
      </c>
    </row>
    <row r="47" spans="2:75" ht="13.7" customHeight="1" thickBot="1">
      <c r="B47" s="769" t="s">
        <v>247</v>
      </c>
      <c r="C47" s="770"/>
      <c r="D47" s="770"/>
      <c r="E47" s="770"/>
      <c r="F47" s="770"/>
      <c r="G47" s="770"/>
      <c r="H47" s="771"/>
      <c r="I47" s="194" t="s">
        <v>76</v>
      </c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194" t="s">
        <v>77</v>
      </c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194" t="s">
        <v>91</v>
      </c>
      <c r="AF47" s="274"/>
      <c r="AG47" s="274"/>
      <c r="AH47" s="274"/>
      <c r="AI47" s="274"/>
      <c r="AJ47" s="274"/>
      <c r="AK47" s="274"/>
      <c r="AL47" s="274"/>
      <c r="AM47" s="274"/>
      <c r="AN47" s="274"/>
      <c r="AO47" s="275"/>
      <c r="AT47" s="739"/>
      <c r="AU47" s="53"/>
      <c r="AV47" s="53"/>
      <c r="AW47" s="301" t="s">
        <v>168</v>
      </c>
      <c r="AX47" s="806"/>
      <c r="AY47" s="806"/>
      <c r="AZ47" s="806"/>
      <c r="BA47" s="807"/>
      <c r="BB47" s="823"/>
      <c r="BC47" s="824"/>
      <c r="BD47" s="824"/>
      <c r="BE47" s="825"/>
      <c r="BF47" s="824"/>
      <c r="BG47" s="824"/>
      <c r="BH47" s="824"/>
      <c r="BI47" s="824"/>
      <c r="BJ47" s="846"/>
      <c r="BK47" s="824"/>
      <c r="BL47" s="825"/>
      <c r="BM47" s="226"/>
      <c r="BN47" s="227"/>
      <c r="BO47" s="227"/>
      <c r="BP47" s="227"/>
      <c r="BQ47" s="227"/>
      <c r="BR47" s="227"/>
      <c r="BS47" s="227"/>
      <c r="BT47" s="227"/>
      <c r="BU47" s="228" t="str">
        <f t="shared" si="18"/>
        <v>-</v>
      </c>
      <c r="BV47" s="228" t="str">
        <f t="shared" si="19"/>
        <v>-</v>
      </c>
      <c r="BW47" s="229" t="str">
        <f t="shared" si="19"/>
        <v>-</v>
      </c>
    </row>
    <row r="48" spans="2:75" ht="13.7" customHeight="1" thickBot="1">
      <c r="B48" s="772"/>
      <c r="C48" s="519"/>
      <c r="D48" s="519"/>
      <c r="E48" s="519"/>
      <c r="F48" s="519"/>
      <c r="G48" s="519"/>
      <c r="H48" s="520"/>
      <c r="I48" s="198" t="str">
        <f>IF($B$1&lt;&gt;"",$B$1,"")</f>
        <v/>
      </c>
      <c r="J48" s="199"/>
      <c r="K48" s="199"/>
      <c r="L48" s="199"/>
      <c r="M48" s="200" t="str">
        <f>IF($B$1&lt;&gt;"",$B$1-1,"")</f>
        <v/>
      </c>
      <c r="N48" s="199"/>
      <c r="O48" s="199"/>
      <c r="P48" s="201"/>
      <c r="Q48" s="202" t="s">
        <v>142</v>
      </c>
      <c r="R48" s="203"/>
      <c r="S48" s="204"/>
      <c r="T48" s="198" t="str">
        <f>IF($B$1&lt;&gt;"",$B$1,"")</f>
        <v/>
      </c>
      <c r="U48" s="199"/>
      <c r="V48" s="199"/>
      <c r="W48" s="199"/>
      <c r="X48" s="200" t="str">
        <f>IF($B$1&lt;&gt;"",$B$1-1,"")</f>
        <v/>
      </c>
      <c r="Y48" s="199"/>
      <c r="Z48" s="199"/>
      <c r="AA48" s="201"/>
      <c r="AB48" s="202" t="s">
        <v>142</v>
      </c>
      <c r="AC48" s="203"/>
      <c r="AD48" s="204"/>
      <c r="AE48" s="198" t="str">
        <f>IF($B$1&lt;&gt;"",$B$1,"")</f>
        <v/>
      </c>
      <c r="AF48" s="199"/>
      <c r="AG48" s="199"/>
      <c r="AH48" s="199"/>
      <c r="AI48" s="200" t="str">
        <f>IF($B$1&lt;&gt;"",$B$1-1,"")</f>
        <v/>
      </c>
      <c r="AJ48" s="199"/>
      <c r="AK48" s="199"/>
      <c r="AL48" s="201"/>
      <c r="AM48" s="202" t="s">
        <v>142</v>
      </c>
      <c r="AN48" s="203"/>
      <c r="AO48" s="204"/>
      <c r="AT48" s="876"/>
      <c r="AU48" s="877"/>
      <c r="AV48" s="877"/>
      <c r="AW48" s="877"/>
      <c r="AX48" s="877"/>
      <c r="AY48" s="877"/>
      <c r="AZ48" s="877"/>
      <c r="BA48" s="878"/>
      <c r="BB48" s="879"/>
      <c r="BC48" s="880"/>
      <c r="BD48" s="880"/>
      <c r="BE48" s="880"/>
      <c r="BF48" s="880"/>
      <c r="BG48" s="880"/>
      <c r="BH48" s="880"/>
      <c r="BI48" s="880"/>
      <c r="BJ48" s="880"/>
      <c r="BK48" s="880"/>
      <c r="BL48" s="881"/>
      <c r="BM48" s="836" t="s">
        <v>139</v>
      </c>
      <c r="BN48" s="353"/>
      <c r="BO48" s="353"/>
      <c r="BP48" s="353"/>
      <c r="BQ48" s="353"/>
      <c r="BR48" s="353"/>
      <c r="BS48" s="353"/>
      <c r="BT48" s="353"/>
      <c r="BU48" s="353"/>
      <c r="BV48" s="353"/>
      <c r="BW48" s="354"/>
    </row>
    <row r="49" spans="2:86" ht="13.7" customHeight="1">
      <c r="B49" s="734" t="s">
        <v>71</v>
      </c>
      <c r="C49" s="768" t="s">
        <v>89</v>
      </c>
      <c r="D49" s="277"/>
      <c r="E49" s="277"/>
      <c r="F49" s="277"/>
      <c r="G49" s="277"/>
      <c r="H49" s="278"/>
      <c r="I49" s="226"/>
      <c r="J49" s="227"/>
      <c r="K49" s="227"/>
      <c r="L49" s="227"/>
      <c r="M49" s="227"/>
      <c r="N49" s="227"/>
      <c r="O49" s="227"/>
      <c r="P49" s="227"/>
      <c r="Q49" s="228" t="str">
        <f t="shared" ref="Q49:Q57" si="29">IF(I49="-", "-", IF(M49="-", "-", IF(ABS(M49)=0, "-", ROUND(100*(I49-M49)/ABS(M49), 1))))</f>
        <v>-</v>
      </c>
      <c r="R49" s="228" t="str">
        <f t="shared" ref="R49:S57" si="30">IF(N49="-", "-", IF(P49="-", "-", IF(ABS(P49)=0, "-", ROUND(100*(N49-P49)/ABS(P49), 1))))</f>
        <v>-</v>
      </c>
      <c r="S49" s="229" t="str">
        <f t="shared" si="30"/>
        <v>-</v>
      </c>
      <c r="T49" s="226"/>
      <c r="U49" s="227"/>
      <c r="V49" s="227"/>
      <c r="W49" s="227"/>
      <c r="X49" s="227"/>
      <c r="Y49" s="227"/>
      <c r="Z49" s="227"/>
      <c r="AA49" s="227"/>
      <c r="AB49" s="228" t="str">
        <f t="shared" ref="AB49:AB57" si="31">IF(T49="-", "-", IF(X49="-", "-", IF(ABS(X49)=0, "-", ROUND(100*(T49-X49)/ABS(X49), 1))))</f>
        <v>-</v>
      </c>
      <c r="AC49" s="228" t="str">
        <f t="shared" ref="AC49:AD57" si="32">IF(Y49="-", "-", IF(AA49="-", "-", IF(ABS(AA49)=0, "-", ROUND(100*(Y49-AA49)/ABS(AA49), 1))))</f>
        <v>-</v>
      </c>
      <c r="AD49" s="229" t="str">
        <f t="shared" si="32"/>
        <v>-</v>
      </c>
      <c r="AE49" s="630"/>
      <c r="AF49" s="631"/>
      <c r="AG49" s="631"/>
      <c r="AH49" s="631"/>
      <c r="AI49" s="631"/>
      <c r="AJ49" s="631"/>
      <c r="AK49" s="631"/>
      <c r="AL49" s="631"/>
      <c r="AM49" s="228" t="str">
        <f t="shared" ref="AM49:AM57" si="33">IF(AE49="-", "-", IF(AI49="-", "-", IF(ABS(AI49)=0, "-", ROUND(100*(AE49-AI49)/ABS(AI49), 1))))</f>
        <v>-</v>
      </c>
      <c r="AN49" s="228" t="str">
        <f t="shared" ref="AN49:AO57" si="34">IF(AJ49="-", "-", IF(AL49="-", "-", IF(ABS(AL49)=0, "-", ROUND(100*(AJ49-AL49)/ABS(AL49), 1))))</f>
        <v>-</v>
      </c>
      <c r="AO49" s="229" t="str">
        <f t="shared" si="34"/>
        <v>-</v>
      </c>
      <c r="AT49" s="209" t="s">
        <v>106</v>
      </c>
      <c r="AU49" s="210"/>
      <c r="AV49" s="210"/>
      <c r="AW49" s="210"/>
      <c r="AX49" s="210"/>
      <c r="AY49" s="210"/>
      <c r="AZ49" s="210"/>
      <c r="BA49" s="694"/>
      <c r="BB49" s="885"/>
      <c r="BC49" s="886"/>
      <c r="BD49" s="886"/>
      <c r="BE49" s="887"/>
      <c r="BF49" s="888"/>
      <c r="BG49" s="886"/>
      <c r="BH49" s="886"/>
      <c r="BI49" s="887"/>
      <c r="BJ49" s="888"/>
      <c r="BK49" s="886"/>
      <c r="BL49" s="889"/>
      <c r="BM49" s="226"/>
      <c r="BN49" s="227"/>
      <c r="BO49" s="227"/>
      <c r="BP49" s="227"/>
      <c r="BQ49" s="227"/>
      <c r="BR49" s="227"/>
      <c r="BS49" s="227"/>
      <c r="BT49" s="227"/>
      <c r="BU49" s="228" t="str">
        <f t="shared" ref="BU49:BU50" si="35">IF(BM49="-", "-", IF(BQ49="-", "-", IF(ABS(BQ49)=0, "-", ROUND(100*(BM49-BQ49)/ABS(BQ49), 1))))</f>
        <v>-</v>
      </c>
      <c r="BV49" s="228" t="str">
        <f t="shared" ref="BV49:BW50" si="36">IF(BR49="-", "-", IF(BT49="-", "-", IF(ABS(BT49)=0, "-", ROUND(100*(BR49-BT49)/ABS(BT49), 1))))</f>
        <v>-</v>
      </c>
      <c r="BW49" s="229" t="str">
        <f t="shared" si="36"/>
        <v>-</v>
      </c>
    </row>
    <row r="50" spans="2:86" ht="13.7" customHeight="1" thickBot="1">
      <c r="B50" s="735"/>
      <c r="C50" s="765" t="s">
        <v>175</v>
      </c>
      <c r="D50" s="347" t="s">
        <v>126</v>
      </c>
      <c r="E50" s="347"/>
      <c r="F50" s="347"/>
      <c r="G50" s="347"/>
      <c r="H50" s="348"/>
      <c r="I50" s="226"/>
      <c r="J50" s="227"/>
      <c r="K50" s="227"/>
      <c r="L50" s="227"/>
      <c r="M50" s="227"/>
      <c r="N50" s="227"/>
      <c r="O50" s="227"/>
      <c r="P50" s="227"/>
      <c r="Q50" s="228" t="str">
        <f t="shared" si="29"/>
        <v>-</v>
      </c>
      <c r="R50" s="228" t="str">
        <f t="shared" si="30"/>
        <v>-</v>
      </c>
      <c r="S50" s="229" t="str">
        <f t="shared" si="30"/>
        <v>-</v>
      </c>
      <c r="T50" s="226"/>
      <c r="U50" s="227"/>
      <c r="V50" s="227"/>
      <c r="W50" s="227"/>
      <c r="X50" s="227"/>
      <c r="Y50" s="227"/>
      <c r="Z50" s="227"/>
      <c r="AA50" s="227"/>
      <c r="AB50" s="228" t="str">
        <f t="shared" si="31"/>
        <v>-</v>
      </c>
      <c r="AC50" s="228" t="str">
        <f t="shared" si="32"/>
        <v>-</v>
      </c>
      <c r="AD50" s="229" t="str">
        <f t="shared" si="32"/>
        <v>-</v>
      </c>
      <c r="AE50" s="630"/>
      <c r="AF50" s="631"/>
      <c r="AG50" s="631"/>
      <c r="AH50" s="631"/>
      <c r="AI50" s="631"/>
      <c r="AJ50" s="631"/>
      <c r="AK50" s="631"/>
      <c r="AL50" s="631"/>
      <c r="AM50" s="228" t="str">
        <f t="shared" si="33"/>
        <v>-</v>
      </c>
      <c r="AN50" s="228" t="str">
        <f t="shared" si="34"/>
        <v>-</v>
      </c>
      <c r="AO50" s="229" t="str">
        <f t="shared" si="34"/>
        <v>-</v>
      </c>
      <c r="AT50" s="12"/>
      <c r="AU50" s="674" t="s">
        <v>168</v>
      </c>
      <c r="AV50" s="621"/>
      <c r="AW50" s="621"/>
      <c r="AX50" s="621"/>
      <c r="AY50" s="621"/>
      <c r="AZ50" s="621"/>
      <c r="BA50" s="622"/>
      <c r="BB50" s="823"/>
      <c r="BC50" s="824"/>
      <c r="BD50" s="824"/>
      <c r="BE50" s="825"/>
      <c r="BF50" s="824"/>
      <c r="BG50" s="824"/>
      <c r="BH50" s="824"/>
      <c r="BI50" s="824"/>
      <c r="BJ50" s="846"/>
      <c r="BK50" s="824"/>
      <c r="BL50" s="825"/>
      <c r="BM50" s="389"/>
      <c r="BN50" s="359"/>
      <c r="BO50" s="359"/>
      <c r="BP50" s="359"/>
      <c r="BQ50" s="359"/>
      <c r="BR50" s="359"/>
      <c r="BS50" s="359"/>
      <c r="BT50" s="359"/>
      <c r="BU50" s="361" t="str">
        <f t="shared" si="35"/>
        <v>-</v>
      </c>
      <c r="BV50" s="361" t="str">
        <f t="shared" si="36"/>
        <v>-</v>
      </c>
      <c r="BW50" s="362" t="str">
        <f t="shared" si="36"/>
        <v>-</v>
      </c>
    </row>
    <row r="51" spans="2:86" ht="13.7" customHeight="1">
      <c r="B51" s="735"/>
      <c r="C51" s="766"/>
      <c r="D51" s="347" t="s">
        <v>248</v>
      </c>
      <c r="E51" s="347"/>
      <c r="F51" s="347"/>
      <c r="G51" s="347"/>
      <c r="H51" s="348"/>
      <c r="I51" s="226"/>
      <c r="J51" s="227"/>
      <c r="K51" s="227"/>
      <c r="L51" s="227"/>
      <c r="M51" s="227"/>
      <c r="N51" s="227"/>
      <c r="O51" s="227"/>
      <c r="P51" s="227"/>
      <c r="Q51" s="228" t="str">
        <f t="shared" si="29"/>
        <v>-</v>
      </c>
      <c r="R51" s="228" t="str">
        <f t="shared" si="30"/>
        <v>-</v>
      </c>
      <c r="S51" s="229" t="str">
        <f t="shared" si="30"/>
        <v>-</v>
      </c>
      <c r="T51" s="226"/>
      <c r="U51" s="227"/>
      <c r="V51" s="227"/>
      <c r="W51" s="227"/>
      <c r="X51" s="227"/>
      <c r="Y51" s="227"/>
      <c r="Z51" s="227"/>
      <c r="AA51" s="227"/>
      <c r="AB51" s="228" t="str">
        <f t="shared" si="31"/>
        <v>-</v>
      </c>
      <c r="AC51" s="228" t="str">
        <f t="shared" si="32"/>
        <v>-</v>
      </c>
      <c r="AD51" s="229" t="str">
        <f t="shared" si="32"/>
        <v>-</v>
      </c>
      <c r="AE51" s="630"/>
      <c r="AF51" s="631"/>
      <c r="AG51" s="631"/>
      <c r="AH51" s="631"/>
      <c r="AI51" s="631"/>
      <c r="AJ51" s="631"/>
      <c r="AK51" s="631"/>
      <c r="AL51" s="631"/>
      <c r="AM51" s="228" t="str">
        <f t="shared" si="33"/>
        <v>-</v>
      </c>
      <c r="AN51" s="228" t="str">
        <f t="shared" si="34"/>
        <v>-</v>
      </c>
      <c r="AO51" s="229" t="str">
        <f t="shared" si="34"/>
        <v>-</v>
      </c>
      <c r="BX51" s="24"/>
      <c r="BY51" s="24"/>
    </row>
    <row r="52" spans="2:86" ht="13.7" customHeight="1" thickBot="1">
      <c r="B52" s="735"/>
      <c r="C52" s="766"/>
      <c r="D52" s="347" t="s">
        <v>78</v>
      </c>
      <c r="E52" s="347"/>
      <c r="F52" s="347"/>
      <c r="G52" s="347"/>
      <c r="H52" s="348"/>
      <c r="I52" s="226"/>
      <c r="J52" s="227"/>
      <c r="K52" s="227"/>
      <c r="L52" s="227"/>
      <c r="M52" s="227"/>
      <c r="N52" s="227"/>
      <c r="O52" s="227"/>
      <c r="P52" s="227"/>
      <c r="Q52" s="228" t="str">
        <f t="shared" si="29"/>
        <v>-</v>
      </c>
      <c r="R52" s="228" t="str">
        <f t="shared" si="30"/>
        <v>-</v>
      </c>
      <c r="S52" s="229" t="str">
        <f t="shared" si="30"/>
        <v>-</v>
      </c>
      <c r="T52" s="226"/>
      <c r="U52" s="227"/>
      <c r="V52" s="227"/>
      <c r="W52" s="227"/>
      <c r="X52" s="227"/>
      <c r="Y52" s="227"/>
      <c r="Z52" s="227"/>
      <c r="AA52" s="227"/>
      <c r="AB52" s="228" t="str">
        <f t="shared" si="31"/>
        <v>-</v>
      </c>
      <c r="AC52" s="228" t="str">
        <f t="shared" si="32"/>
        <v>-</v>
      </c>
      <c r="AD52" s="229" t="str">
        <f t="shared" si="32"/>
        <v>-</v>
      </c>
      <c r="AE52" s="630"/>
      <c r="AF52" s="631"/>
      <c r="AG52" s="631"/>
      <c r="AH52" s="631"/>
      <c r="AI52" s="631"/>
      <c r="AJ52" s="631"/>
      <c r="AK52" s="631"/>
      <c r="AL52" s="631"/>
      <c r="AM52" s="228" t="str">
        <f t="shared" si="33"/>
        <v>-</v>
      </c>
      <c r="AN52" s="228" t="str">
        <f t="shared" si="34"/>
        <v>-</v>
      </c>
      <c r="AO52" s="229" t="str">
        <f t="shared" si="34"/>
        <v>-</v>
      </c>
      <c r="AT52" s="34" t="s">
        <v>253</v>
      </c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26" t="s">
        <v>254</v>
      </c>
    </row>
    <row r="53" spans="2:86" ht="13.7" customHeight="1">
      <c r="B53" s="735"/>
      <c r="C53" s="767"/>
      <c r="D53" s="347" t="s">
        <v>46</v>
      </c>
      <c r="E53" s="347"/>
      <c r="F53" s="347"/>
      <c r="G53" s="347"/>
      <c r="H53" s="348"/>
      <c r="I53" s="746"/>
      <c r="J53" s="747"/>
      <c r="K53" s="747"/>
      <c r="L53" s="747"/>
      <c r="M53" s="747"/>
      <c r="N53" s="747"/>
      <c r="O53" s="747"/>
      <c r="P53" s="747"/>
      <c r="Q53" s="702" t="str">
        <f t="shared" si="29"/>
        <v>-</v>
      </c>
      <c r="R53" s="702" t="str">
        <f t="shared" si="30"/>
        <v>-</v>
      </c>
      <c r="S53" s="703" t="str">
        <f t="shared" si="30"/>
        <v>-</v>
      </c>
      <c r="T53" s="746"/>
      <c r="U53" s="747"/>
      <c r="V53" s="747"/>
      <c r="W53" s="747"/>
      <c r="X53" s="747"/>
      <c r="Y53" s="747"/>
      <c r="Z53" s="747"/>
      <c r="AA53" s="747"/>
      <c r="AB53" s="702" t="str">
        <f t="shared" si="31"/>
        <v>-</v>
      </c>
      <c r="AC53" s="702" t="str">
        <f t="shared" si="32"/>
        <v>-</v>
      </c>
      <c r="AD53" s="703" t="str">
        <f t="shared" si="32"/>
        <v>-</v>
      </c>
      <c r="AE53" s="640"/>
      <c r="AF53" s="641"/>
      <c r="AG53" s="641"/>
      <c r="AH53" s="641"/>
      <c r="AI53" s="641"/>
      <c r="AJ53" s="641"/>
      <c r="AK53" s="641"/>
      <c r="AL53" s="641"/>
      <c r="AM53" s="551" t="str">
        <f t="shared" si="33"/>
        <v>-</v>
      </c>
      <c r="AN53" s="551" t="str">
        <f t="shared" si="34"/>
        <v>-</v>
      </c>
      <c r="AO53" s="552" t="str">
        <f t="shared" si="34"/>
        <v>-</v>
      </c>
      <c r="AP53" s="34"/>
      <c r="AQ53" s="34"/>
      <c r="AR53" s="34"/>
      <c r="AS53" s="34"/>
      <c r="AT53" s="740"/>
      <c r="AU53" s="741"/>
      <c r="AV53" s="741"/>
      <c r="AW53" s="741"/>
      <c r="AX53" s="741"/>
      <c r="AY53" s="741"/>
      <c r="AZ53" s="741"/>
      <c r="BA53" s="742"/>
      <c r="BB53" s="721" t="s">
        <v>76</v>
      </c>
      <c r="BC53" s="722"/>
      <c r="BD53" s="722"/>
      <c r="BE53" s="722"/>
      <c r="BF53" s="722"/>
      <c r="BG53" s="722"/>
      <c r="BH53" s="722"/>
      <c r="BI53" s="722"/>
      <c r="BJ53" s="722"/>
      <c r="BK53" s="722"/>
      <c r="BL53" s="722"/>
      <c r="BM53" s="721" t="s">
        <v>77</v>
      </c>
      <c r="BN53" s="722"/>
      <c r="BO53" s="722"/>
      <c r="BP53" s="722"/>
      <c r="BQ53" s="722"/>
      <c r="BR53" s="722"/>
      <c r="BS53" s="722"/>
      <c r="BT53" s="722"/>
      <c r="BU53" s="722"/>
      <c r="BV53" s="722"/>
      <c r="BW53" s="722"/>
      <c r="BX53" s="721" t="s">
        <v>91</v>
      </c>
      <c r="BY53" s="722"/>
      <c r="BZ53" s="722"/>
      <c r="CA53" s="722"/>
      <c r="CB53" s="722"/>
      <c r="CC53" s="722"/>
      <c r="CD53" s="722"/>
      <c r="CE53" s="722"/>
      <c r="CF53" s="722"/>
      <c r="CG53" s="722"/>
      <c r="CH53" s="723"/>
    </row>
    <row r="54" spans="2:86" ht="13.7" customHeight="1" thickBot="1">
      <c r="B54" s="736"/>
      <c r="C54" s="693" t="s">
        <v>52</v>
      </c>
      <c r="D54" s="343"/>
      <c r="E54" s="343"/>
      <c r="F54" s="343"/>
      <c r="G54" s="343"/>
      <c r="H54" s="344"/>
      <c r="I54" s="746"/>
      <c r="J54" s="747"/>
      <c r="K54" s="747"/>
      <c r="L54" s="747"/>
      <c r="M54" s="747"/>
      <c r="N54" s="747"/>
      <c r="O54" s="747"/>
      <c r="P54" s="747"/>
      <c r="Q54" s="702" t="str">
        <f t="shared" si="29"/>
        <v>-</v>
      </c>
      <c r="R54" s="702" t="str">
        <f t="shared" si="30"/>
        <v>-</v>
      </c>
      <c r="S54" s="703" t="str">
        <f t="shared" si="30"/>
        <v>-</v>
      </c>
      <c r="T54" s="746"/>
      <c r="U54" s="747"/>
      <c r="V54" s="747"/>
      <c r="W54" s="747"/>
      <c r="X54" s="747"/>
      <c r="Y54" s="747"/>
      <c r="Z54" s="747"/>
      <c r="AA54" s="747"/>
      <c r="AB54" s="702" t="str">
        <f t="shared" si="31"/>
        <v>-</v>
      </c>
      <c r="AC54" s="702" t="str">
        <f t="shared" si="32"/>
        <v>-</v>
      </c>
      <c r="AD54" s="703" t="str">
        <f t="shared" si="32"/>
        <v>-</v>
      </c>
      <c r="AE54" s="640"/>
      <c r="AF54" s="641"/>
      <c r="AG54" s="641"/>
      <c r="AH54" s="641"/>
      <c r="AI54" s="641"/>
      <c r="AJ54" s="641"/>
      <c r="AK54" s="641"/>
      <c r="AL54" s="641"/>
      <c r="AM54" s="551" t="str">
        <f t="shared" si="33"/>
        <v>-</v>
      </c>
      <c r="AN54" s="551" t="str">
        <f t="shared" si="34"/>
        <v>-</v>
      </c>
      <c r="AO54" s="552" t="str">
        <f t="shared" si="34"/>
        <v>-</v>
      </c>
      <c r="AP54" s="34"/>
      <c r="AQ54" s="34"/>
      <c r="AR54" s="34"/>
      <c r="AS54" s="34"/>
      <c r="AT54" s="743"/>
      <c r="AU54" s="744"/>
      <c r="AV54" s="744"/>
      <c r="AW54" s="744"/>
      <c r="AX54" s="744"/>
      <c r="AY54" s="744"/>
      <c r="AZ54" s="744"/>
      <c r="BA54" s="745"/>
      <c r="BB54" s="724" t="str">
        <f>IF($B$1&lt;&gt;"",$B$1,"")</f>
        <v/>
      </c>
      <c r="BC54" s="725"/>
      <c r="BD54" s="725"/>
      <c r="BE54" s="725"/>
      <c r="BF54" s="726" t="str">
        <f>IF($B$1&lt;&gt;"",$B$1-1,"")</f>
        <v/>
      </c>
      <c r="BG54" s="725"/>
      <c r="BH54" s="725"/>
      <c r="BI54" s="727"/>
      <c r="BJ54" s="728" t="s">
        <v>142</v>
      </c>
      <c r="BK54" s="729"/>
      <c r="BL54" s="730"/>
      <c r="BM54" s="724" t="str">
        <f>IF($B$1&lt;&gt;"",$B$1,"")</f>
        <v/>
      </c>
      <c r="BN54" s="725"/>
      <c r="BO54" s="725"/>
      <c r="BP54" s="725"/>
      <c r="BQ54" s="726" t="str">
        <f>IF($B$1&lt;&gt;"",$B$1-1,"")</f>
        <v/>
      </c>
      <c r="BR54" s="725"/>
      <c r="BS54" s="725"/>
      <c r="BT54" s="727"/>
      <c r="BU54" s="728" t="s">
        <v>142</v>
      </c>
      <c r="BV54" s="729"/>
      <c r="BW54" s="730"/>
      <c r="BX54" s="724" t="str">
        <f>IF($B$1&lt;&gt;"",$B$1,"")</f>
        <v/>
      </c>
      <c r="BY54" s="725"/>
      <c r="BZ54" s="725"/>
      <c r="CA54" s="725"/>
      <c r="CB54" s="726" t="str">
        <f>IF($B$1&lt;&gt;"",$B$1-1,"")</f>
        <v/>
      </c>
      <c r="CC54" s="725"/>
      <c r="CD54" s="725"/>
      <c r="CE54" s="727"/>
      <c r="CF54" s="728" t="s">
        <v>142</v>
      </c>
      <c r="CG54" s="729"/>
      <c r="CH54" s="730"/>
    </row>
    <row r="55" spans="2:86" ht="13.7" customHeight="1">
      <c r="B55" s="757" t="s">
        <v>72</v>
      </c>
      <c r="C55" s="295" t="s">
        <v>89</v>
      </c>
      <c r="D55" s="296"/>
      <c r="E55" s="296"/>
      <c r="F55" s="296"/>
      <c r="G55" s="296"/>
      <c r="H55" s="297"/>
      <c r="I55" s="226"/>
      <c r="J55" s="227"/>
      <c r="K55" s="227"/>
      <c r="L55" s="227"/>
      <c r="M55" s="227"/>
      <c r="N55" s="227"/>
      <c r="O55" s="227"/>
      <c r="P55" s="227"/>
      <c r="Q55" s="228" t="str">
        <f t="shared" si="29"/>
        <v>-</v>
      </c>
      <c r="R55" s="228" t="str">
        <f t="shared" si="30"/>
        <v>-</v>
      </c>
      <c r="S55" s="229" t="str">
        <f t="shared" si="30"/>
        <v>-</v>
      </c>
      <c r="T55" s="226"/>
      <c r="U55" s="227"/>
      <c r="V55" s="227"/>
      <c r="W55" s="227"/>
      <c r="X55" s="227"/>
      <c r="Y55" s="227"/>
      <c r="Z55" s="227"/>
      <c r="AA55" s="227"/>
      <c r="AB55" s="228" t="str">
        <f t="shared" si="31"/>
        <v>-</v>
      </c>
      <c r="AC55" s="228" t="str">
        <f t="shared" si="32"/>
        <v>-</v>
      </c>
      <c r="AD55" s="229" t="str">
        <f t="shared" si="32"/>
        <v>-</v>
      </c>
      <c r="AE55" s="630"/>
      <c r="AF55" s="631"/>
      <c r="AG55" s="631"/>
      <c r="AH55" s="631"/>
      <c r="AI55" s="631"/>
      <c r="AJ55" s="631"/>
      <c r="AK55" s="631"/>
      <c r="AL55" s="631"/>
      <c r="AM55" s="228" t="str">
        <f t="shared" si="33"/>
        <v>-</v>
      </c>
      <c r="AN55" s="228" t="str">
        <f t="shared" si="34"/>
        <v>-</v>
      </c>
      <c r="AO55" s="229" t="str">
        <f t="shared" si="34"/>
        <v>-</v>
      </c>
      <c r="AP55" s="34"/>
      <c r="AQ55" s="34"/>
      <c r="AR55" s="34"/>
      <c r="AS55" s="34"/>
      <c r="AT55" s="748" t="s">
        <v>71</v>
      </c>
      <c r="AU55" s="751" t="s">
        <v>89</v>
      </c>
      <c r="AV55" s="754" t="s">
        <v>123</v>
      </c>
      <c r="AW55" s="754"/>
      <c r="AX55" s="754"/>
      <c r="AY55" s="754"/>
      <c r="AZ55" s="754"/>
      <c r="BA55" s="755"/>
      <c r="BB55" s="226"/>
      <c r="BC55" s="227"/>
      <c r="BD55" s="227"/>
      <c r="BE55" s="227"/>
      <c r="BF55" s="227"/>
      <c r="BG55" s="227"/>
      <c r="BH55" s="227"/>
      <c r="BI55" s="227"/>
      <c r="BJ55" s="228" t="str">
        <f t="shared" ref="BJ55:BJ63" si="37">IF(BB55="-", "-", IF(BF55="-", "-", IF(ABS(BF55)=0, "-", ROUND(100*(BB55-BF55)/ABS(BF55), 1))))</f>
        <v>-</v>
      </c>
      <c r="BK55" s="228" t="str">
        <f t="shared" ref="BK55:BL63" si="38">IF(BG55="-", "-", IF(BI55="-", "-", IF(ABS(BI55)=0, "-", ROUND(100*(BG55-BI55)/ABS(BI55), 1))))</f>
        <v>-</v>
      </c>
      <c r="BL55" s="229" t="str">
        <f t="shared" si="38"/>
        <v>-</v>
      </c>
      <c r="BM55" s="226"/>
      <c r="BN55" s="227"/>
      <c r="BO55" s="227"/>
      <c r="BP55" s="227"/>
      <c r="BQ55" s="227"/>
      <c r="BR55" s="227"/>
      <c r="BS55" s="227"/>
      <c r="BT55" s="227"/>
      <c r="BU55" s="228" t="str">
        <f t="shared" ref="BU55:BU63" si="39">IF(BM55="-", "-", IF(BQ55="-", "-", IF(ABS(BQ55)=0, "-", ROUND(100*(BM55-BQ55)/ABS(BQ55), 1))))</f>
        <v>-</v>
      </c>
      <c r="BV55" s="228" t="str">
        <f t="shared" ref="BV55:BW63" si="40">IF(BR55="-", "-", IF(BT55="-", "-", IF(ABS(BT55)=0, "-", ROUND(100*(BR55-BT55)/ABS(BT55), 1))))</f>
        <v>-</v>
      </c>
      <c r="BW55" s="229" t="str">
        <f t="shared" si="40"/>
        <v>-</v>
      </c>
      <c r="BX55" s="672"/>
      <c r="BY55" s="673"/>
      <c r="BZ55" s="673"/>
      <c r="CA55" s="673"/>
      <c r="CB55" s="673"/>
      <c r="CC55" s="673"/>
      <c r="CD55" s="673"/>
      <c r="CE55" s="673"/>
      <c r="CF55" s="215" t="str">
        <f t="shared" ref="CF55:CF63" si="41">IF(BX55="-", "-", IF(CB55="-", "-", IF(ABS(CB55)=0, "-", ROUND(100*(BX55-CB55)/ABS(CB55), 1))))</f>
        <v>-</v>
      </c>
      <c r="CG55" s="215" t="str">
        <f t="shared" ref="CG55:CH63" si="42">IF(CC55="-", "-", IF(CE55="-", "-", IF(ABS(CE55)=0, "-", ROUND(100*(CC55-CE55)/ABS(CE55), 1))))</f>
        <v>-</v>
      </c>
      <c r="CH55" s="216" t="str">
        <f t="shared" si="42"/>
        <v>-</v>
      </c>
    </row>
    <row r="56" spans="2:86" ht="13.7" customHeight="1">
      <c r="B56" s="758"/>
      <c r="C56" s="295" t="s">
        <v>249</v>
      </c>
      <c r="D56" s="296"/>
      <c r="E56" s="296"/>
      <c r="F56" s="296"/>
      <c r="G56" s="296"/>
      <c r="H56" s="297"/>
      <c r="I56" s="226"/>
      <c r="J56" s="227"/>
      <c r="K56" s="227"/>
      <c r="L56" s="227"/>
      <c r="M56" s="227"/>
      <c r="N56" s="227"/>
      <c r="O56" s="227"/>
      <c r="P56" s="227"/>
      <c r="Q56" s="228" t="str">
        <f t="shared" si="29"/>
        <v>-</v>
      </c>
      <c r="R56" s="228" t="str">
        <f t="shared" si="30"/>
        <v>-</v>
      </c>
      <c r="S56" s="229" t="str">
        <f t="shared" si="30"/>
        <v>-</v>
      </c>
      <c r="T56" s="226"/>
      <c r="U56" s="227"/>
      <c r="V56" s="227"/>
      <c r="W56" s="227"/>
      <c r="X56" s="227"/>
      <c r="Y56" s="227"/>
      <c r="Z56" s="227"/>
      <c r="AA56" s="227"/>
      <c r="AB56" s="228" t="str">
        <f t="shared" si="31"/>
        <v>-</v>
      </c>
      <c r="AC56" s="228" t="str">
        <f t="shared" si="32"/>
        <v>-</v>
      </c>
      <c r="AD56" s="229" t="str">
        <f t="shared" si="32"/>
        <v>-</v>
      </c>
      <c r="AE56" s="630"/>
      <c r="AF56" s="631"/>
      <c r="AG56" s="631"/>
      <c r="AH56" s="631"/>
      <c r="AI56" s="631"/>
      <c r="AJ56" s="631"/>
      <c r="AK56" s="631"/>
      <c r="AL56" s="631"/>
      <c r="AM56" s="228" t="str">
        <f t="shared" si="33"/>
        <v>-</v>
      </c>
      <c r="AN56" s="228" t="str">
        <f t="shared" si="34"/>
        <v>-</v>
      </c>
      <c r="AO56" s="229" t="str">
        <f t="shared" si="34"/>
        <v>-</v>
      </c>
      <c r="AP56" s="34"/>
      <c r="AQ56" s="34"/>
      <c r="AR56" s="34"/>
      <c r="AS56" s="34"/>
      <c r="AT56" s="749"/>
      <c r="AU56" s="752"/>
      <c r="AV56" s="717" t="s">
        <v>124</v>
      </c>
      <c r="AW56" s="717"/>
      <c r="AX56" s="717"/>
      <c r="AY56" s="717"/>
      <c r="AZ56" s="717"/>
      <c r="BA56" s="718"/>
      <c r="BB56" s="226"/>
      <c r="BC56" s="227"/>
      <c r="BD56" s="227"/>
      <c r="BE56" s="227"/>
      <c r="BF56" s="227"/>
      <c r="BG56" s="227"/>
      <c r="BH56" s="227"/>
      <c r="BI56" s="227"/>
      <c r="BJ56" s="228" t="str">
        <f t="shared" si="37"/>
        <v>-</v>
      </c>
      <c r="BK56" s="228" t="str">
        <f t="shared" si="38"/>
        <v>-</v>
      </c>
      <c r="BL56" s="229" t="str">
        <f t="shared" si="38"/>
        <v>-</v>
      </c>
      <c r="BM56" s="226"/>
      <c r="BN56" s="227"/>
      <c r="BO56" s="227"/>
      <c r="BP56" s="227"/>
      <c r="BQ56" s="227"/>
      <c r="BR56" s="227"/>
      <c r="BS56" s="227"/>
      <c r="BT56" s="227"/>
      <c r="BU56" s="228" t="str">
        <f t="shared" si="39"/>
        <v>-</v>
      </c>
      <c r="BV56" s="228" t="str">
        <f t="shared" si="40"/>
        <v>-</v>
      </c>
      <c r="BW56" s="229" t="str">
        <f t="shared" si="40"/>
        <v>-</v>
      </c>
      <c r="BX56" s="630"/>
      <c r="BY56" s="631"/>
      <c r="BZ56" s="631"/>
      <c r="CA56" s="631"/>
      <c r="CB56" s="631"/>
      <c r="CC56" s="631"/>
      <c r="CD56" s="631"/>
      <c r="CE56" s="631"/>
      <c r="CF56" s="228" t="str">
        <f t="shared" si="41"/>
        <v>-</v>
      </c>
      <c r="CG56" s="228" t="str">
        <f t="shared" si="42"/>
        <v>-</v>
      </c>
      <c r="CH56" s="229" t="str">
        <f t="shared" si="42"/>
        <v>-</v>
      </c>
    </row>
    <row r="57" spans="2:86" ht="13.7" customHeight="1" thickBot="1">
      <c r="B57" s="759"/>
      <c r="C57" s="760" t="s">
        <v>10</v>
      </c>
      <c r="D57" s="761"/>
      <c r="E57" s="761"/>
      <c r="F57" s="761"/>
      <c r="G57" s="761"/>
      <c r="H57" s="762"/>
      <c r="I57" s="763"/>
      <c r="J57" s="764"/>
      <c r="K57" s="764"/>
      <c r="L57" s="764"/>
      <c r="M57" s="764"/>
      <c r="N57" s="764"/>
      <c r="O57" s="764"/>
      <c r="P57" s="764"/>
      <c r="Q57" s="711" t="str">
        <f t="shared" si="29"/>
        <v>-</v>
      </c>
      <c r="R57" s="711" t="str">
        <f t="shared" si="30"/>
        <v>-</v>
      </c>
      <c r="S57" s="712" t="str">
        <f t="shared" si="30"/>
        <v>-</v>
      </c>
      <c r="T57" s="763"/>
      <c r="U57" s="764"/>
      <c r="V57" s="764"/>
      <c r="W57" s="764"/>
      <c r="X57" s="764"/>
      <c r="Y57" s="764"/>
      <c r="Z57" s="764"/>
      <c r="AA57" s="764"/>
      <c r="AB57" s="711" t="str">
        <f t="shared" si="31"/>
        <v>-</v>
      </c>
      <c r="AC57" s="711" t="str">
        <f t="shared" si="32"/>
        <v>-</v>
      </c>
      <c r="AD57" s="712" t="str">
        <f t="shared" si="32"/>
        <v>-</v>
      </c>
      <c r="AE57" s="664"/>
      <c r="AF57" s="665"/>
      <c r="AG57" s="665"/>
      <c r="AH57" s="665"/>
      <c r="AI57" s="665"/>
      <c r="AJ57" s="665"/>
      <c r="AK57" s="665"/>
      <c r="AL57" s="665"/>
      <c r="AM57" s="593" t="str">
        <f t="shared" si="33"/>
        <v>-</v>
      </c>
      <c r="AN57" s="593" t="str">
        <f t="shared" si="34"/>
        <v>-</v>
      </c>
      <c r="AO57" s="594" t="str">
        <f t="shared" si="34"/>
        <v>-</v>
      </c>
      <c r="AP57" s="34"/>
      <c r="AQ57" s="34"/>
      <c r="AR57" s="34"/>
      <c r="AS57" s="34"/>
      <c r="AT57" s="749"/>
      <c r="AU57" s="752"/>
      <c r="AV57" s="717" t="s">
        <v>255</v>
      </c>
      <c r="AW57" s="717"/>
      <c r="AX57" s="717"/>
      <c r="AY57" s="717"/>
      <c r="AZ57" s="717"/>
      <c r="BA57" s="718"/>
      <c r="BB57" s="226"/>
      <c r="BC57" s="227"/>
      <c r="BD57" s="227"/>
      <c r="BE57" s="227"/>
      <c r="BF57" s="227"/>
      <c r="BG57" s="227"/>
      <c r="BH57" s="227"/>
      <c r="BI57" s="227"/>
      <c r="BJ57" s="228" t="str">
        <f t="shared" si="37"/>
        <v>-</v>
      </c>
      <c r="BK57" s="228" t="str">
        <f t="shared" si="38"/>
        <v>-</v>
      </c>
      <c r="BL57" s="229" t="str">
        <f t="shared" si="38"/>
        <v>-</v>
      </c>
      <c r="BM57" s="226"/>
      <c r="BN57" s="227"/>
      <c r="BO57" s="227"/>
      <c r="BP57" s="227"/>
      <c r="BQ57" s="227"/>
      <c r="BR57" s="227"/>
      <c r="BS57" s="227"/>
      <c r="BT57" s="227"/>
      <c r="BU57" s="228" t="str">
        <f t="shared" si="39"/>
        <v>-</v>
      </c>
      <c r="BV57" s="228" t="str">
        <f t="shared" si="40"/>
        <v>-</v>
      </c>
      <c r="BW57" s="229" t="str">
        <f t="shared" si="40"/>
        <v>-</v>
      </c>
      <c r="BX57" s="630"/>
      <c r="BY57" s="631"/>
      <c r="BZ57" s="631"/>
      <c r="CA57" s="631"/>
      <c r="CB57" s="631"/>
      <c r="CC57" s="631"/>
      <c r="CD57" s="631"/>
      <c r="CE57" s="631"/>
      <c r="CF57" s="228" t="str">
        <f t="shared" si="41"/>
        <v>-</v>
      </c>
      <c r="CG57" s="228" t="str">
        <f t="shared" si="42"/>
        <v>-</v>
      </c>
      <c r="CH57" s="229" t="str">
        <f t="shared" si="42"/>
        <v>-</v>
      </c>
    </row>
    <row r="58" spans="2:86" ht="13.7" customHeight="1">
      <c r="AP58" s="34"/>
      <c r="AQ58" s="34"/>
      <c r="AR58" s="34"/>
      <c r="AS58" s="34"/>
      <c r="AT58" s="749"/>
      <c r="AU58" s="753"/>
      <c r="AV58" s="717" t="s">
        <v>46</v>
      </c>
      <c r="AW58" s="717"/>
      <c r="AX58" s="717"/>
      <c r="AY58" s="717"/>
      <c r="AZ58" s="717"/>
      <c r="BA58" s="718"/>
      <c r="BB58" s="719"/>
      <c r="BC58" s="720"/>
      <c r="BD58" s="720"/>
      <c r="BE58" s="720"/>
      <c r="BF58" s="720"/>
      <c r="BG58" s="720"/>
      <c r="BH58" s="720"/>
      <c r="BI58" s="720"/>
      <c r="BJ58" s="551" t="str">
        <f t="shared" si="37"/>
        <v>-</v>
      </c>
      <c r="BK58" s="551" t="str">
        <f t="shared" si="38"/>
        <v>-</v>
      </c>
      <c r="BL58" s="552" t="str">
        <f t="shared" si="38"/>
        <v>-</v>
      </c>
      <c r="BM58" s="719"/>
      <c r="BN58" s="720"/>
      <c r="BO58" s="720"/>
      <c r="BP58" s="720"/>
      <c r="BQ58" s="720"/>
      <c r="BR58" s="720"/>
      <c r="BS58" s="720"/>
      <c r="BT58" s="720"/>
      <c r="BU58" s="551" t="str">
        <f t="shared" si="39"/>
        <v>-</v>
      </c>
      <c r="BV58" s="551" t="str">
        <f t="shared" si="40"/>
        <v>-</v>
      </c>
      <c r="BW58" s="552" t="str">
        <f t="shared" si="40"/>
        <v>-</v>
      </c>
      <c r="BX58" s="640"/>
      <c r="BY58" s="641"/>
      <c r="BZ58" s="641"/>
      <c r="CA58" s="641"/>
      <c r="CB58" s="641"/>
      <c r="CC58" s="641"/>
      <c r="CD58" s="641"/>
      <c r="CE58" s="641"/>
      <c r="CF58" s="551" t="str">
        <f t="shared" si="41"/>
        <v>-</v>
      </c>
      <c r="CG58" s="551" t="str">
        <f t="shared" si="42"/>
        <v>-</v>
      </c>
      <c r="CH58" s="552" t="str">
        <f t="shared" si="42"/>
        <v>-</v>
      </c>
    </row>
    <row r="59" spans="2:86" ht="13.7" customHeight="1">
      <c r="AP59" s="34"/>
      <c r="AQ59" s="34"/>
      <c r="AR59" s="34"/>
      <c r="AS59" s="34"/>
      <c r="AT59" s="749"/>
      <c r="AU59" s="756" t="s">
        <v>175</v>
      </c>
      <c r="AV59" s="717" t="s">
        <v>126</v>
      </c>
      <c r="AW59" s="717"/>
      <c r="AX59" s="717"/>
      <c r="AY59" s="717"/>
      <c r="AZ59" s="717"/>
      <c r="BA59" s="718"/>
      <c r="BB59" s="226"/>
      <c r="BC59" s="227"/>
      <c r="BD59" s="227"/>
      <c r="BE59" s="227"/>
      <c r="BF59" s="227"/>
      <c r="BG59" s="227"/>
      <c r="BH59" s="227"/>
      <c r="BI59" s="227"/>
      <c r="BJ59" s="228" t="str">
        <f t="shared" si="37"/>
        <v>-</v>
      </c>
      <c r="BK59" s="228" t="str">
        <f t="shared" si="38"/>
        <v>-</v>
      </c>
      <c r="BL59" s="229" t="str">
        <f t="shared" si="38"/>
        <v>-</v>
      </c>
      <c r="BM59" s="226"/>
      <c r="BN59" s="227"/>
      <c r="BO59" s="227"/>
      <c r="BP59" s="227"/>
      <c r="BQ59" s="227"/>
      <c r="BR59" s="227"/>
      <c r="BS59" s="227"/>
      <c r="BT59" s="227"/>
      <c r="BU59" s="228" t="str">
        <f t="shared" si="39"/>
        <v>-</v>
      </c>
      <c r="BV59" s="228" t="str">
        <f t="shared" si="40"/>
        <v>-</v>
      </c>
      <c r="BW59" s="229" t="str">
        <f t="shared" si="40"/>
        <v>-</v>
      </c>
      <c r="BX59" s="630"/>
      <c r="BY59" s="631"/>
      <c r="BZ59" s="631"/>
      <c r="CA59" s="631"/>
      <c r="CB59" s="631"/>
      <c r="CC59" s="631"/>
      <c r="CD59" s="631"/>
      <c r="CE59" s="631"/>
      <c r="CF59" s="228" t="str">
        <f t="shared" si="41"/>
        <v>-</v>
      </c>
      <c r="CG59" s="228" t="str">
        <f t="shared" si="42"/>
        <v>-</v>
      </c>
      <c r="CH59" s="229" t="str">
        <f t="shared" si="42"/>
        <v>-</v>
      </c>
    </row>
    <row r="60" spans="2:86" ht="13.7" customHeight="1">
      <c r="AT60" s="749"/>
      <c r="AU60" s="752"/>
      <c r="AV60" s="717" t="s">
        <v>132</v>
      </c>
      <c r="AW60" s="717"/>
      <c r="AX60" s="717"/>
      <c r="AY60" s="717"/>
      <c r="AZ60" s="717"/>
      <c r="BA60" s="718"/>
      <c r="BB60" s="226"/>
      <c r="BC60" s="227"/>
      <c r="BD60" s="227"/>
      <c r="BE60" s="227"/>
      <c r="BF60" s="227"/>
      <c r="BG60" s="227"/>
      <c r="BH60" s="227"/>
      <c r="BI60" s="227"/>
      <c r="BJ60" s="228" t="str">
        <f t="shared" si="37"/>
        <v>-</v>
      </c>
      <c r="BK60" s="228" t="str">
        <f t="shared" si="38"/>
        <v>-</v>
      </c>
      <c r="BL60" s="229" t="str">
        <f t="shared" si="38"/>
        <v>-</v>
      </c>
      <c r="BM60" s="226"/>
      <c r="BN60" s="227"/>
      <c r="BO60" s="227"/>
      <c r="BP60" s="227"/>
      <c r="BQ60" s="227"/>
      <c r="BR60" s="227"/>
      <c r="BS60" s="227"/>
      <c r="BT60" s="227"/>
      <c r="BU60" s="228" t="str">
        <f t="shared" si="39"/>
        <v>-</v>
      </c>
      <c r="BV60" s="228" t="str">
        <f t="shared" si="40"/>
        <v>-</v>
      </c>
      <c r="BW60" s="229" t="str">
        <f t="shared" si="40"/>
        <v>-</v>
      </c>
      <c r="BX60" s="630"/>
      <c r="BY60" s="631"/>
      <c r="BZ60" s="631"/>
      <c r="CA60" s="631"/>
      <c r="CB60" s="631"/>
      <c r="CC60" s="631"/>
      <c r="CD60" s="631"/>
      <c r="CE60" s="631"/>
      <c r="CF60" s="228" t="str">
        <f t="shared" si="41"/>
        <v>-</v>
      </c>
      <c r="CG60" s="228" t="str">
        <f t="shared" si="42"/>
        <v>-</v>
      </c>
      <c r="CH60" s="229" t="str">
        <f t="shared" si="42"/>
        <v>-</v>
      </c>
    </row>
    <row r="61" spans="2:86" ht="13.7" customHeight="1">
      <c r="AT61" s="749"/>
      <c r="AU61" s="752"/>
      <c r="AV61" s="717" t="s">
        <v>78</v>
      </c>
      <c r="AW61" s="717"/>
      <c r="AX61" s="717"/>
      <c r="AY61" s="717"/>
      <c r="AZ61" s="717"/>
      <c r="BA61" s="718"/>
      <c r="BB61" s="226"/>
      <c r="BC61" s="227"/>
      <c r="BD61" s="227"/>
      <c r="BE61" s="227"/>
      <c r="BF61" s="227"/>
      <c r="BG61" s="227"/>
      <c r="BH61" s="227"/>
      <c r="BI61" s="227"/>
      <c r="BJ61" s="228" t="str">
        <f t="shared" si="37"/>
        <v>-</v>
      </c>
      <c r="BK61" s="228" t="str">
        <f t="shared" si="38"/>
        <v>-</v>
      </c>
      <c r="BL61" s="229" t="str">
        <f t="shared" si="38"/>
        <v>-</v>
      </c>
      <c r="BM61" s="226"/>
      <c r="BN61" s="227"/>
      <c r="BO61" s="227"/>
      <c r="BP61" s="227"/>
      <c r="BQ61" s="227"/>
      <c r="BR61" s="227"/>
      <c r="BS61" s="227"/>
      <c r="BT61" s="227"/>
      <c r="BU61" s="228" t="str">
        <f t="shared" si="39"/>
        <v>-</v>
      </c>
      <c r="BV61" s="228" t="str">
        <f t="shared" si="40"/>
        <v>-</v>
      </c>
      <c r="BW61" s="229" t="str">
        <f t="shared" si="40"/>
        <v>-</v>
      </c>
      <c r="BX61" s="630"/>
      <c r="BY61" s="631"/>
      <c r="BZ61" s="631"/>
      <c r="CA61" s="631"/>
      <c r="CB61" s="631"/>
      <c r="CC61" s="631"/>
      <c r="CD61" s="631"/>
      <c r="CE61" s="631"/>
      <c r="CF61" s="228" t="str">
        <f t="shared" si="41"/>
        <v>-</v>
      </c>
      <c r="CG61" s="228" t="str">
        <f t="shared" si="42"/>
        <v>-</v>
      </c>
      <c r="CH61" s="229" t="str">
        <f t="shared" si="42"/>
        <v>-</v>
      </c>
    </row>
    <row r="62" spans="2:86" ht="13.7" customHeight="1">
      <c r="AT62" s="749"/>
      <c r="AU62" s="753"/>
      <c r="AV62" s="717" t="s">
        <v>46</v>
      </c>
      <c r="AW62" s="717"/>
      <c r="AX62" s="717"/>
      <c r="AY62" s="717"/>
      <c r="AZ62" s="717"/>
      <c r="BA62" s="718"/>
      <c r="BB62" s="719"/>
      <c r="BC62" s="720"/>
      <c r="BD62" s="720"/>
      <c r="BE62" s="720"/>
      <c r="BF62" s="720"/>
      <c r="BG62" s="720"/>
      <c r="BH62" s="720"/>
      <c r="BI62" s="720"/>
      <c r="BJ62" s="551" t="str">
        <f t="shared" si="37"/>
        <v>-</v>
      </c>
      <c r="BK62" s="551" t="str">
        <f t="shared" si="38"/>
        <v>-</v>
      </c>
      <c r="BL62" s="552" t="str">
        <f t="shared" si="38"/>
        <v>-</v>
      </c>
      <c r="BM62" s="719"/>
      <c r="BN62" s="720"/>
      <c r="BO62" s="720"/>
      <c r="BP62" s="720"/>
      <c r="BQ62" s="720"/>
      <c r="BR62" s="720"/>
      <c r="BS62" s="720"/>
      <c r="BT62" s="720"/>
      <c r="BU62" s="551" t="str">
        <f t="shared" si="39"/>
        <v>-</v>
      </c>
      <c r="BV62" s="551" t="str">
        <f t="shared" si="40"/>
        <v>-</v>
      </c>
      <c r="BW62" s="552" t="str">
        <f t="shared" si="40"/>
        <v>-</v>
      </c>
      <c r="BX62" s="640"/>
      <c r="BY62" s="641"/>
      <c r="BZ62" s="641"/>
      <c r="CA62" s="641"/>
      <c r="CB62" s="641"/>
      <c r="CC62" s="641"/>
      <c r="CD62" s="641"/>
      <c r="CE62" s="641"/>
      <c r="CF62" s="551" t="str">
        <f t="shared" si="41"/>
        <v>-</v>
      </c>
      <c r="CG62" s="551" t="str">
        <f t="shared" si="42"/>
        <v>-</v>
      </c>
      <c r="CH62" s="552" t="str">
        <f t="shared" si="42"/>
        <v>-</v>
      </c>
    </row>
    <row r="63" spans="2:86" ht="13.7" customHeight="1" thickBot="1">
      <c r="AT63" s="750"/>
      <c r="AU63" s="713" t="s">
        <v>52</v>
      </c>
      <c r="AV63" s="713"/>
      <c r="AW63" s="713"/>
      <c r="AX63" s="713"/>
      <c r="AY63" s="713"/>
      <c r="AZ63" s="713"/>
      <c r="BA63" s="714"/>
      <c r="BB63" s="715"/>
      <c r="BC63" s="716"/>
      <c r="BD63" s="716"/>
      <c r="BE63" s="716"/>
      <c r="BF63" s="716"/>
      <c r="BG63" s="716"/>
      <c r="BH63" s="716"/>
      <c r="BI63" s="716"/>
      <c r="BJ63" s="593" t="str">
        <f t="shared" si="37"/>
        <v>-</v>
      </c>
      <c r="BK63" s="593" t="str">
        <f t="shared" si="38"/>
        <v>-</v>
      </c>
      <c r="BL63" s="594" t="str">
        <f t="shared" si="38"/>
        <v>-</v>
      </c>
      <c r="BM63" s="715"/>
      <c r="BN63" s="716"/>
      <c r="BO63" s="716"/>
      <c r="BP63" s="716"/>
      <c r="BQ63" s="716"/>
      <c r="BR63" s="716"/>
      <c r="BS63" s="716"/>
      <c r="BT63" s="716"/>
      <c r="BU63" s="593" t="str">
        <f t="shared" si="39"/>
        <v>-</v>
      </c>
      <c r="BV63" s="593" t="str">
        <f t="shared" si="40"/>
        <v>-</v>
      </c>
      <c r="BW63" s="594" t="str">
        <f t="shared" si="40"/>
        <v>-</v>
      </c>
      <c r="BX63" s="664"/>
      <c r="BY63" s="665"/>
      <c r="BZ63" s="665"/>
      <c r="CA63" s="665"/>
      <c r="CB63" s="665"/>
      <c r="CC63" s="665"/>
      <c r="CD63" s="665"/>
      <c r="CE63" s="665"/>
      <c r="CF63" s="593" t="str">
        <f t="shared" si="41"/>
        <v>-</v>
      </c>
      <c r="CG63" s="593" t="str">
        <f t="shared" si="42"/>
        <v>-</v>
      </c>
      <c r="CH63" s="594" t="str">
        <f t="shared" si="42"/>
        <v>-</v>
      </c>
    </row>
    <row r="64" spans="2:86" ht="13.7" customHeight="1">
      <c r="BZ64" s="5"/>
    </row>
    <row r="65" spans="43:78" ht="13.7" customHeight="1">
      <c r="BZ65" s="5"/>
    </row>
    <row r="66" spans="43:78" ht="13.7" customHeight="1">
      <c r="BM66" s="5"/>
      <c r="BN66" s="5"/>
      <c r="BS66" s="5"/>
      <c r="BT66" s="39"/>
      <c r="BU66" s="39"/>
    </row>
    <row r="71" spans="43:78" ht="13.7" customHeight="1">
      <c r="AR71" s="37"/>
    </row>
    <row r="76" spans="43:78" ht="13.7" customHeight="1">
      <c r="AQ76" s="20"/>
    </row>
    <row r="77" spans="43:78" ht="13.7" customHeight="1">
      <c r="BX77" s="39"/>
    </row>
    <row r="78" spans="43:78" ht="13.7" customHeight="1">
      <c r="BV78" s="39"/>
      <c r="BW78" s="39"/>
    </row>
    <row r="80" spans="43:78" ht="13.7" customHeight="1">
      <c r="BY80" s="39"/>
    </row>
    <row r="81" spans="78:80" ht="13.7" customHeight="1">
      <c r="BZ81" s="39"/>
      <c r="CA81" s="39"/>
      <c r="CB81" s="39"/>
    </row>
  </sheetData>
  <mergeCells count="928">
    <mergeCell ref="CA4:CD4"/>
    <mergeCell ref="G5:I5"/>
    <mergeCell ref="AH4:AK4"/>
    <mergeCell ref="AM4:AP4"/>
    <mergeCell ref="AR4:AU4"/>
    <mergeCell ref="AW4:AZ4"/>
    <mergeCell ref="BB4:BE4"/>
    <mergeCell ref="BG4:BJ4"/>
    <mergeCell ref="BL4:BO4"/>
    <mergeCell ref="BQ4:BT4"/>
    <mergeCell ref="BV4:BY4"/>
    <mergeCell ref="BQ49:BT49"/>
    <mergeCell ref="BU49:BW49"/>
    <mergeCell ref="AT49:BA49"/>
    <mergeCell ref="BB49:BE49"/>
    <mergeCell ref="BF49:BI49"/>
    <mergeCell ref="BJ49:BL49"/>
    <mergeCell ref="BQ50:BT50"/>
    <mergeCell ref="BU50:BW50"/>
    <mergeCell ref="BF50:BI50"/>
    <mergeCell ref="BJ50:BL50"/>
    <mergeCell ref="BM50:BP50"/>
    <mergeCell ref="AU50:BA50"/>
    <mergeCell ref="BB50:BE50"/>
    <mergeCell ref="B44:B46"/>
    <mergeCell ref="C44:H44"/>
    <mergeCell ref="I44:L44"/>
    <mergeCell ref="M44:P44"/>
    <mergeCell ref="Q44:S44"/>
    <mergeCell ref="T44:W44"/>
    <mergeCell ref="M45:P45"/>
    <mergeCell ref="Q45:S45"/>
    <mergeCell ref="BM49:BP49"/>
    <mergeCell ref="AM46:AO46"/>
    <mergeCell ref="C46:H46"/>
    <mergeCell ref="I46:L46"/>
    <mergeCell ref="M46:P46"/>
    <mergeCell ref="Q46:S46"/>
    <mergeCell ref="T46:W46"/>
    <mergeCell ref="X46:AA46"/>
    <mergeCell ref="AB46:AD46"/>
    <mergeCell ref="AE46:AH46"/>
    <mergeCell ref="AI46:AL46"/>
    <mergeCell ref="T45:W45"/>
    <mergeCell ref="X45:AA45"/>
    <mergeCell ref="AB45:AD45"/>
    <mergeCell ref="AE45:AH45"/>
    <mergeCell ref="AI45:AL45"/>
    <mergeCell ref="BQ47:BT47"/>
    <mergeCell ref="BU47:BW47"/>
    <mergeCell ref="X43:AA43"/>
    <mergeCell ref="AB43:AD43"/>
    <mergeCell ref="AT48:BA48"/>
    <mergeCell ref="BB48:BL48"/>
    <mergeCell ref="BM48:BW48"/>
    <mergeCell ref="AW47:BA47"/>
    <mergeCell ref="BB47:BE47"/>
    <mergeCell ref="BF47:BI47"/>
    <mergeCell ref="BJ47:BL47"/>
    <mergeCell ref="BM47:BP47"/>
    <mergeCell ref="BU46:BW46"/>
    <mergeCell ref="AU46:BA46"/>
    <mergeCell ref="BB46:BE46"/>
    <mergeCell ref="BF46:BI46"/>
    <mergeCell ref="BJ46:BL46"/>
    <mergeCell ref="BM46:BP46"/>
    <mergeCell ref="BQ46:BT46"/>
    <mergeCell ref="BQ43:BT43"/>
    <mergeCell ref="BU43:BW43"/>
    <mergeCell ref="BJ44:BL44"/>
    <mergeCell ref="BQ44:BT44"/>
    <mergeCell ref="BU44:BW44"/>
    <mergeCell ref="AM45:AO45"/>
    <mergeCell ref="C45:H45"/>
    <mergeCell ref="I45:L45"/>
    <mergeCell ref="BQ45:BT45"/>
    <mergeCell ref="BU45:BW45"/>
    <mergeCell ref="X44:AA44"/>
    <mergeCell ref="AB44:AD44"/>
    <mergeCell ref="AE44:AH44"/>
    <mergeCell ref="AI44:AL44"/>
    <mergeCell ref="AM44:AO44"/>
    <mergeCell ref="AU45:BA45"/>
    <mergeCell ref="BM44:BP44"/>
    <mergeCell ref="BM45:BP45"/>
    <mergeCell ref="BB45:BE45"/>
    <mergeCell ref="BF45:BI45"/>
    <mergeCell ref="BJ45:BL45"/>
    <mergeCell ref="BB44:BE44"/>
    <mergeCell ref="BF44:BI44"/>
    <mergeCell ref="AU44:BA44"/>
    <mergeCell ref="AB41:AD41"/>
    <mergeCell ref="AE41:AH41"/>
    <mergeCell ref="AI41:AL41"/>
    <mergeCell ref="AM41:AO41"/>
    <mergeCell ref="D41:H41"/>
    <mergeCell ref="I41:L41"/>
    <mergeCell ref="M41:P41"/>
    <mergeCell ref="Q41:S41"/>
    <mergeCell ref="AE43:AH43"/>
    <mergeCell ref="AI43:AL43"/>
    <mergeCell ref="AM43:AO43"/>
    <mergeCell ref="BJ43:BL43"/>
    <mergeCell ref="BM43:BP43"/>
    <mergeCell ref="C43:H43"/>
    <mergeCell ref="I43:L43"/>
    <mergeCell ref="M43:P43"/>
    <mergeCell ref="Q43:S43"/>
    <mergeCell ref="T43:W43"/>
    <mergeCell ref="BF41:BI41"/>
    <mergeCell ref="BJ41:BL41"/>
    <mergeCell ref="BM41:BP41"/>
    <mergeCell ref="AB42:AD42"/>
    <mergeCell ref="AE42:AH42"/>
    <mergeCell ref="AI42:AL42"/>
    <mergeCell ref="AM42:AO42"/>
    <mergeCell ref="X41:AA41"/>
    <mergeCell ref="Q42:S42"/>
    <mergeCell ref="T42:W42"/>
    <mergeCell ref="X42:AA42"/>
    <mergeCell ref="AU43:BA43"/>
    <mergeCell ref="BB43:BE43"/>
    <mergeCell ref="D42:H42"/>
    <mergeCell ref="I42:L42"/>
    <mergeCell ref="M42:P42"/>
    <mergeCell ref="BF43:BI43"/>
    <mergeCell ref="BQ41:BT41"/>
    <mergeCell ref="BU41:BW41"/>
    <mergeCell ref="AU41:BA41"/>
    <mergeCell ref="BB41:BE41"/>
    <mergeCell ref="BJ40:BL40"/>
    <mergeCell ref="BM40:BP40"/>
    <mergeCell ref="BQ39:BT39"/>
    <mergeCell ref="BU39:BW39"/>
    <mergeCell ref="AU39:BA39"/>
    <mergeCell ref="BB39:BE39"/>
    <mergeCell ref="BF39:BI39"/>
    <mergeCell ref="BJ39:BL39"/>
    <mergeCell ref="BM39:BP39"/>
    <mergeCell ref="AB40:AD40"/>
    <mergeCell ref="AE40:AH40"/>
    <mergeCell ref="AI40:AL40"/>
    <mergeCell ref="AM40:AO40"/>
    <mergeCell ref="BQ40:BT40"/>
    <mergeCell ref="BU40:BW40"/>
    <mergeCell ref="AB39:AD39"/>
    <mergeCell ref="AE39:AH39"/>
    <mergeCell ref="AI39:AL39"/>
    <mergeCell ref="AM39:AO39"/>
    <mergeCell ref="AU40:BA40"/>
    <mergeCell ref="BB40:BE40"/>
    <mergeCell ref="BF40:BI40"/>
    <mergeCell ref="D37:H37"/>
    <mergeCell ref="I37:L37"/>
    <mergeCell ref="M37:P37"/>
    <mergeCell ref="D38:H38"/>
    <mergeCell ref="I38:L38"/>
    <mergeCell ref="M38:P38"/>
    <mergeCell ref="Q38:S38"/>
    <mergeCell ref="T38:W38"/>
    <mergeCell ref="X38:AA38"/>
    <mergeCell ref="Q37:S37"/>
    <mergeCell ref="T37:W37"/>
    <mergeCell ref="X37:AA37"/>
    <mergeCell ref="D40:H40"/>
    <mergeCell ref="I40:L40"/>
    <mergeCell ref="C39:C42"/>
    <mergeCell ref="D39:H39"/>
    <mergeCell ref="I39:L39"/>
    <mergeCell ref="M39:P39"/>
    <mergeCell ref="Q39:S39"/>
    <mergeCell ref="T39:W39"/>
    <mergeCell ref="X39:AA39"/>
    <mergeCell ref="M40:P40"/>
    <mergeCell ref="Q40:S40"/>
    <mergeCell ref="T40:W40"/>
    <mergeCell ref="X40:AA40"/>
    <mergeCell ref="T41:W41"/>
    <mergeCell ref="AB37:AD37"/>
    <mergeCell ref="AE37:AH37"/>
    <mergeCell ref="AI37:AL37"/>
    <mergeCell ref="AM37:AO37"/>
    <mergeCell ref="Q36:S36"/>
    <mergeCell ref="T36:W36"/>
    <mergeCell ref="X36:AA36"/>
    <mergeCell ref="AB36:AD36"/>
    <mergeCell ref="AM38:AO38"/>
    <mergeCell ref="AB38:AD38"/>
    <mergeCell ref="AE38:AH38"/>
    <mergeCell ref="AI38:AL38"/>
    <mergeCell ref="BM36:BP36"/>
    <mergeCell ref="BQ36:BT36"/>
    <mergeCell ref="BU36:BW36"/>
    <mergeCell ref="AU36:BA36"/>
    <mergeCell ref="BF37:BI37"/>
    <mergeCell ref="BJ37:BL37"/>
    <mergeCell ref="BM37:BP37"/>
    <mergeCell ref="BQ37:BT37"/>
    <mergeCell ref="AU37:AW38"/>
    <mergeCell ref="AX37:BA37"/>
    <mergeCell ref="BU37:BW37"/>
    <mergeCell ref="BU38:BW38"/>
    <mergeCell ref="BB38:BE38"/>
    <mergeCell ref="BF38:BI38"/>
    <mergeCell ref="BJ38:BL38"/>
    <mergeCell ref="BM38:BP38"/>
    <mergeCell ref="BQ38:BT38"/>
    <mergeCell ref="BB37:BE37"/>
    <mergeCell ref="AX38:BA38"/>
    <mergeCell ref="BQ33:BT33"/>
    <mergeCell ref="BU33:BW33"/>
    <mergeCell ref="BF33:BI33"/>
    <mergeCell ref="BQ34:BT34"/>
    <mergeCell ref="BU34:BW34"/>
    <mergeCell ref="BQ35:BT35"/>
    <mergeCell ref="BU35:BW35"/>
    <mergeCell ref="BB35:BE35"/>
    <mergeCell ref="BF35:BI35"/>
    <mergeCell ref="BJ35:BL35"/>
    <mergeCell ref="BJ34:BL34"/>
    <mergeCell ref="BM34:BP34"/>
    <mergeCell ref="BM35:BP35"/>
    <mergeCell ref="BM33:BP33"/>
    <mergeCell ref="BB34:BE34"/>
    <mergeCell ref="BF34:BI34"/>
    <mergeCell ref="B32:H33"/>
    <mergeCell ref="I32:S32"/>
    <mergeCell ref="Q34:S34"/>
    <mergeCell ref="T35:W35"/>
    <mergeCell ref="X35:AA35"/>
    <mergeCell ref="AB35:AD35"/>
    <mergeCell ref="AE35:AH35"/>
    <mergeCell ref="AM34:AO34"/>
    <mergeCell ref="AU34:BA34"/>
    <mergeCell ref="AI35:AL35"/>
    <mergeCell ref="AM35:AO35"/>
    <mergeCell ref="AU35:BA35"/>
    <mergeCell ref="X34:AA34"/>
    <mergeCell ref="AB34:AD34"/>
    <mergeCell ref="AE34:AH34"/>
    <mergeCell ref="AI34:AL34"/>
    <mergeCell ref="D34:D36"/>
    <mergeCell ref="E34:H34"/>
    <mergeCell ref="E35:H35"/>
    <mergeCell ref="E36:H36"/>
    <mergeCell ref="I34:L34"/>
    <mergeCell ref="M34:P34"/>
    <mergeCell ref="AE33:AH33"/>
    <mergeCell ref="AI33:AL33"/>
    <mergeCell ref="I35:L35"/>
    <mergeCell ref="M35:P35"/>
    <mergeCell ref="Q35:S35"/>
    <mergeCell ref="T34:W34"/>
    <mergeCell ref="BJ33:BL33"/>
    <mergeCell ref="BB36:BE36"/>
    <mergeCell ref="BF36:BI36"/>
    <mergeCell ref="T32:AD32"/>
    <mergeCell ref="AE32:AO32"/>
    <mergeCell ref="BJ36:BL36"/>
    <mergeCell ref="I36:L36"/>
    <mergeCell ref="M36:P36"/>
    <mergeCell ref="AM33:AO33"/>
    <mergeCell ref="AU33:BA33"/>
    <mergeCell ref="BB33:BE33"/>
    <mergeCell ref="I33:L33"/>
    <mergeCell ref="M33:P33"/>
    <mergeCell ref="Q33:S33"/>
    <mergeCell ref="T33:W33"/>
    <mergeCell ref="X33:AA33"/>
    <mergeCell ref="AB33:AD33"/>
    <mergeCell ref="AE36:AH36"/>
    <mergeCell ref="AI36:AL36"/>
    <mergeCell ref="AM36:AO36"/>
    <mergeCell ref="AE31:AH31"/>
    <mergeCell ref="AI31:AL31"/>
    <mergeCell ref="BF31:BI31"/>
    <mergeCell ref="BJ31:BL31"/>
    <mergeCell ref="BM31:BP31"/>
    <mergeCell ref="X31:AA31"/>
    <mergeCell ref="AM31:AO31"/>
    <mergeCell ref="AU31:BA31"/>
    <mergeCell ref="BB31:BE31"/>
    <mergeCell ref="AB31:AD31"/>
    <mergeCell ref="BF30:BI30"/>
    <mergeCell ref="AU30:BA30"/>
    <mergeCell ref="BB30:BE30"/>
    <mergeCell ref="AM29:AO29"/>
    <mergeCell ref="AU29:BA29"/>
    <mergeCell ref="BB29:BE29"/>
    <mergeCell ref="BQ31:BT31"/>
    <mergeCell ref="BU31:BW31"/>
    <mergeCell ref="BM28:BP28"/>
    <mergeCell ref="BQ28:BT28"/>
    <mergeCell ref="BU28:BW28"/>
    <mergeCell ref="AX28:BA28"/>
    <mergeCell ref="BB28:BE28"/>
    <mergeCell ref="BM30:BP30"/>
    <mergeCell ref="BQ30:BT30"/>
    <mergeCell ref="BU30:BW30"/>
    <mergeCell ref="BJ29:BL29"/>
    <mergeCell ref="BM29:BP29"/>
    <mergeCell ref="BQ29:BT29"/>
    <mergeCell ref="BU29:BW29"/>
    <mergeCell ref="BJ30:BL30"/>
    <mergeCell ref="AM28:AO28"/>
    <mergeCell ref="E29:H29"/>
    <mergeCell ref="I29:L29"/>
    <mergeCell ref="M29:P29"/>
    <mergeCell ref="Q29:S29"/>
    <mergeCell ref="T29:W29"/>
    <mergeCell ref="X29:AA29"/>
    <mergeCell ref="AB29:AD29"/>
    <mergeCell ref="AE29:AH29"/>
    <mergeCell ref="D30:H30"/>
    <mergeCell ref="I30:L30"/>
    <mergeCell ref="M30:P30"/>
    <mergeCell ref="Q30:S30"/>
    <mergeCell ref="T30:W30"/>
    <mergeCell ref="X30:AA30"/>
    <mergeCell ref="AB30:AD30"/>
    <mergeCell ref="AE30:AH30"/>
    <mergeCell ref="AI30:AL30"/>
    <mergeCell ref="AM30:AO30"/>
    <mergeCell ref="BF29:BI29"/>
    <mergeCell ref="Q25:S25"/>
    <mergeCell ref="T25:W25"/>
    <mergeCell ref="X25:AA25"/>
    <mergeCell ref="AM25:AO25"/>
    <mergeCell ref="C31:H31"/>
    <mergeCell ref="I31:L31"/>
    <mergeCell ref="M31:P31"/>
    <mergeCell ref="Q31:S31"/>
    <mergeCell ref="T31:W31"/>
    <mergeCell ref="AI29:AL29"/>
    <mergeCell ref="Q27:S27"/>
    <mergeCell ref="T27:W27"/>
    <mergeCell ref="X27:AA27"/>
    <mergeCell ref="AM26:AO26"/>
    <mergeCell ref="D28:H28"/>
    <mergeCell ref="I28:L28"/>
    <mergeCell ref="M28:P28"/>
    <mergeCell ref="Q28:S28"/>
    <mergeCell ref="T28:W28"/>
    <mergeCell ref="X28:AA28"/>
    <mergeCell ref="AB27:AD27"/>
    <mergeCell ref="AE27:AH27"/>
    <mergeCell ref="AI27:AL27"/>
    <mergeCell ref="AM27:AO27"/>
    <mergeCell ref="D26:H26"/>
    <mergeCell ref="I26:L26"/>
    <mergeCell ref="M26:P26"/>
    <mergeCell ref="Q26:S26"/>
    <mergeCell ref="T26:W26"/>
    <mergeCell ref="X26:AA26"/>
    <mergeCell ref="AB26:AD26"/>
    <mergeCell ref="AE26:AH26"/>
    <mergeCell ref="AI26:AL26"/>
    <mergeCell ref="AB28:AD28"/>
    <mergeCell ref="AE28:AH28"/>
    <mergeCell ref="AI28:AL28"/>
    <mergeCell ref="BM25:BW25"/>
    <mergeCell ref="BU24:BW24"/>
    <mergeCell ref="BJ26:BL26"/>
    <mergeCell ref="BM26:BP26"/>
    <mergeCell ref="BQ26:BT26"/>
    <mergeCell ref="BU26:BW26"/>
    <mergeCell ref="AX26:BA26"/>
    <mergeCell ref="BB26:BE26"/>
    <mergeCell ref="BF26:BI26"/>
    <mergeCell ref="BB25:BL25"/>
    <mergeCell ref="BM24:BP24"/>
    <mergeCell ref="BQ24:BT24"/>
    <mergeCell ref="BJ24:BL24"/>
    <mergeCell ref="AT25:BA25"/>
    <mergeCell ref="AU26:AW28"/>
    <mergeCell ref="BF27:BI27"/>
    <mergeCell ref="BF28:BI28"/>
    <mergeCell ref="BJ27:BL27"/>
    <mergeCell ref="BM27:BP27"/>
    <mergeCell ref="BQ27:BT27"/>
    <mergeCell ref="BU27:BW27"/>
    <mergeCell ref="AX27:BA27"/>
    <mergeCell ref="BB27:BE27"/>
    <mergeCell ref="BJ28:BL28"/>
    <mergeCell ref="AM23:AO23"/>
    <mergeCell ref="AM22:AO22"/>
    <mergeCell ref="BU22:BW22"/>
    <mergeCell ref="D24:H24"/>
    <mergeCell ref="I24:L24"/>
    <mergeCell ref="M24:P24"/>
    <mergeCell ref="Q24:S24"/>
    <mergeCell ref="T24:W24"/>
    <mergeCell ref="X24:AA24"/>
    <mergeCell ref="AB24:AD24"/>
    <mergeCell ref="AE24:AH24"/>
    <mergeCell ref="D22:H22"/>
    <mergeCell ref="I22:L22"/>
    <mergeCell ref="BU23:BW23"/>
    <mergeCell ref="D23:H23"/>
    <mergeCell ref="I23:L23"/>
    <mergeCell ref="M23:P23"/>
    <mergeCell ref="AU22:BA22"/>
    <mergeCell ref="BB22:BE22"/>
    <mergeCell ref="BF22:BI22"/>
    <mergeCell ref="BJ22:BL22"/>
    <mergeCell ref="BM22:BP22"/>
    <mergeCell ref="BQ22:BT22"/>
    <mergeCell ref="BM20:BW20"/>
    <mergeCell ref="BQ23:BT23"/>
    <mergeCell ref="BM23:BP23"/>
    <mergeCell ref="AU23:BA23"/>
    <mergeCell ref="BB23:BE23"/>
    <mergeCell ref="BF23:BI23"/>
    <mergeCell ref="BJ23:BL23"/>
    <mergeCell ref="BB21:BE21"/>
    <mergeCell ref="BF21:BI21"/>
    <mergeCell ref="BJ21:BL21"/>
    <mergeCell ref="BM21:BP21"/>
    <mergeCell ref="BQ21:BT21"/>
    <mergeCell ref="BU21:BW21"/>
    <mergeCell ref="B20:B31"/>
    <mergeCell ref="C20:C24"/>
    <mergeCell ref="D20:H20"/>
    <mergeCell ref="I20:L20"/>
    <mergeCell ref="M20:P20"/>
    <mergeCell ref="AM24:AO24"/>
    <mergeCell ref="AW24:BA24"/>
    <mergeCell ref="BB24:BE24"/>
    <mergeCell ref="BF24:BI24"/>
    <mergeCell ref="AT21:AT24"/>
    <mergeCell ref="AU21:BA21"/>
    <mergeCell ref="AT20:BA20"/>
    <mergeCell ref="BB20:BL20"/>
    <mergeCell ref="AM20:AO20"/>
    <mergeCell ref="AM21:AO21"/>
    <mergeCell ref="Q23:S23"/>
    <mergeCell ref="T23:W23"/>
    <mergeCell ref="X23:AA23"/>
    <mergeCell ref="AB23:AD23"/>
    <mergeCell ref="AE23:AH23"/>
    <mergeCell ref="AI23:AL23"/>
    <mergeCell ref="AB25:AD25"/>
    <mergeCell ref="AE25:AH25"/>
    <mergeCell ref="AI25:AL25"/>
    <mergeCell ref="AB19:AD19"/>
    <mergeCell ref="AE19:AH19"/>
    <mergeCell ref="AI19:AL19"/>
    <mergeCell ref="M22:P22"/>
    <mergeCell ref="Q22:S22"/>
    <mergeCell ref="T22:W22"/>
    <mergeCell ref="X22:AA22"/>
    <mergeCell ref="C25:C30"/>
    <mergeCell ref="D25:H25"/>
    <mergeCell ref="I25:L25"/>
    <mergeCell ref="AB21:AD21"/>
    <mergeCell ref="AE21:AH21"/>
    <mergeCell ref="D21:H21"/>
    <mergeCell ref="I21:L21"/>
    <mergeCell ref="M21:P21"/>
    <mergeCell ref="Q21:S21"/>
    <mergeCell ref="T21:W21"/>
    <mergeCell ref="X21:AA21"/>
    <mergeCell ref="AI24:AL24"/>
    <mergeCell ref="AB22:AD22"/>
    <mergeCell ref="M25:P25"/>
    <mergeCell ref="D27:H27"/>
    <mergeCell ref="I27:L27"/>
    <mergeCell ref="M27:P27"/>
    <mergeCell ref="B10:B19"/>
    <mergeCell ref="C10:C14"/>
    <mergeCell ref="D10:H10"/>
    <mergeCell ref="I10:L10"/>
    <mergeCell ref="M10:P10"/>
    <mergeCell ref="Q10:S10"/>
    <mergeCell ref="T10:W10"/>
    <mergeCell ref="AE22:AH22"/>
    <mergeCell ref="AI22:AL22"/>
    <mergeCell ref="C19:H19"/>
    <mergeCell ref="I19:L19"/>
    <mergeCell ref="M19:P19"/>
    <mergeCell ref="Q19:S19"/>
    <mergeCell ref="T19:W19"/>
    <mergeCell ref="X19:AA19"/>
    <mergeCell ref="AI21:AL21"/>
    <mergeCell ref="AB20:AD20"/>
    <mergeCell ref="AE20:AH20"/>
    <mergeCell ref="AI20:AL20"/>
    <mergeCell ref="Q20:S20"/>
    <mergeCell ref="T20:W20"/>
    <mergeCell ref="X20:AA20"/>
    <mergeCell ref="AE18:AH18"/>
    <mergeCell ref="AI18:AL18"/>
    <mergeCell ref="AM18:AO18"/>
    <mergeCell ref="AU18:BA18"/>
    <mergeCell ref="BF19:BI19"/>
    <mergeCell ref="BJ19:BL19"/>
    <mergeCell ref="BM19:BP19"/>
    <mergeCell ref="BQ19:BT19"/>
    <mergeCell ref="BU19:BW19"/>
    <mergeCell ref="AW19:BA19"/>
    <mergeCell ref="BB19:BE19"/>
    <mergeCell ref="AM19:AO19"/>
    <mergeCell ref="BF17:BI17"/>
    <mergeCell ref="BJ17:BL17"/>
    <mergeCell ref="BM17:BP17"/>
    <mergeCell ref="BQ17:BT17"/>
    <mergeCell ref="BU17:BW17"/>
    <mergeCell ref="D18:H18"/>
    <mergeCell ref="I18:L18"/>
    <mergeCell ref="M18:P18"/>
    <mergeCell ref="Q18:S18"/>
    <mergeCell ref="T18:W18"/>
    <mergeCell ref="AB17:AD17"/>
    <mergeCell ref="AE17:AH17"/>
    <mergeCell ref="AI17:AL17"/>
    <mergeCell ref="AM17:AO17"/>
    <mergeCell ref="AU17:BA17"/>
    <mergeCell ref="BB17:BE17"/>
    <mergeCell ref="BB18:BE18"/>
    <mergeCell ref="BF18:BI18"/>
    <mergeCell ref="BJ18:BL18"/>
    <mergeCell ref="BM18:BP18"/>
    <mergeCell ref="BQ18:BT18"/>
    <mergeCell ref="BU18:BW18"/>
    <mergeCell ref="X18:AA18"/>
    <mergeCell ref="AB18:AD18"/>
    <mergeCell ref="D17:H17"/>
    <mergeCell ref="I17:L17"/>
    <mergeCell ref="M17:P17"/>
    <mergeCell ref="Q17:S17"/>
    <mergeCell ref="T17:W17"/>
    <mergeCell ref="X17:AA17"/>
    <mergeCell ref="AE16:AH16"/>
    <mergeCell ref="AI16:AL16"/>
    <mergeCell ref="AM16:AO16"/>
    <mergeCell ref="M16:P16"/>
    <mergeCell ref="Q16:S16"/>
    <mergeCell ref="T16:W16"/>
    <mergeCell ref="X16:AA16"/>
    <mergeCell ref="AB16:AD16"/>
    <mergeCell ref="D16:H16"/>
    <mergeCell ref="I16:L16"/>
    <mergeCell ref="BF15:BI15"/>
    <mergeCell ref="BJ15:BL15"/>
    <mergeCell ref="BJ16:BL16"/>
    <mergeCell ref="BM16:BP16"/>
    <mergeCell ref="BQ16:BT16"/>
    <mergeCell ref="BU16:BW16"/>
    <mergeCell ref="AU16:BA16"/>
    <mergeCell ref="BB16:BE16"/>
    <mergeCell ref="BF16:BI16"/>
    <mergeCell ref="BQ15:BT15"/>
    <mergeCell ref="BU15:BW15"/>
    <mergeCell ref="AI15:AL15"/>
    <mergeCell ref="AM15:AO15"/>
    <mergeCell ref="AU15:BA15"/>
    <mergeCell ref="BB15:BE15"/>
    <mergeCell ref="BM13:BP13"/>
    <mergeCell ref="BQ13:BT13"/>
    <mergeCell ref="AM14:AO14"/>
    <mergeCell ref="BU14:BW14"/>
    <mergeCell ref="C15:C18"/>
    <mergeCell ref="D15:H15"/>
    <mergeCell ref="I15:L15"/>
    <mergeCell ref="M15:P15"/>
    <mergeCell ref="Q15:S15"/>
    <mergeCell ref="T15:W15"/>
    <mergeCell ref="X15:AA15"/>
    <mergeCell ref="AB15:AD15"/>
    <mergeCell ref="AE15:AH15"/>
    <mergeCell ref="AU14:BA14"/>
    <mergeCell ref="BB14:BE14"/>
    <mergeCell ref="BF14:BI14"/>
    <mergeCell ref="BJ14:BL14"/>
    <mergeCell ref="BM14:BP14"/>
    <mergeCell ref="BQ14:BT14"/>
    <mergeCell ref="BM15:BP15"/>
    <mergeCell ref="BJ13:BL13"/>
    <mergeCell ref="D14:H14"/>
    <mergeCell ref="I14:L14"/>
    <mergeCell ref="M14:P14"/>
    <mergeCell ref="Q14:S14"/>
    <mergeCell ref="T14:W14"/>
    <mergeCell ref="X14:AA14"/>
    <mergeCell ref="AB14:AD14"/>
    <mergeCell ref="AE14:AH14"/>
    <mergeCell ref="AI14:AL14"/>
    <mergeCell ref="D13:H13"/>
    <mergeCell ref="I13:L13"/>
    <mergeCell ref="M13:P13"/>
    <mergeCell ref="Q13:S13"/>
    <mergeCell ref="T13:W13"/>
    <mergeCell ref="X13:AA13"/>
    <mergeCell ref="AB13:AD13"/>
    <mergeCell ref="AE13:AH13"/>
    <mergeCell ref="AI13:AL13"/>
    <mergeCell ref="D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D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8:H9"/>
    <mergeCell ref="Q9:S9"/>
    <mergeCell ref="T9:W9"/>
    <mergeCell ref="X9:AA9"/>
    <mergeCell ref="AB9:AD9"/>
    <mergeCell ref="I9:L9"/>
    <mergeCell ref="M9:P9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AB4:AF4"/>
    <mergeCell ref="G4:I4"/>
    <mergeCell ref="BQ11:BT11"/>
    <mergeCell ref="AT10:AT19"/>
    <mergeCell ref="AM11:AO11"/>
    <mergeCell ref="AM12:AO12"/>
    <mergeCell ref="AM13:AO13"/>
    <mergeCell ref="BU13:BW13"/>
    <mergeCell ref="AU13:BA13"/>
    <mergeCell ref="BB13:BE13"/>
    <mergeCell ref="BF13:BI13"/>
    <mergeCell ref="BU12:BW12"/>
    <mergeCell ref="AU12:BA12"/>
    <mergeCell ref="BB12:BE12"/>
    <mergeCell ref="BF12:BI12"/>
    <mergeCell ref="BJ12:BL12"/>
    <mergeCell ref="BM12:BP12"/>
    <mergeCell ref="BQ12:BT12"/>
    <mergeCell ref="BU10:BW10"/>
    <mergeCell ref="AU10:BA10"/>
    <mergeCell ref="BB10:BE10"/>
    <mergeCell ref="BF10:BI10"/>
    <mergeCell ref="BJ10:BL10"/>
    <mergeCell ref="BM10:BP10"/>
    <mergeCell ref="BQ10:BT10"/>
    <mergeCell ref="BU11:BW11"/>
    <mergeCell ref="X10:AA10"/>
    <mergeCell ref="AB10:AD10"/>
    <mergeCell ref="AE10:AH10"/>
    <mergeCell ref="AI10:AL10"/>
    <mergeCell ref="AM10:AO10"/>
    <mergeCell ref="BM11:BP11"/>
    <mergeCell ref="AU11:BA11"/>
    <mergeCell ref="BB11:BE11"/>
    <mergeCell ref="BF11:BI11"/>
    <mergeCell ref="BJ11:BL11"/>
    <mergeCell ref="BM9:BP9"/>
    <mergeCell ref="BQ9:BT9"/>
    <mergeCell ref="BU9:BW9"/>
    <mergeCell ref="AE9:AH9"/>
    <mergeCell ref="AI9:AL9"/>
    <mergeCell ref="AM9:AO9"/>
    <mergeCell ref="I8:S8"/>
    <mergeCell ref="T8:AD8"/>
    <mergeCell ref="AE8:AO8"/>
    <mergeCell ref="AT8:BA9"/>
    <mergeCell ref="BB8:BL8"/>
    <mergeCell ref="BB9:BE9"/>
    <mergeCell ref="BF9:BI9"/>
    <mergeCell ref="BJ9:BL9"/>
    <mergeCell ref="BM8:BW8"/>
    <mergeCell ref="B47:H48"/>
    <mergeCell ref="I47:S47"/>
    <mergeCell ref="T47:AD47"/>
    <mergeCell ref="AE47:AO47"/>
    <mergeCell ref="I48:L48"/>
    <mergeCell ref="M48:P48"/>
    <mergeCell ref="Q48:S48"/>
    <mergeCell ref="T48:W48"/>
    <mergeCell ref="X48:AA48"/>
    <mergeCell ref="AB48:AD48"/>
    <mergeCell ref="AE48:AH48"/>
    <mergeCell ref="AI48:AL48"/>
    <mergeCell ref="AM48:AO48"/>
    <mergeCell ref="B49:B54"/>
    <mergeCell ref="C49:H49"/>
    <mergeCell ref="I49:L49"/>
    <mergeCell ref="M49:P49"/>
    <mergeCell ref="Q49:S49"/>
    <mergeCell ref="T49:W49"/>
    <mergeCell ref="X49:AA49"/>
    <mergeCell ref="AB49:AD49"/>
    <mergeCell ref="AE49:AH49"/>
    <mergeCell ref="I52:L52"/>
    <mergeCell ref="M52:P52"/>
    <mergeCell ref="Q52:S52"/>
    <mergeCell ref="T52:W52"/>
    <mergeCell ref="X52:AA52"/>
    <mergeCell ref="AB52:AD52"/>
    <mergeCell ref="AE52:AH52"/>
    <mergeCell ref="C54:H54"/>
    <mergeCell ref="I54:L54"/>
    <mergeCell ref="M54:P54"/>
    <mergeCell ref="Q54:S54"/>
    <mergeCell ref="T54:W54"/>
    <mergeCell ref="X54:AA54"/>
    <mergeCell ref="AB54:AD54"/>
    <mergeCell ref="AE54:AH54"/>
    <mergeCell ref="C50:C53"/>
    <mergeCell ref="D50:H50"/>
    <mergeCell ref="I50:L50"/>
    <mergeCell ref="M50:P50"/>
    <mergeCell ref="Q50:S50"/>
    <mergeCell ref="T50:W50"/>
    <mergeCell ref="X50:AA50"/>
    <mergeCell ref="AB50:AD50"/>
    <mergeCell ref="AE50:AH50"/>
    <mergeCell ref="D51:H51"/>
    <mergeCell ref="I51:L51"/>
    <mergeCell ref="M51:P51"/>
    <mergeCell ref="Q51:S51"/>
    <mergeCell ref="T51:W51"/>
    <mergeCell ref="X51:AA51"/>
    <mergeCell ref="AB51:AD51"/>
    <mergeCell ref="AE51:AH51"/>
    <mergeCell ref="D52:H52"/>
    <mergeCell ref="M53:P53"/>
    <mergeCell ref="Q53:S53"/>
    <mergeCell ref="T53:W53"/>
    <mergeCell ref="X53:AA53"/>
    <mergeCell ref="AB53:AD53"/>
    <mergeCell ref="AE53:AH53"/>
    <mergeCell ref="AI56:AL56"/>
    <mergeCell ref="AI53:AL53"/>
    <mergeCell ref="AM53:AO53"/>
    <mergeCell ref="AI49:AL49"/>
    <mergeCell ref="AM49:AO49"/>
    <mergeCell ref="AI50:AL50"/>
    <mergeCell ref="AM50:AO50"/>
    <mergeCell ref="AI51:AL51"/>
    <mergeCell ref="AM51:AO51"/>
    <mergeCell ref="AI55:AL55"/>
    <mergeCell ref="AM55:AO55"/>
    <mergeCell ref="AM56:AO56"/>
    <mergeCell ref="B55:B57"/>
    <mergeCell ref="C55:H55"/>
    <mergeCell ref="I55:L55"/>
    <mergeCell ref="M55:P55"/>
    <mergeCell ref="Q55:S55"/>
    <mergeCell ref="T55:W55"/>
    <mergeCell ref="X55:AA55"/>
    <mergeCell ref="AB55:AD55"/>
    <mergeCell ref="AE55:AH55"/>
    <mergeCell ref="C57:H57"/>
    <mergeCell ref="I57:L57"/>
    <mergeCell ref="M57:P57"/>
    <mergeCell ref="Q57:S57"/>
    <mergeCell ref="T57:W57"/>
    <mergeCell ref="X57:AA57"/>
    <mergeCell ref="AB57:AD57"/>
    <mergeCell ref="AE57:AH57"/>
    <mergeCell ref="T56:W56"/>
    <mergeCell ref="X56:AA56"/>
    <mergeCell ref="AB56:AD56"/>
    <mergeCell ref="AE56:AH56"/>
    <mergeCell ref="AI57:AL57"/>
    <mergeCell ref="AM57:AO57"/>
    <mergeCell ref="C56:H56"/>
    <mergeCell ref="I56:L56"/>
    <mergeCell ref="M56:P56"/>
    <mergeCell ref="Q56:S56"/>
    <mergeCell ref="C34:C38"/>
    <mergeCell ref="B34:B43"/>
    <mergeCell ref="AU32:BA32"/>
    <mergeCell ref="AU42:BA42"/>
    <mergeCell ref="AT26:AT47"/>
    <mergeCell ref="AT53:BA54"/>
    <mergeCell ref="AI54:AL54"/>
    <mergeCell ref="AM54:AO54"/>
    <mergeCell ref="AI52:AL52"/>
    <mergeCell ref="AM52:AO52"/>
    <mergeCell ref="D53:H53"/>
    <mergeCell ref="I53:L53"/>
    <mergeCell ref="AT55:AT63"/>
    <mergeCell ref="AU55:AU58"/>
    <mergeCell ref="AV55:BA55"/>
    <mergeCell ref="AU59:AU62"/>
    <mergeCell ref="AV59:BA59"/>
    <mergeCell ref="AV61:BA61"/>
    <mergeCell ref="BX53:CH53"/>
    <mergeCell ref="BB54:BE54"/>
    <mergeCell ref="BF54:BI54"/>
    <mergeCell ref="BJ54:BL54"/>
    <mergeCell ref="BM54:BP54"/>
    <mergeCell ref="BQ54:BT54"/>
    <mergeCell ref="BU54:BW54"/>
    <mergeCell ref="BX54:CA54"/>
    <mergeCell ref="CB54:CE54"/>
    <mergeCell ref="CF54:CH54"/>
    <mergeCell ref="AV57:BA57"/>
    <mergeCell ref="BB57:BE57"/>
    <mergeCell ref="BF57:BI57"/>
    <mergeCell ref="BJ57:BL57"/>
    <mergeCell ref="BM57:BP57"/>
    <mergeCell ref="BQ57:BT57"/>
    <mergeCell ref="BU57:BW57"/>
    <mergeCell ref="BB53:BL53"/>
    <mergeCell ref="BM53:BW53"/>
    <mergeCell ref="CB55:CE55"/>
    <mergeCell ref="CF55:CH55"/>
    <mergeCell ref="AV56:BA56"/>
    <mergeCell ref="BB56:BE56"/>
    <mergeCell ref="BF56:BI56"/>
    <mergeCell ref="BJ56:BL56"/>
    <mergeCell ref="BM56:BP56"/>
    <mergeCell ref="BQ56:BT56"/>
    <mergeCell ref="BU56:BW56"/>
    <mergeCell ref="BX56:CA56"/>
    <mergeCell ref="CB56:CE56"/>
    <mergeCell ref="CF56:CH56"/>
    <mergeCell ref="BB55:BE55"/>
    <mergeCell ref="BF55:BI55"/>
    <mergeCell ref="BJ55:BL55"/>
    <mergeCell ref="BM55:BP55"/>
    <mergeCell ref="BQ55:BT55"/>
    <mergeCell ref="BU55:BW55"/>
    <mergeCell ref="BU58:BW58"/>
    <mergeCell ref="BX58:CA58"/>
    <mergeCell ref="CB58:CE58"/>
    <mergeCell ref="AV60:BA60"/>
    <mergeCell ref="BB60:BE60"/>
    <mergeCell ref="BF60:BI60"/>
    <mergeCell ref="BJ60:BL60"/>
    <mergeCell ref="BM60:BP60"/>
    <mergeCell ref="BQ60:BT60"/>
    <mergeCell ref="BU60:BW60"/>
    <mergeCell ref="BX60:CA60"/>
    <mergeCell ref="CB60:CE60"/>
    <mergeCell ref="BB59:BE59"/>
    <mergeCell ref="BF59:BI59"/>
    <mergeCell ref="BJ59:BL59"/>
    <mergeCell ref="BM59:BP59"/>
    <mergeCell ref="BQ59:BT59"/>
    <mergeCell ref="BU59:BW59"/>
    <mergeCell ref="AV58:BA58"/>
    <mergeCell ref="BB58:BE58"/>
    <mergeCell ref="BF58:BI58"/>
    <mergeCell ref="BJ58:BL58"/>
    <mergeCell ref="BM58:BP58"/>
    <mergeCell ref="BQ58:BT58"/>
    <mergeCell ref="BB61:BE61"/>
    <mergeCell ref="BF61:BI61"/>
    <mergeCell ref="BJ61:BL61"/>
    <mergeCell ref="BM61:BP61"/>
    <mergeCell ref="BQ61:BT61"/>
    <mergeCell ref="BU61:BW61"/>
    <mergeCell ref="BX61:CA61"/>
    <mergeCell ref="CB61:CE61"/>
    <mergeCell ref="AV62:BA62"/>
    <mergeCell ref="BB62:BE62"/>
    <mergeCell ref="BF62:BI62"/>
    <mergeCell ref="BJ62:BL62"/>
    <mergeCell ref="BM62:BP62"/>
    <mergeCell ref="BQ62:BT62"/>
    <mergeCell ref="BU62:BW62"/>
    <mergeCell ref="BX62:CA62"/>
    <mergeCell ref="CB62:CE62"/>
    <mergeCell ref="AU63:BA63"/>
    <mergeCell ref="BB63:BE63"/>
    <mergeCell ref="BF63:BI63"/>
    <mergeCell ref="BJ63:BL63"/>
    <mergeCell ref="BM63:BP63"/>
    <mergeCell ref="BQ63:BT63"/>
    <mergeCell ref="BU63:BW63"/>
    <mergeCell ref="BX63:CA63"/>
    <mergeCell ref="CB63:CE63"/>
    <mergeCell ref="CF63:CH63"/>
    <mergeCell ref="BB42:BE42"/>
    <mergeCell ref="BF42:BI42"/>
    <mergeCell ref="BJ42:BL42"/>
    <mergeCell ref="BM42:BP42"/>
    <mergeCell ref="BQ42:BT42"/>
    <mergeCell ref="BU42:BW42"/>
    <mergeCell ref="BB32:BE32"/>
    <mergeCell ref="BF32:BI32"/>
    <mergeCell ref="BJ32:BL32"/>
    <mergeCell ref="BM32:BP32"/>
    <mergeCell ref="BQ32:BT32"/>
    <mergeCell ref="BU32:BW32"/>
    <mergeCell ref="CF61:CH61"/>
    <mergeCell ref="CF62:CH62"/>
    <mergeCell ref="BX59:CA59"/>
    <mergeCell ref="CB59:CE59"/>
    <mergeCell ref="CF59:CH59"/>
    <mergeCell ref="CF60:CH60"/>
    <mergeCell ref="BX57:CA57"/>
    <mergeCell ref="CB57:CE57"/>
    <mergeCell ref="CF57:CH57"/>
    <mergeCell ref="CF58:CH58"/>
    <mergeCell ref="BX55:CA55"/>
    <mergeCell ref="B1:D1"/>
    <mergeCell ref="BP3:BT3"/>
    <mergeCell ref="BU3:BY3"/>
    <mergeCell ref="BZ3:CD3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6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74"/>
  <sheetViews>
    <sheetView workbookViewId="0"/>
  </sheetViews>
  <sheetFormatPr defaultColWidth="10.140625" defaultRowHeight="13.5"/>
  <cols>
    <col min="1" max="1" width="19.28515625" style="96" bestFit="1" customWidth="1"/>
    <col min="2" max="2" width="10.140625" style="96"/>
    <col min="3" max="3" width="9" style="96" customWidth="1"/>
    <col min="4" max="4" width="19.28515625" style="96" bestFit="1" customWidth="1"/>
    <col min="5" max="5" width="10.140625" style="96"/>
    <col min="6" max="6" width="9" style="96" customWidth="1"/>
    <col min="7" max="7" width="22.140625" style="96" bestFit="1" customWidth="1"/>
    <col min="8" max="8" width="10.140625" style="96"/>
    <col min="9" max="9" width="9" style="96" customWidth="1"/>
    <col min="10" max="10" width="15.85546875" style="96" bestFit="1" customWidth="1"/>
    <col min="11" max="11" width="10.140625" style="96"/>
    <col min="12" max="12" width="9" style="96" customWidth="1"/>
    <col min="13" max="13" width="15.85546875" style="96" bestFit="1" customWidth="1"/>
    <col min="14" max="14" width="10.140625" style="96"/>
    <col min="15" max="15" width="9" style="98" customWidth="1"/>
    <col min="16" max="16" width="22.140625" style="98" bestFit="1" customWidth="1"/>
    <col min="17" max="17" width="8.5703125" style="98" bestFit="1" customWidth="1"/>
    <col min="18" max="18" width="9" style="96" customWidth="1"/>
    <col min="19" max="19" width="15.85546875" style="96" bestFit="1" customWidth="1"/>
    <col min="20" max="20" width="10.140625" style="96"/>
    <col min="21" max="21" width="9" style="96" customWidth="1"/>
    <col min="22" max="22" width="18.42578125" style="96" bestFit="1" customWidth="1"/>
    <col min="23" max="23" width="10.140625" style="96"/>
    <col min="24" max="24" width="9" style="96" customWidth="1"/>
    <col min="25" max="25" width="18.42578125" style="96" bestFit="1" customWidth="1"/>
    <col min="26" max="26" width="10.140625" style="96"/>
    <col min="27" max="27" width="9" style="96" customWidth="1"/>
    <col min="28" max="28" width="21" style="96" bestFit="1" customWidth="1"/>
    <col min="29" max="29" width="10.140625" style="96"/>
    <col min="30" max="30" width="9" style="96" customWidth="1"/>
    <col min="31" max="31" width="18.42578125" style="96" bestFit="1" customWidth="1"/>
    <col min="32" max="16384" width="10.140625" style="96"/>
  </cols>
  <sheetData>
    <row r="2" spans="1:32">
      <c r="A2" s="136" t="s">
        <v>282</v>
      </c>
      <c r="B2" s="136" t="s">
        <v>283</v>
      </c>
      <c r="D2" s="137" t="s">
        <v>271</v>
      </c>
      <c r="E2" s="137" t="s">
        <v>283</v>
      </c>
      <c r="G2" s="99" t="s">
        <v>284</v>
      </c>
      <c r="H2" s="99" t="s">
        <v>283</v>
      </c>
      <c r="J2" s="98"/>
      <c r="K2" s="98"/>
      <c r="M2" s="138" t="s">
        <v>402</v>
      </c>
      <c r="N2" s="138"/>
      <c r="P2" s="141" t="s">
        <v>286</v>
      </c>
      <c r="Q2" s="141" t="s">
        <v>287</v>
      </c>
      <c r="S2" s="144" t="s">
        <v>288</v>
      </c>
      <c r="T2" s="145" t="s">
        <v>287</v>
      </c>
      <c r="V2" s="102" t="s">
        <v>289</v>
      </c>
      <c r="W2" s="103" t="s">
        <v>287</v>
      </c>
      <c r="Y2" s="104" t="s">
        <v>290</v>
      </c>
      <c r="Z2" s="105" t="s">
        <v>287</v>
      </c>
      <c r="AB2" s="106" t="s">
        <v>291</v>
      </c>
      <c r="AC2" s="106" t="s">
        <v>287</v>
      </c>
      <c r="AE2" s="107" t="s">
        <v>292</v>
      </c>
      <c r="AF2" s="108" t="s">
        <v>287</v>
      </c>
    </row>
    <row r="3" spans="1:32">
      <c r="A3" s="136" t="s">
        <v>379</v>
      </c>
      <c r="B3" s="136">
        <v>0</v>
      </c>
      <c r="D3" s="137" t="s">
        <v>285</v>
      </c>
      <c r="E3" s="137">
        <v>75</v>
      </c>
      <c r="G3" s="99" t="s">
        <v>294</v>
      </c>
      <c r="H3" s="99">
        <v>1</v>
      </c>
      <c r="J3" s="98"/>
      <c r="K3" s="98"/>
      <c r="M3" s="139" t="s">
        <v>295</v>
      </c>
      <c r="N3" s="139" t="s">
        <v>283</v>
      </c>
      <c r="P3" s="142" t="s">
        <v>296</v>
      </c>
      <c r="Q3" s="141">
        <v>1</v>
      </c>
      <c r="S3" s="144" t="s">
        <v>297</v>
      </c>
      <c r="T3" s="145">
        <v>3</v>
      </c>
      <c r="V3" s="102" t="s">
        <v>298</v>
      </c>
      <c r="W3" s="103">
        <v>0</v>
      </c>
      <c r="Y3" s="104" t="s">
        <v>299</v>
      </c>
      <c r="Z3" s="105">
        <v>1</v>
      </c>
      <c r="AB3" s="110" t="s">
        <v>300</v>
      </c>
      <c r="AC3" s="106">
        <v>1</v>
      </c>
      <c r="AE3" s="107" t="s">
        <v>301</v>
      </c>
      <c r="AF3" s="108">
        <v>1</v>
      </c>
    </row>
    <row r="4" spans="1:32">
      <c r="A4" s="136" t="s">
        <v>380</v>
      </c>
      <c r="B4" s="136">
        <v>60</v>
      </c>
      <c r="D4" s="137" t="s">
        <v>401</v>
      </c>
      <c r="E4" s="137">
        <v>76</v>
      </c>
      <c r="G4" s="99"/>
      <c r="H4" s="99"/>
      <c r="J4" s="98"/>
      <c r="K4" s="98"/>
      <c r="M4" s="139" t="s">
        <v>416</v>
      </c>
      <c r="N4" s="139">
        <v>0</v>
      </c>
      <c r="P4" s="141" t="s">
        <v>303</v>
      </c>
      <c r="Q4" s="141">
        <v>2</v>
      </c>
      <c r="S4" s="144" t="s">
        <v>304</v>
      </c>
      <c r="T4" s="145">
        <v>1</v>
      </c>
      <c r="V4" s="102" t="s">
        <v>305</v>
      </c>
      <c r="W4" s="103">
        <v>1</v>
      </c>
      <c r="Y4" s="104" t="s">
        <v>306</v>
      </c>
      <c r="Z4" s="105">
        <v>2</v>
      </c>
      <c r="AB4" s="106" t="s">
        <v>307</v>
      </c>
      <c r="AC4" s="106">
        <v>2</v>
      </c>
      <c r="AE4" s="107" t="s">
        <v>308</v>
      </c>
      <c r="AF4" s="108">
        <v>2</v>
      </c>
    </row>
    <row r="5" spans="1:32">
      <c r="A5" s="136" t="s">
        <v>373</v>
      </c>
      <c r="B5" s="136">
        <v>1</v>
      </c>
      <c r="D5" s="137" t="s">
        <v>310</v>
      </c>
      <c r="E5" s="137">
        <v>77</v>
      </c>
      <c r="G5" s="99"/>
      <c r="H5" s="99"/>
      <c r="J5" s="98"/>
      <c r="K5" s="98"/>
      <c r="M5" s="139" t="s">
        <v>342</v>
      </c>
      <c r="N5" s="139">
        <v>1</v>
      </c>
      <c r="P5" s="141" t="s">
        <v>311</v>
      </c>
      <c r="Q5" s="141">
        <v>3</v>
      </c>
      <c r="S5" s="144" t="s">
        <v>312</v>
      </c>
      <c r="T5" s="145">
        <v>2</v>
      </c>
      <c r="V5" s="102" t="s">
        <v>313</v>
      </c>
      <c r="W5" s="103">
        <v>2</v>
      </c>
      <c r="Y5" s="111"/>
      <c r="Z5" s="111"/>
      <c r="AB5" s="106" t="s">
        <v>314</v>
      </c>
      <c r="AC5" s="106">
        <v>3</v>
      </c>
      <c r="AE5" s="111"/>
      <c r="AF5" s="111"/>
    </row>
    <row r="6" spans="1:32">
      <c r="A6" s="136" t="s">
        <v>381</v>
      </c>
      <c r="B6" s="136">
        <v>61</v>
      </c>
      <c r="D6" s="137" t="s">
        <v>316</v>
      </c>
      <c r="E6" s="137">
        <v>78</v>
      </c>
      <c r="G6" s="99"/>
      <c r="H6" s="99"/>
      <c r="J6" s="98"/>
      <c r="K6" s="98"/>
      <c r="M6" s="139" t="s">
        <v>352</v>
      </c>
      <c r="N6" s="139">
        <v>2</v>
      </c>
      <c r="P6" s="106" t="s">
        <v>314</v>
      </c>
      <c r="Q6" s="106">
        <v>4</v>
      </c>
      <c r="S6" s="144" t="s">
        <v>411</v>
      </c>
      <c r="T6" s="145">
        <v>0</v>
      </c>
      <c r="V6" s="102" t="s">
        <v>317</v>
      </c>
      <c r="W6" s="103">
        <v>3</v>
      </c>
      <c r="Y6" s="111"/>
      <c r="Z6" s="105" t="s">
        <v>283</v>
      </c>
      <c r="AB6" s="143" t="s">
        <v>412</v>
      </c>
      <c r="AC6" s="141">
        <v>0</v>
      </c>
      <c r="AE6" s="111"/>
      <c r="AF6" s="108" t="s">
        <v>283</v>
      </c>
    </row>
    <row r="7" spans="1:32">
      <c r="A7" s="136" t="s">
        <v>382</v>
      </c>
      <c r="B7" s="136">
        <v>62</v>
      </c>
      <c r="D7" s="137" t="s">
        <v>319</v>
      </c>
      <c r="E7" s="137">
        <v>79</v>
      </c>
      <c r="G7" s="99"/>
      <c r="H7" s="99"/>
      <c r="J7" s="98"/>
      <c r="K7" s="98"/>
      <c r="M7" s="139" t="s">
        <v>362</v>
      </c>
      <c r="N7" s="139">
        <v>3</v>
      </c>
      <c r="P7" s="143" t="s">
        <v>411</v>
      </c>
      <c r="Q7" s="141">
        <v>0</v>
      </c>
      <c r="V7" s="102" t="s">
        <v>320</v>
      </c>
      <c r="W7" s="114">
        <v>4</v>
      </c>
      <c r="Y7" s="111"/>
      <c r="Z7" s="115" t="str">
        <f>"="&amp;No.1!BF4</f>
        <v>=</v>
      </c>
      <c r="AB7" s="113"/>
      <c r="AE7" s="111"/>
      <c r="AF7" s="116" t="str">
        <f>"="&amp;No.1!AL4</f>
        <v>=</v>
      </c>
    </row>
    <row r="8" spans="1:32">
      <c r="A8" s="136" t="s">
        <v>383</v>
      </c>
      <c r="B8" s="136">
        <v>63</v>
      </c>
      <c r="D8" s="137"/>
      <c r="E8" s="137"/>
      <c r="G8" s="99" t="s">
        <v>322</v>
      </c>
      <c r="H8" s="99">
        <v>2</v>
      </c>
      <c r="J8" s="98"/>
      <c r="K8" s="98"/>
      <c r="M8" s="138"/>
      <c r="N8" s="138"/>
      <c r="P8" s="112"/>
      <c r="T8" s="101" t="s">
        <v>283</v>
      </c>
      <c r="V8" s="111"/>
      <c r="W8" s="111"/>
      <c r="AB8" s="113"/>
      <c r="AC8" s="106" t="s">
        <v>283</v>
      </c>
    </row>
    <row r="9" spans="1:32">
      <c r="A9" s="136" t="s">
        <v>384</v>
      </c>
      <c r="B9" s="136">
        <v>67</v>
      </c>
      <c r="D9" s="137"/>
      <c r="E9" s="137"/>
      <c r="J9" s="98"/>
      <c r="K9" s="98"/>
      <c r="M9" s="138" t="s">
        <v>323</v>
      </c>
      <c r="N9" s="138"/>
      <c r="P9" s="112"/>
      <c r="Q9" s="100" t="s">
        <v>283</v>
      </c>
      <c r="T9" s="117" t="str">
        <f>"="&amp;No.1!BP4</f>
        <v>=</v>
      </c>
      <c r="V9" s="111"/>
      <c r="W9" s="103" t="s">
        <v>283</v>
      </c>
      <c r="AC9" s="118" t="str">
        <f>"="&amp;No.1!BZ4</f>
        <v>=</v>
      </c>
    </row>
    <row r="10" spans="1:32">
      <c r="A10" s="136" t="s">
        <v>385</v>
      </c>
      <c r="B10" s="136">
        <v>68</v>
      </c>
      <c r="D10" s="137"/>
      <c r="E10" s="137"/>
      <c r="H10" s="99" t="s">
        <v>283</v>
      </c>
      <c r="J10" s="98"/>
      <c r="K10" s="98"/>
      <c r="M10" s="139" t="s">
        <v>295</v>
      </c>
      <c r="N10" s="139" t="s">
        <v>283</v>
      </c>
      <c r="Q10" s="119" t="str">
        <f>"="&amp;No.1!BU4</f>
        <v>=</v>
      </c>
      <c r="V10" s="111"/>
      <c r="W10" s="120" t="str">
        <f>"="&amp;No.1!BA4</f>
        <v>=</v>
      </c>
    </row>
    <row r="11" spans="1:32">
      <c r="A11" s="136" t="s">
        <v>386</v>
      </c>
      <c r="B11" s="136">
        <v>71</v>
      </c>
      <c r="D11" s="137" t="s">
        <v>328</v>
      </c>
      <c r="E11" s="137">
        <v>84</v>
      </c>
      <c r="H11" s="121" t="str">
        <f>"="&amp;No.1!BK4</f>
        <v>=</v>
      </c>
      <c r="J11" s="98"/>
      <c r="K11" s="98"/>
      <c r="M11" s="139" t="s">
        <v>416</v>
      </c>
      <c r="N11" s="139">
        <v>0</v>
      </c>
    </row>
    <row r="12" spans="1:32">
      <c r="A12" s="136" t="s">
        <v>387</v>
      </c>
      <c r="B12" s="136">
        <v>74</v>
      </c>
      <c r="D12" s="137" t="s">
        <v>330</v>
      </c>
      <c r="E12" s="137">
        <v>85</v>
      </c>
      <c r="J12" s="98"/>
      <c r="K12" s="98"/>
      <c r="M12" s="139" t="s">
        <v>403</v>
      </c>
      <c r="N12" s="139">
        <v>1</v>
      </c>
    </row>
    <row r="13" spans="1:32">
      <c r="A13" s="136" t="s">
        <v>388</v>
      </c>
      <c r="B13" s="136">
        <v>75</v>
      </c>
      <c r="D13" s="137" t="s">
        <v>323</v>
      </c>
      <c r="E13" s="137">
        <v>86</v>
      </c>
      <c r="J13" s="98"/>
      <c r="K13" s="98"/>
      <c r="M13" s="139" t="s">
        <v>376</v>
      </c>
      <c r="N13" s="139">
        <v>2</v>
      </c>
    </row>
    <row r="14" spans="1:32">
      <c r="A14" s="136" t="s">
        <v>372</v>
      </c>
      <c r="B14" s="136">
        <v>47</v>
      </c>
      <c r="J14" s="98"/>
      <c r="K14" s="98"/>
      <c r="M14" s="139" t="s">
        <v>404</v>
      </c>
      <c r="N14" s="139">
        <v>3</v>
      </c>
    </row>
    <row r="15" spans="1:32">
      <c r="A15" s="136" t="s">
        <v>389</v>
      </c>
      <c r="B15" s="136">
        <v>64</v>
      </c>
      <c r="E15" s="97" t="s">
        <v>283</v>
      </c>
      <c r="M15" s="139" t="s">
        <v>405</v>
      </c>
      <c r="N15" s="139">
        <v>4</v>
      </c>
    </row>
    <row r="16" spans="1:32">
      <c r="A16" s="136" t="s">
        <v>390</v>
      </c>
      <c r="B16" s="136">
        <v>65</v>
      </c>
      <c r="E16" s="122" t="str">
        <f>"="&amp;No.1!AQ4</f>
        <v>=</v>
      </c>
      <c r="K16" s="109" t="s">
        <v>283</v>
      </c>
      <c r="M16" s="138"/>
      <c r="N16" s="138"/>
    </row>
    <row r="17" spans="1:14">
      <c r="A17" s="136" t="s">
        <v>391</v>
      </c>
      <c r="B17" s="136">
        <v>66</v>
      </c>
      <c r="K17" s="123" t="str">
        <f>"="&amp;No.1!AV4</f>
        <v>=</v>
      </c>
      <c r="M17" s="138" t="s">
        <v>330</v>
      </c>
      <c r="N17" s="138"/>
    </row>
    <row r="18" spans="1:14">
      <c r="A18" s="136" t="s">
        <v>392</v>
      </c>
      <c r="B18" s="136">
        <v>69</v>
      </c>
      <c r="M18" s="139" t="s">
        <v>295</v>
      </c>
      <c r="N18" s="139" t="s">
        <v>283</v>
      </c>
    </row>
    <row r="19" spans="1:14">
      <c r="A19" s="136" t="s">
        <v>393</v>
      </c>
      <c r="B19" s="136">
        <v>70</v>
      </c>
      <c r="J19" s="140" t="s">
        <v>408</v>
      </c>
      <c r="K19" s="138"/>
      <c r="M19" s="139" t="s">
        <v>416</v>
      </c>
      <c r="N19" s="139">
        <v>0</v>
      </c>
    </row>
    <row r="20" spans="1:14">
      <c r="A20" s="136" t="s">
        <v>394</v>
      </c>
      <c r="B20" s="136">
        <v>72</v>
      </c>
      <c r="J20" s="139" t="s">
        <v>295</v>
      </c>
      <c r="K20" s="139" t="s">
        <v>283</v>
      </c>
      <c r="M20" s="139" t="s">
        <v>406</v>
      </c>
      <c r="N20" s="139">
        <v>1</v>
      </c>
    </row>
    <row r="21" spans="1:14">
      <c r="A21" s="136" t="s">
        <v>395</v>
      </c>
      <c r="B21" s="136">
        <v>73</v>
      </c>
      <c r="J21" s="139" t="s">
        <v>416</v>
      </c>
      <c r="K21" s="139">
        <v>0</v>
      </c>
      <c r="M21" s="139" t="s">
        <v>407</v>
      </c>
      <c r="N21" s="139">
        <v>2</v>
      </c>
    </row>
    <row r="22" spans="1:14">
      <c r="A22" s="136" t="s">
        <v>396</v>
      </c>
      <c r="B22" s="136">
        <v>76</v>
      </c>
      <c r="J22" s="139" t="s">
        <v>406</v>
      </c>
      <c r="K22" s="139">
        <v>1</v>
      </c>
      <c r="M22" s="139" t="s">
        <v>376</v>
      </c>
      <c r="N22" s="139">
        <v>3</v>
      </c>
    </row>
    <row r="23" spans="1:14">
      <c r="A23" s="136" t="s">
        <v>397</v>
      </c>
      <c r="B23" s="136">
        <v>77</v>
      </c>
      <c r="J23" s="139" t="s">
        <v>407</v>
      </c>
      <c r="K23" s="139">
        <v>2</v>
      </c>
    </row>
    <row r="24" spans="1:14">
      <c r="A24" s="136" t="s">
        <v>398</v>
      </c>
      <c r="B24" s="136">
        <v>93</v>
      </c>
      <c r="J24" s="139" t="s">
        <v>376</v>
      </c>
      <c r="K24" s="139">
        <v>3</v>
      </c>
    </row>
    <row r="25" spans="1:14">
      <c r="A25" s="136" t="s">
        <v>399</v>
      </c>
      <c r="B25" s="136">
        <v>94</v>
      </c>
      <c r="J25" s="82"/>
      <c r="K25" s="82"/>
    </row>
    <row r="26" spans="1:14">
      <c r="A26" s="136" t="s">
        <v>400</v>
      </c>
      <c r="B26" s="136">
        <v>95</v>
      </c>
      <c r="J26" s="138" t="s">
        <v>401</v>
      </c>
      <c r="K26" s="138"/>
    </row>
    <row r="27" spans="1:14">
      <c r="A27" s="136" t="s">
        <v>293</v>
      </c>
      <c r="B27" s="136">
        <v>2</v>
      </c>
      <c r="J27" s="139" t="s">
        <v>295</v>
      </c>
      <c r="K27" s="139" t="s">
        <v>283</v>
      </c>
    </row>
    <row r="28" spans="1:14">
      <c r="A28" s="136" t="s">
        <v>302</v>
      </c>
      <c r="B28" s="136">
        <v>3</v>
      </c>
      <c r="J28" s="139" t="s">
        <v>416</v>
      </c>
      <c r="K28" s="139">
        <v>0</v>
      </c>
    </row>
    <row r="29" spans="1:14">
      <c r="A29" s="136" t="s">
        <v>309</v>
      </c>
      <c r="B29" s="136">
        <v>4</v>
      </c>
      <c r="J29" s="139" t="s">
        <v>406</v>
      </c>
      <c r="K29" s="139">
        <v>1</v>
      </c>
    </row>
    <row r="30" spans="1:14">
      <c r="A30" s="136" t="s">
        <v>315</v>
      </c>
      <c r="B30" s="136">
        <v>5</v>
      </c>
      <c r="J30" s="139" t="s">
        <v>407</v>
      </c>
      <c r="K30" s="139">
        <v>2</v>
      </c>
    </row>
    <row r="31" spans="1:14">
      <c r="A31" s="136" t="s">
        <v>318</v>
      </c>
      <c r="B31" s="136">
        <v>6</v>
      </c>
      <c r="J31" s="139" t="s">
        <v>376</v>
      </c>
      <c r="K31" s="139">
        <v>3</v>
      </c>
    </row>
    <row r="32" spans="1:14">
      <c r="A32" s="136" t="s">
        <v>321</v>
      </c>
      <c r="B32" s="136">
        <v>7</v>
      </c>
      <c r="J32" s="139" t="s">
        <v>333</v>
      </c>
      <c r="K32" s="139">
        <v>4</v>
      </c>
    </row>
    <row r="33" spans="1:11">
      <c r="A33" s="136" t="s">
        <v>324</v>
      </c>
      <c r="B33" s="136">
        <v>8</v>
      </c>
      <c r="J33" s="139" t="s">
        <v>335</v>
      </c>
      <c r="K33" s="139">
        <v>5</v>
      </c>
    </row>
    <row r="34" spans="1:11">
      <c r="A34" s="136" t="s">
        <v>325</v>
      </c>
      <c r="B34" s="136">
        <v>9</v>
      </c>
      <c r="J34" s="139" t="s">
        <v>409</v>
      </c>
      <c r="K34" s="139">
        <v>6</v>
      </c>
    </row>
    <row r="35" spans="1:11">
      <c r="A35" s="136" t="s">
        <v>327</v>
      </c>
      <c r="B35" s="136">
        <v>10</v>
      </c>
      <c r="J35" s="139" t="s">
        <v>405</v>
      </c>
      <c r="K35" s="139">
        <v>7</v>
      </c>
    </row>
    <row r="36" spans="1:11">
      <c r="A36" s="136" t="s">
        <v>329</v>
      </c>
      <c r="B36" s="136">
        <v>11</v>
      </c>
      <c r="J36" s="82"/>
      <c r="K36" s="82"/>
    </row>
    <row r="37" spans="1:11">
      <c r="A37" s="136" t="s">
        <v>331</v>
      </c>
      <c r="B37" s="136">
        <v>12</v>
      </c>
      <c r="J37" s="138" t="s">
        <v>328</v>
      </c>
      <c r="K37" s="138"/>
    </row>
    <row r="38" spans="1:11">
      <c r="A38" s="136" t="s">
        <v>332</v>
      </c>
      <c r="B38" s="136">
        <v>13</v>
      </c>
      <c r="J38" s="139" t="s">
        <v>295</v>
      </c>
      <c r="K38" s="139" t="s">
        <v>283</v>
      </c>
    </row>
    <row r="39" spans="1:11">
      <c r="A39" s="136" t="s">
        <v>334</v>
      </c>
      <c r="B39" s="136">
        <v>14</v>
      </c>
      <c r="J39" s="139" t="s">
        <v>416</v>
      </c>
      <c r="K39" s="139">
        <v>0</v>
      </c>
    </row>
    <row r="40" spans="1:11">
      <c r="A40" s="136" t="s">
        <v>336</v>
      </c>
      <c r="B40" s="136">
        <v>15</v>
      </c>
      <c r="J40" s="139" t="s">
        <v>406</v>
      </c>
      <c r="K40" s="139">
        <v>1</v>
      </c>
    </row>
    <row r="41" spans="1:11">
      <c r="A41" s="136" t="s">
        <v>337</v>
      </c>
      <c r="B41" s="136">
        <v>16</v>
      </c>
      <c r="J41" s="139" t="s">
        <v>410</v>
      </c>
      <c r="K41" s="139">
        <v>2</v>
      </c>
    </row>
    <row r="42" spans="1:11">
      <c r="A42" s="136" t="s">
        <v>338</v>
      </c>
      <c r="B42" s="136">
        <v>17</v>
      </c>
      <c r="J42" s="139" t="s">
        <v>335</v>
      </c>
      <c r="K42" s="139">
        <v>3</v>
      </c>
    </row>
    <row r="43" spans="1:11">
      <c r="A43" s="136" t="s">
        <v>339</v>
      </c>
      <c r="B43" s="136">
        <v>18</v>
      </c>
      <c r="J43" s="98"/>
      <c r="K43" s="98"/>
    </row>
    <row r="44" spans="1:11">
      <c r="A44" s="136" t="s">
        <v>340</v>
      </c>
      <c r="B44" s="136">
        <v>19</v>
      </c>
      <c r="J44" s="98"/>
      <c r="K44" s="98"/>
    </row>
    <row r="45" spans="1:11">
      <c r="A45" s="136" t="s">
        <v>341</v>
      </c>
      <c r="B45" s="136">
        <v>20</v>
      </c>
      <c r="J45" s="98"/>
      <c r="K45" s="98"/>
    </row>
    <row r="46" spans="1:11">
      <c r="A46" s="136" t="s">
        <v>343</v>
      </c>
      <c r="B46" s="136">
        <v>21</v>
      </c>
      <c r="J46" s="98"/>
      <c r="K46" s="98"/>
    </row>
    <row r="47" spans="1:11">
      <c r="A47" s="136" t="s">
        <v>344</v>
      </c>
      <c r="B47" s="136">
        <v>22</v>
      </c>
      <c r="J47" s="98"/>
      <c r="K47" s="98"/>
    </row>
    <row r="48" spans="1:11">
      <c r="A48" s="136" t="s">
        <v>346</v>
      </c>
      <c r="B48" s="136">
        <v>23</v>
      </c>
      <c r="J48" s="98"/>
      <c r="K48" s="98"/>
    </row>
    <row r="49" spans="1:11">
      <c r="A49" s="136" t="s">
        <v>347</v>
      </c>
      <c r="B49" s="136">
        <v>24</v>
      </c>
    </row>
    <row r="50" spans="1:11">
      <c r="A50" s="136" t="s">
        <v>348</v>
      </c>
      <c r="B50" s="136">
        <v>25</v>
      </c>
      <c r="J50" s="96" t="s">
        <v>328</v>
      </c>
    </row>
    <row r="51" spans="1:11">
      <c r="A51" s="136" t="s">
        <v>349</v>
      </c>
      <c r="B51" s="136">
        <v>26</v>
      </c>
      <c r="J51" s="109" t="s">
        <v>295</v>
      </c>
      <c r="K51" s="109" t="s">
        <v>283</v>
      </c>
    </row>
    <row r="52" spans="1:11">
      <c r="A52" s="136" t="s">
        <v>350</v>
      </c>
      <c r="B52" s="136">
        <v>27</v>
      </c>
      <c r="J52" s="109" t="s">
        <v>326</v>
      </c>
      <c r="K52" s="109">
        <v>1</v>
      </c>
    </row>
    <row r="53" spans="1:11">
      <c r="A53" s="136" t="s">
        <v>351</v>
      </c>
      <c r="B53" s="136">
        <v>28</v>
      </c>
      <c r="J53" s="109" t="s">
        <v>345</v>
      </c>
      <c r="K53" s="109">
        <v>2</v>
      </c>
    </row>
    <row r="54" spans="1:11">
      <c r="A54" s="136" t="s">
        <v>353</v>
      </c>
      <c r="B54" s="136">
        <v>29</v>
      </c>
      <c r="J54" s="109" t="s">
        <v>374</v>
      </c>
      <c r="K54" s="109">
        <v>3</v>
      </c>
    </row>
    <row r="55" spans="1:11">
      <c r="A55" s="136" t="s">
        <v>354</v>
      </c>
      <c r="B55" s="136">
        <v>30</v>
      </c>
      <c r="J55" s="109" t="s">
        <v>375</v>
      </c>
      <c r="K55" s="109">
        <v>4</v>
      </c>
    </row>
    <row r="56" spans="1:11">
      <c r="A56" s="136" t="s">
        <v>355</v>
      </c>
      <c r="B56" s="136">
        <v>31</v>
      </c>
      <c r="J56" s="109" t="s">
        <v>376</v>
      </c>
      <c r="K56" s="109">
        <v>5</v>
      </c>
    </row>
    <row r="57" spans="1:11">
      <c r="A57" s="136" t="s">
        <v>356</v>
      </c>
      <c r="B57" s="136">
        <v>32</v>
      </c>
    </row>
    <row r="58" spans="1:11">
      <c r="A58" s="136" t="s">
        <v>357</v>
      </c>
      <c r="B58" s="136">
        <v>33</v>
      </c>
    </row>
    <row r="59" spans="1:11">
      <c r="A59" s="136" t="s">
        <v>358</v>
      </c>
      <c r="B59" s="136">
        <v>34</v>
      </c>
    </row>
    <row r="60" spans="1:11">
      <c r="A60" s="136" t="s">
        <v>359</v>
      </c>
      <c r="B60" s="136">
        <v>35</v>
      </c>
    </row>
    <row r="61" spans="1:11">
      <c r="A61" s="136" t="s">
        <v>360</v>
      </c>
      <c r="B61" s="136">
        <v>36</v>
      </c>
    </row>
    <row r="62" spans="1:11">
      <c r="A62" s="136" t="s">
        <v>361</v>
      </c>
      <c r="B62" s="136">
        <v>37</v>
      </c>
    </row>
    <row r="63" spans="1:11">
      <c r="A63" s="136" t="s">
        <v>363</v>
      </c>
      <c r="B63" s="136">
        <v>38</v>
      </c>
    </row>
    <row r="64" spans="1:11">
      <c r="A64" s="136" t="s">
        <v>364</v>
      </c>
      <c r="B64" s="136">
        <v>39</v>
      </c>
    </row>
    <row r="65" spans="1:2">
      <c r="A65" s="136" t="s">
        <v>365</v>
      </c>
      <c r="B65" s="136">
        <v>40</v>
      </c>
    </row>
    <row r="66" spans="1:2">
      <c r="A66" s="136" t="s">
        <v>366</v>
      </c>
      <c r="B66" s="136">
        <v>41</v>
      </c>
    </row>
    <row r="67" spans="1:2">
      <c r="A67" s="136" t="s">
        <v>367</v>
      </c>
      <c r="B67" s="136">
        <v>42</v>
      </c>
    </row>
    <row r="68" spans="1:2">
      <c r="A68" s="136" t="s">
        <v>368</v>
      </c>
      <c r="B68" s="136">
        <v>43</v>
      </c>
    </row>
    <row r="69" spans="1:2">
      <c r="A69" s="136" t="s">
        <v>369</v>
      </c>
      <c r="B69" s="136">
        <v>44</v>
      </c>
    </row>
    <row r="70" spans="1:2">
      <c r="A70" s="136" t="s">
        <v>370</v>
      </c>
      <c r="B70" s="136">
        <v>45</v>
      </c>
    </row>
    <row r="71" spans="1:2">
      <c r="A71" s="136" t="s">
        <v>371</v>
      </c>
      <c r="B71" s="136">
        <v>46</v>
      </c>
    </row>
    <row r="73" spans="1:2">
      <c r="B73" s="95" t="s">
        <v>283</v>
      </c>
    </row>
    <row r="74" spans="1:2">
      <c r="B74" s="124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3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No.1</vt:lpstr>
      <vt:lpstr>No.2</vt:lpstr>
      <vt:lpstr>No.3</vt:lpstr>
      <vt:lpstr>No.4</vt:lpstr>
      <vt:lpstr>リスト</vt:lpstr>
      <vt:lpstr>No.1!Print_Area</vt:lpstr>
      <vt:lpstr>No.2!Print_Area</vt:lpstr>
      <vt:lpstr>No.3!Print_Area</vt:lpstr>
      <vt:lpstr>No.4!Print_Area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2019-11-29T07:22:33Z</cp:lastPrinted>
  <dcterms:created xsi:type="dcterms:W3CDTF">2003-03-20T07:33:12Z</dcterms:created>
  <dcterms:modified xsi:type="dcterms:W3CDTF">2020-03-10T05:43:32Z</dcterms:modified>
</cp:coreProperties>
</file>