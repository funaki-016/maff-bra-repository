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nami\Desktop\集計結果表\"/>
    </mc:Choice>
  </mc:AlternateContent>
  <bookViews>
    <workbookView xWindow="-120" yWindow="2880" windowWidth="23280" windowHeight="12600" tabRatio="903"/>
  </bookViews>
  <sheets>
    <sheet name="No1" sheetId="219" r:id="rId1"/>
    <sheet name="No2" sheetId="220" r:id="rId2"/>
    <sheet name="リスト" sheetId="221" state="hidden" r:id="rId3"/>
  </sheets>
  <definedNames>
    <definedName name="_xlnm.Print_Area" localSheetId="0">'No1'!$A$1:$CH$59</definedName>
    <definedName name="_xlnm.Print_Area" localSheetId="1">'No2'!$A$1:$CI$59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220" l="1"/>
  <c r="I5" i="219" l="1"/>
  <c r="B1" i="220" l="1"/>
  <c r="B1" i="219"/>
  <c r="BJ5" i="220" l="1"/>
  <c r="BD5" i="220"/>
  <c r="AX5" i="220"/>
  <c r="AR5" i="220"/>
  <c r="AL5" i="220"/>
  <c r="AF5" i="220"/>
  <c r="Z5" i="220"/>
  <c r="T5" i="220"/>
  <c r="N5" i="220"/>
  <c r="H5" i="220"/>
  <c r="B5" i="220"/>
  <c r="BE5" i="219"/>
  <c r="BE5" i="220" s="1"/>
  <c r="AY5" i="219"/>
  <c r="AY5" i="220" s="1"/>
  <c r="O5" i="219"/>
  <c r="O5" i="220" s="1"/>
  <c r="H11" i="221"/>
  <c r="T7" i="221"/>
  <c r="Q10" i="221"/>
  <c r="AG5" i="219" s="1"/>
  <c r="AG5" i="220" s="1"/>
  <c r="K18" i="221"/>
  <c r="AA5" i="219" s="1"/>
  <c r="W7" i="221" l="1"/>
  <c r="AA5" i="220" l="1"/>
  <c r="N8" i="221" l="1"/>
  <c r="BK5" i="219" s="1"/>
  <c r="BK5" i="220" s="1"/>
  <c r="E16" i="221"/>
  <c r="U5" i="219" s="1"/>
  <c r="U5" i="220" s="1"/>
  <c r="B74" i="221" l="1"/>
  <c r="I5" i="220" l="1"/>
</calcChain>
</file>

<file path=xl/comments1.xml><?xml version="1.0" encoding="utf-8"?>
<comments xmlns="http://schemas.openxmlformats.org/spreadsheetml/2006/main">
  <authors>
    <author>梅津　幸子</author>
  </authors>
  <commentList>
    <comment ref="Q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<sst xmlns="http://schemas.openxmlformats.org/spreadsheetml/2006/main" count="527" uniqueCount="346">
  <si>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</si>
  <si>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</si>
  <si>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７５歳以上</t>
    <rPh sb="2" eb="5">
      <t>サイイジョウ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</si>
  <si>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</si>
  <si>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</si>
  <si>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</si>
  <si>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</si>
  <si>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</si>
  <si>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</si>
  <si>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</si>
  <si>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</si>
  <si>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</si>
  <si>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</si>
  <si>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１０　ａ　当　た　り</t>
    <rPh sb="5" eb="6">
      <t>ア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</si>
  <si>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</si>
  <si>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</si>
  <si>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</si>
  <si>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</si>
  <si>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</si>
  <si>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</si>
  <si>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</si>
  <si>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</si>
  <si>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</si>
  <si>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</si>
  <si>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労賃資本</t>
    <rPh sb="0" eb="2">
      <t>ロウチン</t>
    </rPh>
    <rPh sb="2" eb="4">
      <t>シホン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</si>
  <si>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</si>
  <si>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</si>
  <si>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</si>
  <si>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</si>
  <si>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</si>
  <si>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</si>
  <si>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</si>
  <si>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</si>
  <si>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</si>
  <si>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</si>
  <si>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</si>
  <si>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</si>
  <si>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</si>
  <si>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</si>
  <si>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</si>
  <si>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</si>
  <si>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</si>
  <si>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</si>
  <si>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</si>
  <si>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</si>
  <si>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</si>
  <si>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</si>
  <si>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</si>
  <si>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</si>
  <si>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</si>
  <si>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</si>
  <si>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</si>
  <si>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</si>
  <si>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</si>
  <si>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</si>
  <si>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</si>
  <si>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</si>
  <si>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</si>
  <si>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</si>
  <si>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</si>
  <si>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</si>
  <si>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</si>
  <si>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</si>
  <si>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</si>
  <si>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</si>
  <si>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</si>
  <si>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</si>
  <si>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</si>
  <si>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樹園地</t>
    <rPh sb="0" eb="1">
      <t>ジュ</t>
    </rPh>
    <rPh sb="1" eb="3">
      <t>エンチ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</si>
  <si>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</si>
  <si>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普通畑</t>
    <rPh sb="0" eb="2">
      <t>フツウ</t>
    </rPh>
    <rPh sb="2" eb="3">
      <t>ハタ</t>
    </rPh>
    <phoneticPr fontId="13"/>
  </si>
  <si>
    <t>畑</t>
    <rPh sb="0" eb="1">
      <t>ハタ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</si>
  <si>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</si>
  <si>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</si>
  <si>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</si>
  <si>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</si>
  <si>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</si>
  <si>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</si>
  <si>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</si>
  <si>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購入</t>
    <rPh sb="0" eb="2">
      <t>コウニュウ</t>
    </rPh>
    <phoneticPr fontId="13"/>
  </si>
  <si>
    <t>生産費区分</t>
    <rPh sb="0" eb="3">
      <t>セイサンヒ</t>
    </rPh>
    <rPh sb="3" eb="5">
      <t>クブン</t>
    </rPh>
    <phoneticPr fontId="13"/>
  </si>
  <si>
    <t>戦略作物助成</t>
    <rPh sb="0" eb="2">
      <t>センリャク</t>
    </rPh>
    <rPh sb="2" eb="4">
      <t>サクモツ</t>
    </rPh>
    <rPh sb="4" eb="6">
      <t>ジョセイ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</si>
  <si>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</si>
  <si>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</si>
  <si>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</si>
  <si>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その他</t>
    <rPh sb="2" eb="3">
      <t>タ</t>
    </rPh>
    <phoneticPr fontId="13"/>
  </si>
  <si>
    <t>労働時間</t>
    <rPh sb="0" eb="2">
      <t>ロウドウ</t>
    </rPh>
    <rPh sb="2" eb="4">
      <t>ジカン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</si>
  <si>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</si>
  <si>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</si>
  <si>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</si>
  <si>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種子用</t>
    <rPh sb="0" eb="2">
      <t>シュシ</t>
    </rPh>
    <rPh sb="2" eb="3">
      <t>ヨウ</t>
    </rPh>
    <phoneticPr fontId="13"/>
  </si>
  <si>
    <t>販売用</t>
    <rPh sb="0" eb="3">
      <t>ハンバイヨウ</t>
    </rPh>
    <phoneticPr fontId="13"/>
  </si>
  <si>
    <t>単価</t>
    <rPh sb="0" eb="2">
      <t>タンカ</t>
    </rPh>
    <phoneticPr fontId="13"/>
  </si>
  <si>
    <t>刈取・脱穀</t>
    <rPh sb="0" eb="2">
      <t>カリトリ</t>
    </rPh>
    <rPh sb="3" eb="5">
      <t>ダッコク</t>
    </rPh>
    <phoneticPr fontId="13"/>
  </si>
  <si>
    <t>１日当たり</t>
    <rPh sb="1" eb="2">
      <t>ニチ</t>
    </rPh>
    <rPh sb="2" eb="3">
      <t>ア</t>
    </rPh>
    <phoneticPr fontId="13"/>
  </si>
  <si>
    <t>品種２</t>
    <rPh sb="0" eb="2">
      <t>ヒンシュ</t>
    </rPh>
    <phoneticPr fontId="13"/>
  </si>
  <si>
    <t>所得</t>
    <rPh sb="0" eb="2">
      <t>ショトク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</si>
  <si>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</si>
  <si>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</si>
  <si>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</si>
  <si>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</si>
  <si>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</si>
  <si>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品種３</t>
    <rPh sb="0" eb="2">
      <t>ヒンシュ</t>
    </rPh>
    <phoneticPr fontId="13"/>
  </si>
  <si>
    <t>物件税</t>
    <rPh sb="0" eb="2">
      <t>ブッケン</t>
    </rPh>
    <rPh sb="2" eb="3">
      <t>ゼイ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</si>
  <si>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</si>
  <si>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</si>
  <si>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</si>
  <si>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</si>
  <si>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４条以上</t>
    <rPh sb="1" eb="2">
      <t>ジョウ</t>
    </rPh>
    <rPh sb="2" eb="4">
      <t>イジョウ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</si>
  <si>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</si>
  <si>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</si>
  <si>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</si>
  <si>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歩行用トラクター</t>
    <rPh sb="0" eb="2">
      <t>ホコウ</t>
    </rPh>
    <rPh sb="2" eb="3">
      <t>ヨウ</t>
    </rPh>
    <phoneticPr fontId="13"/>
  </si>
  <si>
    <t>50馬力以上</t>
    <rPh sb="2" eb="4">
      <t>バリキ</t>
    </rPh>
    <rPh sb="4" eb="6">
      <t>イジョウ</t>
    </rPh>
    <phoneticPr fontId="13"/>
  </si>
  <si>
    <t>20～50馬力未満</t>
    <rPh sb="5" eb="7">
      <t>バリキ</t>
    </rPh>
    <rPh sb="7" eb="9">
      <t>ミマン</t>
    </rPh>
    <phoneticPr fontId="13"/>
  </si>
  <si>
    <t>20馬力未満</t>
    <rPh sb="2" eb="4">
      <t>バリキ</t>
    </rPh>
    <rPh sb="4" eb="6">
      <t>ミマン</t>
    </rPh>
    <phoneticPr fontId="13"/>
  </si>
  <si>
    <t>所有台数（台）</t>
    <rPh sb="0" eb="2">
      <t>ショユウ</t>
    </rPh>
    <rPh sb="2" eb="4">
      <t>ダイスウ</t>
    </rPh>
    <rPh sb="5" eb="6">
      <t>ダイ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</si>
  <si>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</si>
  <si>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</si>
  <si>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コンクリートけい畔</t>
    <rPh sb="8" eb="9">
      <t>ハン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</si>
  <si>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</si>
  <si>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</si>
  <si>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</si>
  <si>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</si>
  <si>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（参考）奨励金</t>
    <rPh sb="1" eb="3">
      <t>サンコウ</t>
    </rPh>
    <rPh sb="4" eb="7">
      <t>ショウレイキン</t>
    </rPh>
    <phoneticPr fontId="13"/>
  </si>
  <si>
    <t>中耕除草</t>
    <rPh sb="0" eb="2">
      <t>チュウコウ</t>
    </rPh>
    <rPh sb="2" eb="4">
      <t>ジョソウ</t>
    </rPh>
    <phoneticPr fontId="13"/>
  </si>
  <si>
    <t>定植</t>
    <rPh sb="0" eb="2">
      <t>テイショク</t>
    </rPh>
    <phoneticPr fontId="13"/>
  </si>
  <si>
    <t>調査作物負担分</t>
    <rPh sb="0" eb="2">
      <t>チョウサ</t>
    </rPh>
    <rPh sb="2" eb="4">
      <t>サクモツ</t>
    </rPh>
    <rPh sb="4" eb="7">
      <t>フタンブン</t>
    </rPh>
    <phoneticPr fontId="13"/>
  </si>
  <si>
    <t>自動車費</t>
    <rPh sb="0" eb="4">
      <t>ジドウシャヒ</t>
    </rPh>
    <phoneticPr fontId="13"/>
  </si>
  <si>
    <t>食用</t>
    <rPh sb="0" eb="2">
      <t>ショクヨウ</t>
    </rPh>
    <phoneticPr fontId="13"/>
  </si>
  <si>
    <t>農業共済金</t>
    <rPh sb="0" eb="2">
      <t>ノウギョウ</t>
    </rPh>
    <rPh sb="2" eb="5">
      <t>キョウサイキン</t>
    </rPh>
    <phoneticPr fontId="13"/>
  </si>
  <si>
    <t>その他</t>
    <rPh sb="2" eb="3">
      <t>タ</t>
    </rPh>
    <phoneticPr fontId="15"/>
  </si>
  <si>
    <t>は種</t>
    <rPh sb="1" eb="2">
      <t>シュ</t>
    </rPh>
    <phoneticPr fontId="13"/>
  </si>
  <si>
    <t>２等</t>
    <rPh sb="1" eb="2">
      <t>トウ</t>
    </rPh>
    <phoneticPr fontId="13"/>
  </si>
  <si>
    <t>１等</t>
    <rPh sb="1" eb="2">
      <t>トウ</t>
    </rPh>
    <phoneticPr fontId="13"/>
  </si>
  <si>
    <t>無評価</t>
    <rPh sb="0" eb="1">
      <t>ム</t>
    </rPh>
    <rPh sb="1" eb="3">
      <t>ヒョウカ</t>
    </rPh>
    <phoneticPr fontId="13"/>
  </si>
  <si>
    <t>麦わら</t>
    <rPh sb="0" eb="1">
      <t>ムギ</t>
    </rPh>
    <phoneticPr fontId="13"/>
  </si>
  <si>
    <t>くず麦</t>
    <rPh sb="2" eb="3">
      <t>ムギ</t>
    </rPh>
    <phoneticPr fontId="13"/>
  </si>
  <si>
    <t>規格外Ｃ</t>
    <rPh sb="0" eb="3">
      <t>キカクガイ</t>
    </rPh>
    <phoneticPr fontId="13"/>
  </si>
  <si>
    <t>規格外Ｂ</t>
    <rPh sb="0" eb="2">
      <t>キカク</t>
    </rPh>
    <rPh sb="2" eb="3">
      <t>ガイ</t>
    </rPh>
    <phoneticPr fontId="13"/>
  </si>
  <si>
    <t>品種５</t>
    <rPh sb="0" eb="2">
      <t>ヒンシュ</t>
    </rPh>
    <phoneticPr fontId="13"/>
  </si>
  <si>
    <t>規格外Ａ</t>
    <rPh sb="0" eb="2">
      <t>キカク</t>
    </rPh>
    <rPh sb="2" eb="3">
      <t>ガイ</t>
    </rPh>
    <phoneticPr fontId="13"/>
  </si>
  <si>
    <t>処分差損失</t>
    <rPh sb="0" eb="2">
      <t>ショブン</t>
    </rPh>
    <rPh sb="2" eb="3">
      <t>サ</t>
    </rPh>
    <rPh sb="3" eb="5">
      <t>ソンシツ</t>
    </rPh>
    <phoneticPr fontId="13"/>
  </si>
  <si>
    <t>調査作物収穫機</t>
    <rPh sb="0" eb="2">
      <t>チョウサ</t>
    </rPh>
    <rPh sb="2" eb="4">
      <t>サクモツ</t>
    </rPh>
    <rPh sb="4" eb="6">
      <t>シュウカク</t>
    </rPh>
    <rPh sb="6" eb="7">
      <t>キ</t>
    </rPh>
    <phoneticPr fontId="13"/>
  </si>
  <si>
    <t>肥料散布機</t>
    <rPh sb="0" eb="2">
      <t>ヒリョウ</t>
    </rPh>
    <rPh sb="2" eb="4">
      <t>サンプ</t>
    </rPh>
    <rPh sb="4" eb="5">
      <t>キ</t>
    </rPh>
    <phoneticPr fontId="13"/>
  </si>
  <si>
    <t>中耕除草機</t>
    <rPh sb="0" eb="2">
      <t>チュウコウ</t>
    </rPh>
    <rPh sb="2" eb="4">
      <t>ジョソウ</t>
    </rPh>
    <rPh sb="4" eb="5">
      <t>キ</t>
    </rPh>
    <phoneticPr fontId="13"/>
  </si>
  <si>
    <t>総合は種機</t>
    <rPh sb="0" eb="2">
      <t>ソウゴウ</t>
    </rPh>
    <rPh sb="3" eb="4">
      <t>シュ</t>
    </rPh>
    <rPh sb="4" eb="5">
      <t>キ</t>
    </rPh>
    <phoneticPr fontId="13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</si>
  <si>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13"/>
  </si>
  <si>
    <t>７０～７５</t>
    <phoneticPr fontId="13"/>
  </si>
  <si>
    <t>６５～７０</t>
    <phoneticPr fontId="13"/>
  </si>
  <si>
    <t>処分差損失</t>
    <phoneticPr fontId="13"/>
  </si>
  <si>
    <t>トレーラー</t>
    <phoneticPr fontId="13"/>
  </si>
  <si>
    <t>数量払</t>
    <rPh sb="0" eb="2">
      <t>スウリョウ</t>
    </rPh>
    <rPh sb="2" eb="3">
      <t>ハラ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</si>
  <si>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</si>
  <si>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構成員</t>
    <rPh sb="0" eb="3">
      <t>コウセイイン</t>
    </rPh>
    <phoneticPr fontId="13"/>
  </si>
  <si>
    <t>麦踏み</t>
    <rPh sb="0" eb="2">
      <t>ムギフ</t>
    </rPh>
    <phoneticPr fontId="13"/>
  </si>
  <si>
    <t>構成員（人）</t>
    <rPh sb="0" eb="3">
      <t>コウセイイン</t>
    </rPh>
    <rPh sb="4" eb="5">
      <t>ヒト</t>
    </rPh>
    <phoneticPr fontId="6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</si>
  <si>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6"/>
  </si>
  <si>
    <t>構成農家世帯（戸）</t>
    <rPh sb="0" eb="2">
      <t>コウセイ</t>
    </rPh>
    <rPh sb="2" eb="4">
      <t>ノウカ</t>
    </rPh>
    <rPh sb="4" eb="6">
      <t>セタイ</t>
    </rPh>
    <rPh sb="7" eb="8">
      <t>コ</t>
    </rPh>
    <phoneticPr fontId="6"/>
  </si>
  <si>
    <t>組織用</t>
    <rPh sb="0" eb="2">
      <t>ソシキ</t>
    </rPh>
    <rPh sb="2" eb="3">
      <t>ヨウ</t>
    </rPh>
    <phoneticPr fontId="13"/>
  </si>
  <si>
    <t>販売用</t>
    <rPh sb="0" eb="2">
      <t>ハンバイ</t>
    </rPh>
    <rPh sb="2" eb="3">
      <t>ヨウ</t>
    </rPh>
    <phoneticPr fontId="13"/>
  </si>
  <si>
    <t>全作業</t>
    <rPh sb="0" eb="1">
      <t>ゼン</t>
    </rPh>
    <rPh sb="1" eb="3">
      <t>サギョウ</t>
    </rPh>
    <phoneticPr fontId="13"/>
  </si>
  <si>
    <t>耕うん・整地</t>
    <rPh sb="0" eb="1">
      <t>コウウン</t>
    </rPh>
    <rPh sb="4" eb="6">
      <t>セイチ</t>
    </rPh>
    <phoneticPr fontId="13"/>
  </si>
  <si>
    <t>刈取・脱穀</t>
    <rPh sb="0" eb="2">
      <t>カリト</t>
    </rPh>
    <rPh sb="3" eb="5">
      <t>ダッコク</t>
    </rPh>
    <phoneticPr fontId="13"/>
  </si>
  <si>
    <t>構成員</t>
    <rPh sb="0" eb="3">
      <t>コウセイイン</t>
    </rPh>
    <phoneticPr fontId="6"/>
  </si>
  <si>
    <t>直接労働</t>
    <rPh sb="0" eb="2">
      <t>チョクセツ</t>
    </rPh>
    <rPh sb="2" eb="4">
      <t>ロウドウ</t>
    </rPh>
    <phoneticPr fontId="13"/>
  </si>
  <si>
    <t>間接労働</t>
    <rPh sb="0" eb="2">
      <t>カンセツ</t>
    </rPh>
    <rPh sb="2" eb="4">
      <t>ロウドウ</t>
    </rPh>
    <phoneticPr fontId="13"/>
  </si>
  <si>
    <t>調 査 作 物 負 担 構 成 員 労 働 時 間</t>
    <rPh sb="0" eb="1">
      <t>チョウ</t>
    </rPh>
    <rPh sb="2" eb="3">
      <t>サ</t>
    </rPh>
    <rPh sb="4" eb="5">
      <t>サク</t>
    </rPh>
    <rPh sb="6" eb="7">
      <t>モノ</t>
    </rPh>
    <rPh sb="8" eb="9">
      <t>フ</t>
    </rPh>
    <rPh sb="10" eb="11">
      <t>タン</t>
    </rPh>
    <rPh sb="12" eb="13">
      <t>カマエ</t>
    </rPh>
    <rPh sb="14" eb="15">
      <t>シゲル</t>
    </rPh>
    <rPh sb="16" eb="17">
      <t>イン</t>
    </rPh>
    <rPh sb="18" eb="21">
      <t>ロウドウ</t>
    </rPh>
    <rPh sb="22" eb="25">
      <t>ジカン</t>
    </rPh>
    <phoneticPr fontId="13"/>
  </si>
  <si>
    <t>小麦</t>
    <rPh sb="0" eb="2">
      <t>コムギ</t>
    </rPh>
    <phoneticPr fontId="15"/>
  </si>
  <si>
    <t>大豆</t>
    <rPh sb="0" eb="1">
      <t>ダイ</t>
    </rPh>
    <rPh sb="1" eb="2">
      <t>マメ</t>
    </rPh>
    <phoneticPr fontId="13"/>
  </si>
  <si>
    <t>特定加工用</t>
    <rPh sb="0" eb="2">
      <t>トクテイ</t>
    </rPh>
    <rPh sb="2" eb="4">
      <t>カコウ</t>
    </rPh>
    <rPh sb="4" eb="5">
      <t>ヨウ</t>
    </rPh>
    <phoneticPr fontId="13"/>
  </si>
  <si>
    <t>３等・規格外</t>
    <rPh sb="1" eb="2">
      <t>トウ</t>
    </rPh>
    <rPh sb="3" eb="5">
      <t>キカク</t>
    </rPh>
    <rPh sb="5" eb="6">
      <t>ガイ</t>
    </rPh>
    <phoneticPr fontId="13"/>
  </si>
  <si>
    <t>都道府県等</t>
    <rPh sb="0" eb="4">
      <t>トドウフケン</t>
    </rPh>
    <rPh sb="4" eb="5">
      <t>トウ</t>
    </rPh>
    <phoneticPr fontId="13"/>
  </si>
  <si>
    <t>60ｋｇ当たり</t>
    <rPh sb="4" eb="5">
      <t>ア</t>
    </rPh>
    <phoneticPr fontId="13"/>
  </si>
  <si>
    <t>１経営体当たり</t>
    <rPh sb="1" eb="4">
      <t>ケイエイタイ</t>
    </rPh>
    <rPh sb="4" eb="5">
      <t>ア</t>
    </rPh>
    <phoneticPr fontId="13"/>
  </si>
  <si>
    <t>１　経　営　体　当　た　り</t>
    <rPh sb="2" eb="3">
      <t>キョウ</t>
    </rPh>
    <rPh sb="4" eb="5">
      <t>エイ</t>
    </rPh>
    <rPh sb="6" eb="7">
      <t>カラダ</t>
    </rPh>
    <rPh sb="8" eb="9">
      <t>ア</t>
    </rPh>
    <phoneticPr fontId="14"/>
  </si>
  <si>
    <t>貨物自動車</t>
    <rPh sb="0" eb="2">
      <t>カモツ</t>
    </rPh>
    <rPh sb="2" eb="5">
      <t>ジドウシャ</t>
    </rPh>
    <phoneticPr fontId="13"/>
  </si>
  <si>
    <t>○　指標部</t>
    <rPh sb="2" eb="4">
      <t>シヒョウ</t>
    </rPh>
    <rPh sb="4" eb="5">
      <t>ブ</t>
    </rPh>
    <phoneticPr fontId="6"/>
  </si>
  <si>
    <t>畑作物の直接支払交付金</t>
    <rPh sb="0" eb="3">
      <t>ハタサクモツ</t>
    </rPh>
    <rPh sb="4" eb="6">
      <t>チョクセツ</t>
    </rPh>
    <rPh sb="6" eb="8">
      <t>シハライ</t>
    </rPh>
    <rPh sb="8" eb="11">
      <t>コウフキン</t>
    </rPh>
    <phoneticPr fontId="13"/>
  </si>
  <si>
    <t>６０ｋｇ当たり</t>
    <rPh sb="4" eb="5">
      <t>ア</t>
    </rPh>
    <phoneticPr fontId="13"/>
  </si>
  <si>
    <t>１　経　営　体　当　た　り</t>
    <rPh sb="8" eb="9">
      <t>ア</t>
    </rPh>
    <phoneticPr fontId="13"/>
  </si>
  <si>
    <t>資本額計</t>
    <rPh sb="3" eb="4">
      <t>ケイ</t>
    </rPh>
    <phoneticPr fontId="13"/>
  </si>
  <si>
    <t>乗用トラクター</t>
    <rPh sb="0" eb="2">
      <t>ジョウヨウ</t>
    </rPh>
    <phoneticPr fontId="13"/>
  </si>
  <si>
    <t>１０　　　ａ　　　当　　　た　　　り</t>
    <rPh sb="9" eb="10">
      <t>ア</t>
    </rPh>
    <phoneticPr fontId="13"/>
  </si>
  <si>
    <t>品種コード</t>
    <rPh sb="0" eb="2">
      <t>ヒンシュ</t>
    </rPh>
    <phoneticPr fontId="13"/>
  </si>
  <si>
    <t>６０　　ｋｇ　　当　　た　　り</t>
    <rPh sb="8" eb="9">
      <t>ア</t>
    </rPh>
    <phoneticPr fontId="13"/>
  </si>
  <si>
    <t>１０　　ａ　　当　　た　　り</t>
    <rPh sb="7" eb="8">
      <t>ア</t>
    </rPh>
    <phoneticPr fontId="14"/>
  </si>
  <si>
    <t>１　　経　　営　　体　　当　　た　　り</t>
    <rPh sb="3" eb="4">
      <t>キョウ</t>
    </rPh>
    <rPh sb="6" eb="7">
      <t>エイ</t>
    </rPh>
    <rPh sb="9" eb="10">
      <t>カラダ</t>
    </rPh>
    <rPh sb="12" eb="13">
      <t>ア</t>
    </rPh>
    <phoneticPr fontId="13"/>
  </si>
  <si>
    <t>数量</t>
    <phoneticPr fontId="6"/>
  </si>
  <si>
    <t>ａ</t>
    <phoneticPr fontId="13"/>
  </si>
  <si>
    <t>kg</t>
    <phoneticPr fontId="13"/>
  </si>
  <si>
    <t>構成員労働報酬</t>
    <rPh sb="0" eb="3">
      <t>コウセイイン</t>
    </rPh>
    <rPh sb="3" eb="5">
      <t>ロウドウ</t>
    </rPh>
    <rPh sb="5" eb="7">
      <t>ホウシュウ</t>
    </rPh>
    <phoneticPr fontId="13"/>
  </si>
  <si>
    <t>１０　　　　ａ　　　　当　　　　た　　　　り</t>
    <rPh sb="11" eb="12">
      <t>ア</t>
    </rPh>
    <phoneticPr fontId="13"/>
  </si>
  <si>
    <t>６０　　　　ｋｇ　　　　当　　　　た　　　　り</t>
    <rPh sb="12" eb="13">
      <t>ア</t>
    </rPh>
    <phoneticPr fontId="13"/>
  </si>
  <si>
    <t>１０ 　ａ　　当　　た　　り</t>
    <rPh sb="7" eb="8">
      <t>ア</t>
    </rPh>
    <phoneticPr fontId="13"/>
  </si>
  <si>
    <t>産地交付金</t>
    <rPh sb="0" eb="2">
      <t>サンチ</t>
    </rPh>
    <rPh sb="2" eb="5">
      <t>コウフキン</t>
    </rPh>
    <phoneticPr fontId="13"/>
  </si>
  <si>
    <t>受託作業</t>
    <rPh sb="0" eb="2">
      <t>ジュタク</t>
    </rPh>
    <rPh sb="2" eb="4">
      <t>サギョウ</t>
    </rPh>
    <phoneticPr fontId="6"/>
  </si>
  <si>
    <t>委託作業</t>
    <rPh sb="0" eb="2">
      <t>イタク</t>
    </rPh>
    <phoneticPr fontId="6"/>
  </si>
  <si>
    <t>調査作物構成員
労働評価額</t>
    <rPh sb="0" eb="2">
      <t>チョウサ</t>
    </rPh>
    <rPh sb="2" eb="4">
      <t>サクモツ</t>
    </rPh>
    <rPh sb="4" eb="7">
      <t>コウセイイン</t>
    </rPh>
    <rPh sb="8" eb="10">
      <t>ロウドウ</t>
    </rPh>
    <rPh sb="10" eb="13">
      <t>ヒョウカガク</t>
    </rPh>
    <phoneticPr fontId="6"/>
  </si>
  <si>
    <t>自給</t>
    <phoneticPr fontId="13"/>
  </si>
  <si>
    <t>面積払</t>
    <rPh sb="0" eb="2">
      <t>メンセキ</t>
    </rPh>
    <rPh sb="2" eb="3">
      <t>バライ</t>
    </rPh>
    <phoneticPr fontId="13"/>
  </si>
  <si>
    <t>住宅</t>
    <rPh sb="0" eb="2">
      <t>ジュウタク</t>
    </rPh>
    <phoneticPr fontId="13"/>
  </si>
  <si>
    <t>平均値種類</t>
    <rPh sb="0" eb="3">
      <t>ヘイキンチ</t>
    </rPh>
    <rPh sb="3" eb="5">
      <t>シュルイ</t>
    </rPh>
    <phoneticPr fontId="14"/>
  </si>
  <si>
    <t>都道府県番号</t>
  </si>
  <si>
    <t>コード</t>
    <phoneticPr fontId="6"/>
  </si>
  <si>
    <t>集計区分</t>
    <phoneticPr fontId="6"/>
  </si>
  <si>
    <t>コード</t>
  </si>
  <si>
    <t>平均値種類</t>
    <rPh sb="0" eb="3">
      <t>ヘイキンチ</t>
    </rPh>
    <rPh sb="3" eb="5">
      <t>シュルイ</t>
    </rPh>
    <phoneticPr fontId="6"/>
  </si>
  <si>
    <t>青森</t>
    <rPh sb="0" eb="2">
      <t>アオモリ</t>
    </rPh>
    <phoneticPr fontId="6"/>
  </si>
  <si>
    <t>田畑計</t>
    <rPh sb="0" eb="1">
      <t>デン</t>
    </rPh>
    <rPh sb="1" eb="2">
      <t>ハタ</t>
    </rPh>
    <rPh sb="2" eb="3">
      <t>ケイ</t>
    </rPh>
    <phoneticPr fontId="6"/>
  </si>
  <si>
    <t>通常</t>
    <rPh sb="0" eb="2">
      <t>ツウジョウ</t>
    </rPh>
    <phoneticPr fontId="6"/>
  </si>
  <si>
    <t>岩手</t>
    <rPh sb="0" eb="2">
      <t>イワテ</t>
    </rPh>
    <phoneticPr fontId="6"/>
  </si>
  <si>
    <t>田</t>
    <rPh sb="0" eb="1">
      <t>デン</t>
    </rPh>
    <phoneticPr fontId="6"/>
  </si>
  <si>
    <t>総数</t>
    <rPh sb="0" eb="2">
      <t>ソウスウ</t>
    </rPh>
    <phoneticPr fontId="14"/>
  </si>
  <si>
    <t>宮城</t>
    <rPh sb="0" eb="2">
      <t>ミヤギ</t>
    </rPh>
    <phoneticPr fontId="6"/>
  </si>
  <si>
    <t>畑</t>
    <rPh sb="0" eb="1">
      <t>ハタ</t>
    </rPh>
    <phoneticPr fontId="6"/>
  </si>
  <si>
    <t>10ａ当たり</t>
    <rPh sb="3" eb="4">
      <t>ア</t>
    </rPh>
    <phoneticPr fontId="14"/>
  </si>
  <si>
    <t>秋田</t>
    <rPh sb="0" eb="2">
      <t>アキタ</t>
    </rPh>
    <phoneticPr fontId="6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</si>
  <si>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</si>
  <si>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6"/>
  </si>
  <si>
    <t>集計対象</t>
    <rPh sb="0" eb="2">
      <t>シュウケイ</t>
    </rPh>
    <rPh sb="2" eb="4">
      <t>タイショウ</t>
    </rPh>
    <phoneticPr fontId="6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</si>
  <si>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</si>
  <si>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6"/>
  </si>
  <si>
    <t>小麦</t>
    <rPh sb="0" eb="2">
      <t>コムギ</t>
    </rPh>
    <phoneticPr fontId="6"/>
  </si>
  <si>
    <t>茨城</t>
    <rPh sb="0" eb="2">
      <t>イバラキ</t>
    </rPh>
    <phoneticPr fontId="6"/>
  </si>
  <si>
    <t>大豆</t>
    <rPh sb="0" eb="2">
      <t>ダイズ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</si>
  <si>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</si>
  <si>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</si>
  <si>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</si>
  <si>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</si>
  <si>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</si>
  <si>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30.0ha以上</t>
    <rPh sb="6" eb="8">
      <t>イジョウ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</si>
  <si>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</si>
  <si>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</si>
  <si>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</si>
  <si>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</si>
  <si>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</si>
  <si>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</si>
  <si>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</si>
  <si>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</si>
  <si>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</si>
  <si>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</si>
  <si>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</si>
  <si>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</si>
  <si>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</si>
  <si>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</si>
  <si>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</si>
  <si>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</si>
  <si>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</si>
  <si>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</si>
  <si>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</si>
  <si>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</si>
  <si>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</si>
  <si>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</si>
  <si>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</si>
  <si>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</si>
  <si>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</si>
  <si>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</si>
  <si>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</si>
  <si>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</si>
  <si>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</si>
  <si>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</si>
  <si>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</si>
  <si>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</si>
  <si>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</si>
  <si>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</si>
  <si>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</si>
  <si>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全調査対象</t>
    <rPh sb="0" eb="3">
      <t>ゼンチョウサ</t>
    </rPh>
    <rPh sb="3" eb="5">
      <t>タイショウ</t>
    </rPh>
    <phoneticPr fontId="6"/>
  </si>
  <si>
    <t>集計区分</t>
    <rPh sb="0" eb="2">
      <t>シュウケイ</t>
    </rPh>
    <rPh sb="2" eb="4">
      <t>クブン</t>
    </rPh>
    <phoneticPr fontId="6"/>
  </si>
  <si>
    <t>16　調査作物作業の受委託状況</t>
    <rPh sb="3" eb="5">
      <t>チョウサ</t>
    </rPh>
    <rPh sb="5" eb="7">
      <t>サクモツ</t>
    </rPh>
    <phoneticPr fontId="13"/>
  </si>
  <si>
    <t>９　農業共済金、各種助成措置の状況（円）</t>
  </si>
  <si>
    <t>集計経営体数</t>
    <rPh sb="0" eb="2">
      <t>シュウケイ</t>
    </rPh>
    <rPh sb="2" eb="5">
      <t>ケイエイタイ</t>
    </rPh>
    <rPh sb="5" eb="6">
      <t>スウ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</si>
  <si>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</si>
  <si>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</si>
  <si>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農機具等</t>
    <rPh sb="0" eb="3">
      <t>ノウキグ</t>
    </rPh>
    <rPh sb="3" eb="4">
      <t>トウ</t>
    </rPh>
    <phoneticPr fontId="13"/>
  </si>
  <si>
    <t>田畑区分</t>
    <rPh sb="0" eb="1">
      <t>デン</t>
    </rPh>
    <rPh sb="1" eb="2">
      <t>ハタ</t>
    </rPh>
    <rPh sb="2" eb="4">
      <t>クブン</t>
    </rPh>
    <phoneticPr fontId="6"/>
  </si>
  <si>
    <t>加重・総和の別</t>
    <rPh sb="0" eb="2">
      <t>カジュウ</t>
    </rPh>
    <rPh sb="3" eb="5">
      <t>ソウワ</t>
    </rPh>
    <rPh sb="6" eb="7">
      <t>ベツ</t>
    </rPh>
    <phoneticPr fontId="6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</si>
  <si>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</si>
  <si>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</si>
  <si>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</si>
  <si>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</si>
  <si>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</si>
  <si>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集計倍率</t>
    <rPh sb="0" eb="2">
      <t>シュウケイ</t>
    </rPh>
    <rPh sb="2" eb="4">
      <t>バイリツ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</si>
  <si>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4"/>
  </si>
  <si>
    <r>
      <t>１　生産費総括</t>
    </r>
    <r>
      <rPr>
        <sz val="6"/>
        <color theme="1"/>
        <rFont val="ＭＳ 明朝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</si>
  <si>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</si>
  <si>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</si>
  <si>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t>２　投下労働時間（時間）10ａ当たり</t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</si>
  <si>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</si>
  <si>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14　調査作物の作付面積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サクツケ</t>
    </rPh>
    <rPh sb="10" eb="12">
      <t>メンセキ</t>
    </rPh>
    <phoneticPr fontId="13"/>
  </si>
  <si>
    <r>
      <t>15　調査作物の品種別作付面積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</si>
  <si>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</si>
  <si>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r>
      <t>８　収益性</t>
    </r>
    <r>
      <rPr>
        <sz val="6"/>
        <color theme="1"/>
        <rFont val="ＭＳ 明朝"/>
        <family val="1"/>
        <charset val="128"/>
      </rPr>
      <t>（円）</t>
    </r>
    <rPh sb="2" eb="5">
      <t>シュウエキセイ</t>
    </rPh>
    <rPh sb="6" eb="7">
      <t>エン</t>
    </rPh>
    <phoneticPr fontId="13"/>
  </si>
  <si>
    <r>
      <t>12　減価償却費</t>
    </r>
    <r>
      <rPr>
        <sz val="6"/>
        <color theme="1"/>
        <rFont val="ＭＳ 明朝"/>
        <family val="1"/>
        <charset val="128"/>
      </rPr>
      <t>（円）</t>
    </r>
    <r>
      <rPr>
        <sz val="6"/>
        <color theme="1"/>
        <rFont val="ＭＳ ゴシック"/>
        <family val="3"/>
        <charset val="128"/>
      </rPr>
      <t>（所有台数は10経営体当たり）</t>
    </r>
    <rPh sb="3" eb="5">
      <t>ゲンカ</t>
    </rPh>
    <rPh sb="5" eb="8">
      <t>ショウキャクヒ</t>
    </rPh>
    <rPh sb="9" eb="10">
      <t>エン</t>
    </rPh>
    <phoneticPr fontId="13"/>
  </si>
  <si>
    <r>
      <t>21　生産物の処分内訳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</si>
  <si>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rPh sb="17" eb="18">
      <t>エン</t>
    </rPh>
    <phoneticPr fontId="13"/>
  </si>
  <si>
    <t>任意項目　10ａ当たり</t>
    <rPh sb="0" eb="2">
      <t>ニンイ</t>
    </rPh>
    <rPh sb="2" eb="4">
      <t>コウモク</t>
    </rPh>
    <phoneticPr fontId="6"/>
  </si>
  <si>
    <r>
      <t>28　構成員数等</t>
    </r>
    <r>
      <rPr>
        <sz val="6"/>
        <color theme="1"/>
        <rFont val="ＭＳ 明朝"/>
        <family val="1"/>
        <charset val="128"/>
      </rPr>
      <t>（人、戸）</t>
    </r>
    <rPh sb="3" eb="6">
      <t>コウセイイン</t>
    </rPh>
    <rPh sb="6" eb="7">
      <t>スウ</t>
    </rPh>
    <rPh sb="7" eb="8">
      <t>トウ</t>
    </rPh>
    <rPh sb="9" eb="10">
      <t>ヒト</t>
    </rPh>
    <rPh sb="11" eb="12">
      <t>コ</t>
    </rPh>
    <phoneticPr fontId="6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</si>
  <si>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</si>
  <si>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</si>
  <si>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13　年齢階層別構成員労働時間及び労働評価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phoneticPr fontId="13"/>
  </si>
  <si>
    <r>
      <t>11　借入金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エン</t>
    </rPh>
    <phoneticPr fontId="13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</si>
  <si>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</si>
  <si>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</si>
  <si>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</si>
  <si>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</si>
  <si>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</si>
  <si>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</si>
  <si>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</si>
  <si>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</si>
  <si>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</si>
  <si>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</si>
  <si>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</si>
  <si>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</si>
  <si>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</si>
  <si>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</si>
  <si>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</si>
  <si>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</si>
  <si>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</si>
  <si>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</si>
  <si>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</si>
  <si>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</si>
  <si>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</si>
  <si>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</si>
  <si>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規模階層</t>
  </si>
  <si>
    <t>5.0ha未満</t>
    <rPh sb="5" eb="7">
      <t>ミマン</t>
    </rPh>
    <phoneticPr fontId="6"/>
  </si>
  <si>
    <t>5.0～10.0</t>
    <phoneticPr fontId="6"/>
  </si>
  <si>
    <t>10.0ha以上</t>
    <rPh sb="6" eb="8">
      <t>イジョウ</t>
    </rPh>
    <phoneticPr fontId="6"/>
  </si>
  <si>
    <t>10.0～15.0</t>
    <phoneticPr fontId="6"/>
  </si>
  <si>
    <t>15.0ha以上</t>
    <rPh sb="6" eb="8">
      <t>イジョウ</t>
    </rPh>
    <phoneticPr fontId="6"/>
  </si>
  <si>
    <t>15.0～20.0</t>
    <phoneticPr fontId="6"/>
  </si>
  <si>
    <t>20.0ha以上</t>
    <rPh sb="6" eb="8">
      <t>イジョウ</t>
    </rPh>
    <phoneticPr fontId="6"/>
  </si>
  <si>
    <t>20.0～30.0</t>
    <phoneticPr fontId="6"/>
  </si>
  <si>
    <t>30.0～50.0</t>
    <phoneticPr fontId="6"/>
  </si>
  <si>
    <t>50.0ha以上</t>
    <rPh sb="6" eb="8">
      <t>イジョウ</t>
    </rPh>
    <phoneticPr fontId="6"/>
  </si>
  <si>
    <t>コード</t>
    <phoneticPr fontId="6"/>
  </si>
  <si>
    <t>5.0～10.0</t>
    <phoneticPr fontId="6"/>
  </si>
  <si>
    <t>10.0～15.0</t>
    <phoneticPr fontId="6"/>
  </si>
  <si>
    <t>15.0～20.0</t>
    <phoneticPr fontId="6"/>
  </si>
  <si>
    <t>20.0～30.0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</si>
  <si>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</si>
  <si>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</si>
  <si>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水田活用の直接支払交付金</t>
    <rPh sb="0" eb="2">
      <t>スイデン</t>
    </rPh>
    <rPh sb="2" eb="4">
      <t>カツヨウ</t>
    </rPh>
    <rPh sb="5" eb="7">
      <t>チョクセツ</t>
    </rPh>
    <rPh sb="7" eb="9">
      <t>シハライ</t>
    </rPh>
    <rPh sb="9" eb="12">
      <t>コウフキン</t>
    </rPh>
    <phoneticPr fontId="13"/>
  </si>
  <si>
    <t>自脱型
コンバイン</t>
    <rPh sb="0" eb="1">
      <t>ジ</t>
    </rPh>
    <rPh sb="1" eb="2">
      <t>ダツ</t>
    </rPh>
    <rPh sb="2" eb="3">
      <t>ガタ</t>
    </rPh>
    <phoneticPr fontId="13"/>
  </si>
  <si>
    <t>平均</t>
    <rPh sb="0" eb="2">
      <t>ヘイキン</t>
    </rPh>
    <phoneticPr fontId="6"/>
  </si>
  <si>
    <t>集計名称：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</si>
</sst>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##\ ###\ ###\ ##0.00"/>
  </numFmts>
  <fonts count="30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明朝"/>
      <family val="1"/>
      <charset val="128"/>
    </font>
    <font>
      <b/>
      <sz val="6"/>
      <color theme="1"/>
      <name val="ＭＳ ゴシック"/>
      <family val="3"/>
      <charset val="128"/>
    </font>
    <font>
      <sz val="11"/>
      <color theme="1"/>
      <name val="明朝"/>
      <family val="1"/>
      <charset val="128"/>
    </font>
    <font>
      <sz val="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6"/>
      <color theme="1"/>
      <name val="ＭＳ Ｐゴシック"/>
      <family val="3"/>
      <charset val="128"/>
    </font>
    <font>
      <sz val="4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0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hair">
        <color auto="1"/>
      </right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 diagonalDown="1">
      <left/>
      <right style="thin">
        <color auto="1"/>
      </right>
      <top/>
      <bottom style="hair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 diagonalDown="1">
      <left/>
      <right style="thin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/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thin">
        <color indexed="64"/>
      </left>
      <right style="hair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/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medium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 style="medium">
        <color auto="1"/>
      </left>
      <right/>
      <top style="hair">
        <color auto="1"/>
      </top>
      <bottom style="thin">
        <color indexed="64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7" fillId="0" borderId="0"/>
    <xf numFmtId="0" fontId="7" fillId="0" borderId="0"/>
  </cellStyleXfs>
  <cellXfs count="730">
    <xf numFmtId="0" fontId="0" fillId="0" borderId="0" xfId="0"/>
    <xf numFmtId="0" fontId="4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center" vertical="center"/>
    </xf>
    <xf numFmtId="0" fontId="4" fillId="9" borderId="0" xfId="11" applyFont="1" applyFill="1" applyAlignment="1"/>
    <xf numFmtId="0" fontId="4" fillId="9" borderId="0" xfId="1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0" xfId="11" applyFont="1" applyFill="1" applyAlignment="1">
      <alignment horizontal="center"/>
    </xf>
    <xf numFmtId="0" fontId="4" fillId="4" borderId="0" xfId="0" applyNumberFormat="1" applyFont="1" applyFill="1" applyAlignment="1">
      <alignment horizontal="center" vertical="center"/>
    </xf>
    <xf numFmtId="0" fontId="4" fillId="0" borderId="0" xfId="11" applyFont="1" applyAlignment="1"/>
    <xf numFmtId="0" fontId="4" fillId="8" borderId="0" xfId="0" applyNumberFormat="1" applyFont="1" applyFill="1"/>
    <xf numFmtId="0" fontId="4" fillId="9" borderId="0" xfId="11" applyNumberFormat="1" applyFont="1" applyFill="1" applyAlignment="1">
      <alignment horizontal="center" vertical="center"/>
    </xf>
    <xf numFmtId="0" fontId="4" fillId="7" borderId="0" xfId="0" applyNumberFormat="1" applyFont="1" applyFill="1"/>
    <xf numFmtId="0" fontId="4" fillId="10" borderId="0" xfId="0" applyNumberFormat="1" applyFont="1" applyFill="1"/>
    <xf numFmtId="0" fontId="4" fillId="6" borderId="0" xfId="0" applyNumberFormat="1" applyFont="1" applyFill="1"/>
    <xf numFmtId="0" fontId="4" fillId="11" borderId="0" xfId="11" applyFont="1" applyFill="1" applyAlignment="1"/>
    <xf numFmtId="0" fontId="4" fillId="11" borderId="0" xfId="11" applyFont="1" applyFill="1" applyAlignment="1">
      <alignment horizontal="center" vertical="center"/>
    </xf>
    <xf numFmtId="0" fontId="4" fillId="11" borderId="0" xfId="11" applyNumberFormat="1" applyFont="1" applyFill="1" applyAlignment="1">
      <alignment horizontal="center" vertical="center"/>
    </xf>
    <xf numFmtId="0" fontId="4" fillId="4" borderId="0" xfId="11" applyFont="1" applyFill="1" applyAlignment="1"/>
    <xf numFmtId="0" fontId="4" fillId="3" borderId="0" xfId="11" applyFont="1" applyFill="1" applyAlignment="1"/>
    <xf numFmtId="0" fontId="4" fillId="3" borderId="0" xfId="11" applyFont="1" applyFill="1" applyAlignment="1">
      <alignment horizontal="center" vertical="center"/>
    </xf>
    <xf numFmtId="0" fontId="4" fillId="3" borderId="0" xfId="11" applyNumberFormat="1" applyFont="1" applyFill="1" applyAlignment="1">
      <alignment horizontal="center" vertical="center"/>
    </xf>
    <xf numFmtId="0" fontId="18" fillId="0" borderId="0" xfId="95" applyFont="1" applyFill="1" applyAlignment="1" applyProtection="1">
      <alignment vertical="center"/>
    </xf>
    <xf numFmtId="0" fontId="19" fillId="0" borderId="0" xfId="93" applyFont="1" applyFill="1" applyBorder="1" applyAlignment="1" applyProtection="1">
      <alignment vertical="center"/>
    </xf>
    <xf numFmtId="0" fontId="20" fillId="0" borderId="0" xfId="93" applyFont="1" applyFill="1" applyBorder="1" applyAlignment="1" applyProtection="1"/>
    <xf numFmtId="0" fontId="21" fillId="0" borderId="0" xfId="93" applyFont="1" applyFill="1" applyBorder="1" applyAlignment="1" applyProtection="1">
      <alignment vertical="top"/>
    </xf>
    <xf numFmtId="0" fontId="16" fillId="0" borderId="0" xfId="95" applyFont="1" applyFill="1" applyAlignment="1" applyProtection="1">
      <alignment vertical="center"/>
    </xf>
    <xf numFmtId="0" fontId="20" fillId="0" borderId="30" xfId="93" applyFont="1" applyFill="1" applyBorder="1" applyAlignment="1" applyProtection="1">
      <alignment vertical="center"/>
    </xf>
    <xf numFmtId="0" fontId="21" fillId="0" borderId="11" xfId="93" applyFont="1" applyFill="1" applyBorder="1" applyAlignment="1" applyProtection="1">
      <alignment vertical="center"/>
    </xf>
    <xf numFmtId="0" fontId="16" fillId="0" borderId="11" xfId="93" applyFont="1" applyFill="1" applyBorder="1" applyAlignment="1" applyProtection="1">
      <alignment vertical="center"/>
    </xf>
    <xf numFmtId="0" fontId="16" fillId="0" borderId="11" xfId="93" applyFont="1" applyFill="1" applyBorder="1" applyAlignment="1" applyProtection="1">
      <alignment horizontal="center" vertical="center"/>
    </xf>
    <xf numFmtId="0" fontId="21" fillId="0" borderId="11" xfId="93" applyFont="1" applyFill="1" applyBorder="1" applyAlignment="1" applyProtection="1">
      <alignment horizontal="right"/>
    </xf>
    <xf numFmtId="0" fontId="16" fillId="0" borderId="51" xfId="93" applyFont="1" applyFill="1" applyBorder="1" applyAlignment="1" applyProtection="1">
      <alignment vertical="center"/>
    </xf>
    <xf numFmtId="0" fontId="18" fillId="0" borderId="0" xfId="95" applyFont="1" applyFill="1" applyBorder="1" applyAlignment="1" applyProtection="1">
      <alignment horizontal="center" vertical="center"/>
    </xf>
    <xf numFmtId="177" fontId="22" fillId="0" borderId="74" xfId="93" applyNumberFormat="1" applyFont="1" applyFill="1" applyBorder="1" applyAlignment="1" applyProtection="1">
      <alignment horizontal="center" vertical="center" shrinkToFit="1"/>
    </xf>
    <xf numFmtId="1" fontId="22" fillId="0" borderId="74" xfId="93" applyNumberFormat="1" applyFont="1" applyFill="1" applyBorder="1" applyAlignment="1" applyProtection="1">
      <alignment horizontal="center" vertical="center" shrinkToFit="1"/>
    </xf>
    <xf numFmtId="1" fontId="22" fillId="0" borderId="21" xfId="93" applyNumberFormat="1" applyFont="1" applyFill="1" applyBorder="1" applyAlignment="1" applyProtection="1">
      <alignment horizontal="center" vertical="center" shrinkToFit="1"/>
    </xf>
    <xf numFmtId="0" fontId="22" fillId="0" borderId="66" xfId="93" applyNumberFormat="1" applyFont="1" applyFill="1" applyBorder="1" applyAlignment="1" applyProtection="1">
      <alignment horizontal="center" vertical="center"/>
    </xf>
    <xf numFmtId="0" fontId="22" fillId="0" borderId="0" xfId="95" applyFont="1" applyFill="1" applyBorder="1" applyAlignment="1" applyProtection="1">
      <alignment horizontal="center" vertical="center"/>
    </xf>
    <xf numFmtId="0" fontId="22" fillId="0" borderId="0" xfId="95" applyFont="1" applyFill="1" applyAlignment="1" applyProtection="1">
      <alignment vertical="center"/>
    </xf>
    <xf numFmtId="0" fontId="16" fillId="0" borderId="30" xfId="93" applyFont="1" applyFill="1" applyBorder="1" applyAlignment="1" applyProtection="1">
      <alignment vertical="center"/>
    </xf>
    <xf numFmtId="0" fontId="23" fillId="0" borderId="11" xfId="0" applyFont="1" applyBorder="1"/>
    <xf numFmtId="0" fontId="23" fillId="0" borderId="0" xfId="0" applyFont="1"/>
    <xf numFmtId="0" fontId="16" fillId="0" borderId="0" xfId="95" applyFont="1" applyFill="1" applyBorder="1" applyAlignment="1" applyProtection="1">
      <alignment vertical="center"/>
    </xf>
    <xf numFmtId="0" fontId="16" fillId="0" borderId="98" xfId="95" applyFont="1" applyFill="1" applyBorder="1" applyAlignment="1" applyProtection="1">
      <alignment vertical="center"/>
    </xf>
    <xf numFmtId="0" fontId="18" fillId="0" borderId="0" xfId="95" applyFont="1" applyFill="1" applyBorder="1" applyAlignment="1" applyProtection="1">
      <alignment vertical="center"/>
    </xf>
    <xf numFmtId="0" fontId="23" fillId="0" borderId="0" xfId="0" applyFont="1" applyBorder="1"/>
    <xf numFmtId="0" fontId="23" fillId="0" borderId="12" xfId="0" applyFont="1" applyBorder="1"/>
    <xf numFmtId="0" fontId="16" fillId="0" borderId="54" xfId="95" applyFont="1" applyFill="1" applyBorder="1" applyAlignment="1" applyProtection="1">
      <alignment vertical="center"/>
    </xf>
    <xf numFmtId="0" fontId="16" fillId="0" borderId="85" xfId="95" applyFont="1" applyFill="1" applyBorder="1" applyAlignment="1" applyProtection="1">
      <alignment vertical="center"/>
    </xf>
    <xf numFmtId="0" fontId="16" fillId="0" borderId="51" xfId="95" applyFont="1" applyFill="1" applyBorder="1" applyAlignment="1" applyProtection="1">
      <alignment vertical="center"/>
    </xf>
    <xf numFmtId="0" fontId="16" fillId="0" borderId="12" xfId="95" applyFont="1" applyFill="1" applyBorder="1" applyAlignment="1" applyProtection="1">
      <alignment vertical="center"/>
    </xf>
    <xf numFmtId="0" fontId="20" fillId="0" borderId="50" xfId="95" applyFont="1" applyFill="1" applyBorder="1" applyAlignment="1" applyProtection="1">
      <alignment vertical="center"/>
    </xf>
    <xf numFmtId="0" fontId="20" fillId="0" borderId="49" xfId="95" applyFont="1" applyFill="1" applyBorder="1" applyAlignment="1" applyProtection="1">
      <alignment vertical="center"/>
    </xf>
    <xf numFmtId="0" fontId="20" fillId="0" borderId="59" xfId="95" applyFont="1" applyFill="1" applyBorder="1" applyAlignment="1" applyProtection="1">
      <alignment vertical="center"/>
    </xf>
    <xf numFmtId="0" fontId="16" fillId="0" borderId="54" xfId="93" applyFont="1" applyFill="1" applyBorder="1" applyAlignment="1" applyProtection="1">
      <alignment vertical="center" textRotation="255" shrinkToFit="1"/>
    </xf>
    <xf numFmtId="0" fontId="16" fillId="0" borderId="85" xfId="93" applyFont="1" applyFill="1" applyBorder="1" applyAlignment="1" applyProtection="1">
      <alignment vertical="center" textRotation="255" shrinkToFit="1"/>
    </xf>
    <xf numFmtId="0" fontId="16" fillId="0" borderId="55" xfId="95" applyFont="1" applyFill="1" applyBorder="1" applyAlignment="1" applyProtection="1">
      <alignment vertical="center"/>
    </xf>
    <xf numFmtId="0" fontId="16" fillId="0" borderId="148" xfId="95" applyFont="1" applyFill="1" applyBorder="1" applyAlignment="1" applyProtection="1">
      <alignment vertical="center"/>
    </xf>
    <xf numFmtId="0" fontId="16" fillId="0" borderId="147" xfId="95" applyFont="1" applyFill="1" applyBorder="1" applyAlignment="1" applyProtection="1">
      <alignment vertical="center"/>
    </xf>
    <xf numFmtId="0" fontId="20" fillId="0" borderId="50" xfId="95" applyFont="1" applyFill="1" applyBorder="1" applyAlignment="1" applyProtection="1">
      <alignment horizontal="left" vertical="center"/>
    </xf>
    <xf numFmtId="0" fontId="16" fillId="0" borderId="49" xfId="95" applyFont="1" applyFill="1" applyBorder="1" applyAlignment="1" applyProtection="1">
      <alignment horizontal="left" vertical="center"/>
    </xf>
    <xf numFmtId="0" fontId="16" fillId="0" borderId="59" xfId="95" applyFont="1" applyFill="1" applyBorder="1" applyAlignment="1" applyProtection="1">
      <alignment horizontal="left" vertical="center"/>
    </xf>
    <xf numFmtId="179" fontId="16" fillId="0" borderId="24" xfId="94" applyNumberFormat="1" applyFont="1" applyFill="1" applyBorder="1" applyAlignment="1" applyProtection="1">
      <alignment vertical="center" shrinkToFit="1"/>
    </xf>
    <xf numFmtId="179" fontId="16" fillId="0" borderId="33" xfId="94" applyNumberFormat="1" applyFont="1" applyFill="1" applyBorder="1" applyAlignment="1" applyProtection="1">
      <alignment vertical="center" shrinkToFit="1"/>
    </xf>
    <xf numFmtId="176" fontId="16" fillId="0" borderId="16" xfId="94" applyNumberFormat="1" applyFont="1" applyFill="1" applyBorder="1" applyAlignment="1" applyProtection="1">
      <alignment vertical="center" shrinkToFit="1"/>
    </xf>
    <xf numFmtId="0" fontId="16" fillId="0" borderId="147" xfId="93" applyFont="1" applyFill="1" applyBorder="1" applyAlignment="1" applyProtection="1">
      <alignment vertical="center"/>
    </xf>
    <xf numFmtId="0" fontId="16" fillId="0" borderId="41" xfId="95" applyFont="1" applyFill="1" applyBorder="1" applyAlignment="1" applyProtection="1">
      <alignment vertical="center"/>
    </xf>
    <xf numFmtId="179" fontId="16" fillId="0" borderId="0" xfId="94" applyNumberFormat="1" applyFont="1" applyFill="1" applyBorder="1" applyAlignment="1" applyProtection="1">
      <alignment vertical="center" shrinkToFit="1"/>
    </xf>
    <xf numFmtId="180" fontId="16" fillId="0" borderId="0" xfId="94" applyNumberFormat="1" applyFont="1" applyFill="1" applyBorder="1" applyAlignment="1" applyProtection="1">
      <alignment vertical="center" shrinkToFit="1"/>
    </xf>
    <xf numFmtId="0" fontId="16" fillId="0" borderId="13" xfId="95" applyFont="1" applyFill="1" applyBorder="1" applyAlignment="1" applyProtection="1">
      <alignment vertical="center"/>
    </xf>
    <xf numFmtId="180" fontId="16" fillId="0" borderId="12" xfId="94" applyNumberFormat="1" applyFont="1" applyFill="1" applyBorder="1" applyAlignment="1" applyProtection="1">
      <alignment vertical="center" shrinkToFit="1"/>
    </xf>
    <xf numFmtId="0" fontId="16" fillId="0" borderId="14" xfId="95" applyFont="1" applyFill="1" applyBorder="1" applyAlignment="1" applyProtection="1">
      <alignment vertical="center"/>
    </xf>
    <xf numFmtId="180" fontId="18" fillId="0" borderId="0" xfId="94" applyNumberFormat="1" applyFont="1" applyFill="1" applyBorder="1" applyAlignment="1" applyProtection="1">
      <alignment horizontal="right" vertical="center" shrinkToFit="1"/>
    </xf>
    <xf numFmtId="177" fontId="22" fillId="0" borderId="21" xfId="93" applyNumberFormat="1" applyFont="1" applyFill="1" applyBorder="1" applyAlignment="1" applyProtection="1">
      <alignment horizontal="center" vertical="center" shrinkToFit="1"/>
    </xf>
    <xf numFmtId="0" fontId="16" fillId="0" borderId="85" xfId="95" applyFont="1" applyFill="1" applyBorder="1" applyAlignment="1" applyProtection="1">
      <alignment horizontal="distributed" vertical="center"/>
    </xf>
    <xf numFmtId="0" fontId="16" fillId="0" borderId="147" xfId="95" applyFont="1" applyFill="1" applyBorder="1" applyAlignment="1" applyProtection="1">
      <alignment horizontal="distributed" vertical="center"/>
    </xf>
    <xf numFmtId="0" fontId="16" fillId="0" borderId="92" xfId="95" applyFont="1" applyFill="1" applyBorder="1" applyAlignment="1" applyProtection="1">
      <alignment vertical="center"/>
    </xf>
    <xf numFmtId="0" fontId="16" fillId="0" borderId="7" xfId="95" applyFont="1" applyFill="1" applyBorder="1" applyAlignment="1" applyProtection="1">
      <alignment vertical="center"/>
    </xf>
    <xf numFmtId="0" fontId="16" fillId="0" borderId="80" xfId="95" applyFont="1" applyFill="1" applyBorder="1" applyAlignment="1" applyProtection="1">
      <alignment vertical="center"/>
    </xf>
    <xf numFmtId="1" fontId="16" fillId="0" borderId="85" xfId="95" applyNumberFormat="1" applyFont="1" applyFill="1" applyBorder="1" applyAlignment="1" applyProtection="1">
      <alignment horizontal="distributed" vertical="center"/>
    </xf>
    <xf numFmtId="1" fontId="16" fillId="0" borderId="147" xfId="95" applyNumberFormat="1" applyFont="1" applyFill="1" applyBorder="1" applyAlignment="1" applyProtection="1">
      <alignment horizontal="distributed" vertical="center"/>
    </xf>
    <xf numFmtId="0" fontId="25" fillId="0" borderId="0" xfId="0" applyFont="1"/>
    <xf numFmtId="0" fontId="16" fillId="0" borderId="46" xfId="95" applyFont="1" applyFill="1" applyBorder="1" applyAlignment="1" applyProtection="1">
      <alignment vertical="center"/>
    </xf>
    <xf numFmtId="0" fontId="27" fillId="0" borderId="0" xfId="95" applyFont="1" applyFill="1" applyAlignment="1" applyProtection="1">
      <alignment vertical="center"/>
    </xf>
    <xf numFmtId="0" fontId="16" fillId="0" borderId="54" xfId="94" applyFont="1" applyFill="1" applyBorder="1" applyAlignment="1" applyProtection="1">
      <alignment vertical="center" shrinkToFit="1"/>
    </xf>
    <xf numFmtId="0" fontId="28" fillId="0" borderId="85" xfId="94" applyFont="1" applyFill="1" applyBorder="1" applyAlignment="1" applyProtection="1">
      <alignment vertical="center" shrinkToFit="1"/>
    </xf>
    <xf numFmtId="0" fontId="19" fillId="0" borderId="0" xfId="95" applyFont="1" applyFill="1" applyBorder="1" applyAlignment="1" applyProtection="1">
      <alignment vertical="center"/>
    </xf>
    <xf numFmtId="0" fontId="11" fillId="0" borderId="0" xfId="89" applyFont="1" applyBorder="1" applyAlignment="1">
      <alignment vertical="center"/>
    </xf>
    <xf numFmtId="0" fontId="16" fillId="0" borderId="13" xfId="95" applyFont="1" applyFill="1" applyBorder="1" applyAlignment="1" applyProtection="1">
      <alignment horizontal="distributed" vertical="center"/>
    </xf>
    <xf numFmtId="0" fontId="16" fillId="0" borderId="64" xfId="95" applyFont="1" applyFill="1" applyBorder="1" applyAlignment="1" applyProtection="1">
      <alignment horizontal="distributed" vertical="center"/>
    </xf>
    <xf numFmtId="0" fontId="16" fillId="0" borderId="0" xfId="95" applyFont="1" applyFill="1" applyBorder="1" applyAlignment="1" applyProtection="1">
      <alignment horizontal="distributed" vertical="center"/>
    </xf>
    <xf numFmtId="178" fontId="16" fillId="0" borderId="0" xfId="94" applyNumberFormat="1" applyFont="1" applyFill="1" applyBorder="1" applyAlignment="1" applyProtection="1">
      <alignment horizontal="right" vertical="center" shrinkToFit="1"/>
    </xf>
    <xf numFmtId="0" fontId="20" fillId="0" borderId="50" xfId="93" applyFont="1" applyFill="1" applyBorder="1" applyAlignment="1" applyProtection="1">
      <alignment vertical="center"/>
    </xf>
    <xf numFmtId="0" fontId="20" fillId="0" borderId="49" xfId="93" applyFont="1" applyFill="1" applyBorder="1" applyAlignment="1" applyProtection="1">
      <alignment vertical="center"/>
    </xf>
    <xf numFmtId="0" fontId="20" fillId="0" borderId="59" xfId="93" applyFont="1" applyFill="1" applyBorder="1" applyAlignment="1" applyProtection="1">
      <alignment vertical="center"/>
    </xf>
    <xf numFmtId="181" fontId="18" fillId="0" borderId="0" xfId="94" applyNumberFormat="1" applyFont="1" applyFill="1" applyBorder="1" applyAlignment="1" applyProtection="1">
      <alignment vertical="center" shrinkToFit="1"/>
    </xf>
    <xf numFmtId="0" fontId="16" fillId="0" borderId="55" xfId="93" applyFont="1" applyFill="1" applyBorder="1" applyAlignment="1" applyProtection="1">
      <alignment vertical="center"/>
    </xf>
    <xf numFmtId="0" fontId="20" fillId="0" borderId="50" xfId="93" applyFont="1" applyFill="1" applyBorder="1" applyAlignment="1" applyProtection="1">
      <alignment horizontal="left" vertical="center"/>
    </xf>
    <xf numFmtId="0" fontId="20" fillId="0" borderId="49" xfId="93" applyFont="1" applyFill="1" applyBorder="1" applyAlignment="1" applyProtection="1">
      <alignment horizontal="left" vertical="center"/>
    </xf>
    <xf numFmtId="0" fontId="20" fillId="0" borderId="59" xfId="93" applyFont="1" applyFill="1" applyBorder="1" applyAlignment="1" applyProtection="1">
      <alignment horizontal="left" vertical="center"/>
    </xf>
    <xf numFmtId="0" fontId="16" fillId="0" borderId="46" xfId="93" applyFont="1" applyFill="1" applyBorder="1" applyAlignment="1" applyProtection="1">
      <alignment vertical="center"/>
    </xf>
    <xf numFmtId="178" fontId="16" fillId="2" borderId="49" xfId="94" applyNumberFormat="1" applyFont="1" applyFill="1" applyBorder="1" applyAlignment="1" applyProtection="1">
      <alignment horizontal="right" vertical="center" shrinkToFit="1"/>
    </xf>
    <xf numFmtId="178" fontId="16" fillId="2" borderId="49" xfId="94" applyNumberFormat="1" applyFont="1" applyFill="1" applyBorder="1" applyAlignment="1" applyProtection="1">
      <alignment horizontal="right" vertical="center" shrinkToFit="1"/>
      <protection locked="0"/>
    </xf>
    <xf numFmtId="178" fontId="16" fillId="2" borderId="59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48" xfId="93" applyFont="1" applyFill="1" applyBorder="1" applyAlignment="1" applyProtection="1">
      <alignment vertical="center"/>
    </xf>
    <xf numFmtId="178" fontId="18" fillId="0" borderId="0" xfId="94" applyNumberFormat="1" applyFont="1" applyFill="1" applyBorder="1" applyAlignment="1" applyProtection="1">
      <alignment vertical="center"/>
      <protection locked="0"/>
    </xf>
    <xf numFmtId="0" fontId="18" fillId="0" borderId="0" xfId="95" applyFont="1" applyFill="1" applyBorder="1" applyAlignment="1" applyProtection="1">
      <alignment vertical="center" wrapText="1"/>
    </xf>
    <xf numFmtId="0" fontId="18" fillId="0" borderId="0" xfId="95" applyFont="1" applyFill="1" applyBorder="1" applyAlignment="1" applyProtection="1">
      <alignment vertical="center" textRotation="255" wrapText="1"/>
    </xf>
    <xf numFmtId="0" fontId="18" fillId="0" borderId="0" xfId="95" applyFont="1" applyFill="1" applyBorder="1" applyAlignment="1" applyProtection="1">
      <alignment horizontal="distributed" vertical="center"/>
    </xf>
    <xf numFmtId="0" fontId="18" fillId="0" borderId="41" xfId="95" applyFont="1" applyFill="1" applyBorder="1" applyAlignment="1" applyProtection="1">
      <alignment vertical="center"/>
    </xf>
    <xf numFmtId="1" fontId="22" fillId="0" borderId="66" xfId="93" applyNumberFormat="1" applyFont="1" applyFill="1" applyBorder="1" applyAlignment="1" applyProtection="1">
      <alignment horizontal="center" vertical="center"/>
    </xf>
    <xf numFmtId="49" fontId="16" fillId="0" borderId="12" xfId="97" applyNumberFormat="1" applyFont="1" applyFill="1" applyBorder="1" applyAlignment="1">
      <alignment horizontal="left" vertical="center"/>
    </xf>
    <xf numFmtId="0" fontId="16" fillId="0" borderId="144" xfId="95" applyFont="1" applyFill="1" applyBorder="1" applyAlignment="1" applyProtection="1">
      <alignment vertical="center"/>
    </xf>
    <xf numFmtId="0" fontId="16" fillId="0" borderId="139" xfId="95" applyFont="1" applyFill="1" applyBorder="1" applyAlignment="1" applyProtection="1">
      <alignment vertical="center"/>
    </xf>
    <xf numFmtId="0" fontId="16" fillId="0" borderId="120" xfId="95" applyFont="1" applyFill="1" applyBorder="1" applyAlignment="1" applyProtection="1">
      <alignment vertical="center"/>
    </xf>
    <xf numFmtId="0" fontId="16" fillId="0" borderId="138" xfId="95" applyFont="1" applyFill="1" applyBorder="1" applyAlignment="1" applyProtection="1">
      <alignment vertical="center"/>
    </xf>
    <xf numFmtId="0" fontId="16" fillId="0" borderId="136" xfId="95" applyFont="1" applyFill="1" applyBorder="1" applyAlignment="1" applyProtection="1">
      <alignment vertical="center"/>
    </xf>
    <xf numFmtId="0" fontId="16" fillId="0" borderId="90" xfId="95" applyFont="1" applyFill="1" applyBorder="1" applyAlignment="1" applyProtection="1">
      <alignment vertical="center"/>
    </xf>
    <xf numFmtId="0" fontId="16" fillId="0" borderId="203" xfId="93" applyFont="1" applyFill="1" applyBorder="1" applyAlignment="1" applyProtection="1">
      <alignment horizontal="distributed" vertical="center" justifyLastLine="1"/>
    </xf>
    <xf numFmtId="0" fontId="16" fillId="0" borderId="204" xfId="93" applyFont="1" applyFill="1" applyBorder="1" applyAlignment="1" applyProtection="1">
      <alignment horizontal="distributed" vertical="center" justifyLastLine="1"/>
    </xf>
    <xf numFmtId="0" fontId="16" fillId="0" borderId="205" xfId="93" applyFont="1" applyFill="1" applyBorder="1" applyAlignment="1" applyProtection="1">
      <alignment horizontal="distributed" vertical="center" justifyLastLine="1"/>
    </xf>
    <xf numFmtId="0" fontId="16" fillId="0" borderId="105" xfId="95" applyFont="1" applyFill="1" applyBorder="1" applyAlignment="1" applyProtection="1">
      <alignment horizontal="distributed" vertical="center" justifyLastLine="1"/>
    </xf>
    <xf numFmtId="0" fontId="16" fillId="0" borderId="124" xfId="95" applyFont="1" applyFill="1" applyBorder="1" applyAlignment="1" applyProtection="1">
      <alignment horizontal="distributed" vertical="center" justifyLastLine="1"/>
    </xf>
    <xf numFmtId="0" fontId="16" fillId="0" borderId="125" xfId="95" applyFont="1" applyFill="1" applyBorder="1" applyAlignment="1" applyProtection="1">
      <alignment horizontal="distributed" vertical="center" justifyLastLine="1"/>
    </xf>
    <xf numFmtId="1" fontId="16" fillId="4" borderId="18" xfId="93" applyNumberFormat="1" applyFont="1" applyFill="1" applyBorder="1" applyAlignment="1" applyProtection="1">
      <alignment horizontal="center" vertical="center" shrinkToFit="1"/>
    </xf>
    <xf numFmtId="1" fontId="16" fillId="4" borderId="45" xfId="93" applyNumberFormat="1" applyFont="1" applyFill="1" applyBorder="1" applyAlignment="1" applyProtection="1">
      <alignment horizontal="center" vertical="center" shrinkToFit="1"/>
    </xf>
    <xf numFmtId="0" fontId="22" fillId="0" borderId="21" xfId="93" applyNumberFormat="1" applyFont="1" applyFill="1" applyBorder="1" applyAlignment="1" applyProtection="1">
      <alignment horizontal="right" vertical="center" shrinkToFit="1"/>
    </xf>
    <xf numFmtId="0" fontId="22" fillId="0" borderId="18" xfId="93" applyNumberFormat="1" applyFont="1" applyFill="1" applyBorder="1" applyAlignment="1" applyProtection="1">
      <alignment horizontal="right" vertical="center" shrinkToFit="1"/>
    </xf>
    <xf numFmtId="0" fontId="22" fillId="0" borderId="45" xfId="93" applyNumberFormat="1" applyFont="1" applyFill="1" applyBorder="1" applyAlignment="1" applyProtection="1">
      <alignment horizontal="right" vertical="center" shrinkToFit="1"/>
    </xf>
    <xf numFmtId="2" fontId="22" fillId="0" borderId="21" xfId="93" applyNumberFormat="1" applyFont="1" applyFill="1" applyBorder="1" applyAlignment="1" applyProtection="1">
      <alignment horizontal="right" vertical="center"/>
    </xf>
    <xf numFmtId="2" fontId="22" fillId="0" borderId="18" xfId="93" applyNumberFormat="1" applyFont="1" applyFill="1" applyBorder="1" applyAlignment="1" applyProtection="1">
      <alignment horizontal="right" vertical="center"/>
    </xf>
    <xf numFmtId="2" fontId="22" fillId="0" borderId="45" xfId="93" applyNumberFormat="1" applyFont="1" applyFill="1" applyBorder="1" applyAlignment="1" applyProtection="1">
      <alignment horizontal="right" vertical="center"/>
    </xf>
    <xf numFmtId="0" fontId="20" fillId="0" borderId="50" xfId="95" applyFont="1" applyFill="1" applyBorder="1" applyAlignment="1" applyProtection="1">
      <alignment vertical="center"/>
    </xf>
    <xf numFmtId="0" fontId="20" fillId="0" borderId="49" xfId="95" applyFont="1" applyFill="1" applyBorder="1" applyAlignment="1" applyProtection="1">
      <alignment vertical="center"/>
    </xf>
    <xf numFmtId="0" fontId="16" fillId="0" borderId="100" xfId="95" applyFont="1" applyFill="1" applyBorder="1" applyAlignment="1" applyProtection="1">
      <alignment horizontal="distributed" vertical="center" justifyLastLine="1"/>
    </xf>
    <xf numFmtId="0" fontId="16" fillId="0" borderId="5" xfId="95" applyFont="1" applyFill="1" applyBorder="1" applyAlignment="1" applyProtection="1">
      <alignment horizontal="distributed" vertical="center" justifyLastLine="1"/>
    </xf>
    <xf numFmtId="0" fontId="16" fillId="0" borderId="168" xfId="95" applyFont="1" applyFill="1" applyBorder="1" applyAlignment="1" applyProtection="1">
      <alignment horizontal="distributed" vertical="center" justifyLastLine="1"/>
    </xf>
    <xf numFmtId="0" fontId="16" fillId="0" borderId="145" xfId="95" applyFont="1" applyFill="1" applyBorder="1" applyAlignment="1" applyProtection="1">
      <alignment horizontal="center" vertical="center"/>
    </xf>
    <xf numFmtId="0" fontId="16" fillId="0" borderId="25" xfId="95" applyFont="1" applyFill="1" applyBorder="1" applyAlignment="1" applyProtection="1">
      <alignment horizontal="center" vertical="center"/>
    </xf>
    <xf numFmtId="0" fontId="16" fillId="0" borderId="26" xfId="95" applyFont="1" applyFill="1" applyBorder="1" applyAlignment="1" applyProtection="1">
      <alignment horizontal="center" vertical="center"/>
    </xf>
    <xf numFmtId="0" fontId="16" fillId="0" borderId="56" xfId="95" applyFont="1" applyFill="1" applyBorder="1" applyAlignment="1" applyProtection="1">
      <alignment horizontal="center" vertical="center"/>
    </xf>
    <xf numFmtId="1" fontId="22" fillId="0" borderId="170" xfId="93" applyNumberFormat="1" applyFont="1" applyFill="1" applyBorder="1" applyAlignment="1" applyProtection="1">
      <alignment horizontal="center" vertical="center" shrinkToFit="1"/>
    </xf>
    <xf numFmtId="1" fontId="22" fillId="0" borderId="18" xfId="93" applyNumberFormat="1" applyFont="1" applyFill="1" applyBorder="1" applyAlignment="1" applyProtection="1">
      <alignment horizontal="center" vertical="center" shrinkToFit="1"/>
    </xf>
    <xf numFmtId="1" fontId="22" fillId="0" borderId="45" xfId="93" applyNumberFormat="1" applyFont="1" applyFill="1" applyBorder="1" applyAlignment="1" applyProtection="1">
      <alignment horizontal="center" vertical="center" shrinkToFit="1"/>
    </xf>
    <xf numFmtId="0" fontId="16" fillId="0" borderId="140" xfId="93" applyFont="1" applyFill="1" applyBorder="1" applyAlignment="1" applyProtection="1">
      <alignment horizontal="distributed" vertical="center" justifyLastLine="1"/>
    </xf>
    <xf numFmtId="0" fontId="16" fillId="0" borderId="141" xfId="93" applyFont="1" applyFill="1" applyBorder="1" applyAlignment="1" applyProtection="1">
      <alignment horizontal="distributed" vertical="center" justifyLastLine="1"/>
    </xf>
    <xf numFmtId="0" fontId="16" fillId="0" borderId="81" xfId="93" applyFont="1" applyFill="1" applyBorder="1" applyAlignment="1" applyProtection="1">
      <alignment horizontal="distributed" vertical="center" wrapText="1" justifyLastLine="1"/>
    </xf>
    <xf numFmtId="0" fontId="16" fillId="0" borderId="104" xfId="93" applyFont="1" applyFill="1" applyBorder="1" applyAlignment="1" applyProtection="1">
      <alignment horizontal="distributed" vertical="center" justifyLastLine="1"/>
    </xf>
    <xf numFmtId="0" fontId="16" fillId="0" borderId="10" xfId="93" applyFont="1" applyFill="1" applyBorder="1" applyAlignment="1" applyProtection="1">
      <alignment horizontal="distributed" vertical="center" justifyLastLine="1"/>
    </xf>
    <xf numFmtId="0" fontId="16" fillId="0" borderId="81" xfId="93" applyFont="1" applyFill="1" applyBorder="1" applyAlignment="1" applyProtection="1">
      <alignment horizontal="distributed" vertical="center" justifyLastLine="1"/>
    </xf>
    <xf numFmtId="0" fontId="16" fillId="0" borderId="7" xfId="95" applyFont="1" applyFill="1" applyBorder="1" applyAlignment="1" applyProtection="1">
      <alignment horizontal="distributed" vertical="center" justifyLastLine="1"/>
    </xf>
    <xf numFmtId="0" fontId="16" fillId="0" borderId="22" xfId="95" applyFont="1" applyFill="1" applyBorder="1" applyAlignment="1" applyProtection="1">
      <alignment horizontal="distributed" vertical="center" justifyLastLine="1"/>
    </xf>
    <xf numFmtId="178" fontId="16" fillId="0" borderId="67" xfId="94" applyNumberFormat="1" applyFont="1" applyFill="1" applyBorder="1" applyAlignment="1" applyProtection="1">
      <alignment horizontal="right" vertical="center" shrinkToFit="1"/>
    </xf>
    <xf numFmtId="178" fontId="16" fillId="0" borderId="55" xfId="94" applyNumberFormat="1" applyFont="1" applyFill="1" applyBorder="1" applyAlignment="1" applyProtection="1">
      <alignment horizontal="right" vertical="center" shrinkToFit="1"/>
    </xf>
    <xf numFmtId="178" fontId="16" fillId="0" borderId="197" xfId="94" applyNumberFormat="1" applyFont="1" applyFill="1" applyBorder="1" applyAlignment="1" applyProtection="1">
      <alignment horizontal="right" vertical="center" shrinkToFit="1"/>
    </xf>
    <xf numFmtId="0" fontId="16" fillId="0" borderId="49" xfId="95" applyFont="1" applyFill="1" applyBorder="1" applyAlignment="1" applyProtection="1">
      <alignment vertical="center"/>
    </xf>
    <xf numFmtId="0" fontId="16" fillId="0" borderId="59" xfId="95" applyFont="1" applyFill="1" applyBorder="1" applyAlignment="1" applyProtection="1">
      <alignment vertical="center"/>
    </xf>
    <xf numFmtId="49" fontId="22" fillId="5" borderId="107" xfId="94" applyNumberFormat="1" applyFont="1" applyFill="1" applyBorder="1" applyAlignment="1" applyProtection="1">
      <alignment horizontal="right" vertical="center" shrinkToFit="1"/>
    </xf>
    <xf numFmtId="49" fontId="22" fillId="5" borderId="132" xfId="94" applyNumberFormat="1" applyFont="1" applyFill="1" applyBorder="1" applyAlignment="1" applyProtection="1">
      <alignment horizontal="right" vertical="center" shrinkToFit="1"/>
    </xf>
    <xf numFmtId="49" fontId="22" fillId="0" borderId="117" xfId="94" applyNumberFormat="1" applyFont="1" applyFill="1" applyBorder="1" applyAlignment="1" applyProtection="1">
      <alignment horizontal="right" vertical="center" shrinkToFit="1"/>
    </xf>
    <xf numFmtId="49" fontId="22" fillId="0" borderId="71" xfId="94" applyNumberFormat="1" applyFont="1" applyFill="1" applyBorder="1" applyAlignment="1" applyProtection="1">
      <alignment horizontal="right" vertical="center" shrinkToFit="1"/>
    </xf>
    <xf numFmtId="0" fontId="22" fillId="0" borderId="121" xfId="95" applyFont="1" applyFill="1" applyBorder="1" applyAlignment="1" applyProtection="1">
      <alignment horizontal="center" vertical="center"/>
    </xf>
    <xf numFmtId="0" fontId="22" fillId="0" borderId="121" xfId="93" applyFont="1" applyFill="1" applyBorder="1" applyAlignment="1" applyProtection="1">
      <alignment horizontal="center" vertical="center"/>
    </xf>
    <xf numFmtId="0" fontId="22" fillId="0" borderId="143" xfId="93" applyFont="1" applyFill="1" applyBorder="1" applyAlignment="1" applyProtection="1">
      <alignment horizontal="center" vertical="center"/>
    </xf>
    <xf numFmtId="0" fontId="16" fillId="0" borderId="141" xfId="95" applyFont="1" applyFill="1" applyBorder="1" applyAlignment="1" applyProtection="1">
      <alignment horizontal="distributed" vertical="center" justifyLastLine="1"/>
    </xf>
    <xf numFmtId="0" fontId="16" fillId="0" borderId="142" xfId="95" applyFont="1" applyFill="1" applyBorder="1" applyAlignment="1" applyProtection="1">
      <alignment horizontal="distributed" vertical="center" justifyLastLine="1"/>
    </xf>
    <xf numFmtId="0" fontId="16" fillId="0" borderId="141" xfId="95" applyFont="1" applyFill="1" applyBorder="1" applyAlignment="1" applyProtection="1">
      <alignment horizontal="distributed" vertical="center" justifyLastLine="1" shrinkToFit="1"/>
    </xf>
    <xf numFmtId="49" fontId="22" fillId="0" borderId="123" xfId="94" applyNumberFormat="1" applyFont="1" applyFill="1" applyBorder="1" applyAlignment="1" applyProtection="1">
      <alignment horizontal="right" vertical="center" shrinkToFit="1"/>
    </xf>
    <xf numFmtId="0" fontId="16" fillId="0" borderId="54" xfId="95" applyFont="1" applyFill="1" applyBorder="1" applyAlignment="1" applyProtection="1">
      <alignment horizontal="distributed" vertical="center"/>
    </xf>
    <xf numFmtId="0" fontId="16" fillId="0" borderId="46" xfId="95" applyFont="1" applyFill="1" applyBorder="1" applyAlignment="1" applyProtection="1">
      <alignment horizontal="distributed" vertical="center"/>
    </xf>
    <xf numFmtId="0" fontId="16" fillId="0" borderId="47" xfId="95" applyFont="1" applyFill="1" applyBorder="1" applyAlignment="1" applyProtection="1">
      <alignment horizontal="distributed" vertical="center"/>
    </xf>
    <xf numFmtId="49" fontId="22" fillId="5" borderId="101" xfId="94" applyNumberFormat="1" applyFont="1" applyFill="1" applyBorder="1" applyAlignment="1" applyProtection="1">
      <alignment horizontal="right" vertical="center" shrinkToFit="1"/>
    </xf>
    <xf numFmtId="49" fontId="22" fillId="5" borderId="46" xfId="94" applyNumberFormat="1" applyFont="1" applyFill="1" applyBorder="1" applyAlignment="1" applyProtection="1">
      <alignment horizontal="right" vertical="center" shrinkToFit="1"/>
    </xf>
    <xf numFmtId="49" fontId="22" fillId="5" borderId="68" xfId="94" applyNumberFormat="1" applyFont="1" applyFill="1" applyBorder="1" applyAlignment="1" applyProtection="1">
      <alignment horizontal="right" vertical="center" shrinkToFit="1"/>
    </xf>
    <xf numFmtId="0" fontId="20" fillId="0" borderId="50" xfId="93" applyFont="1" applyFill="1" applyBorder="1" applyAlignment="1" applyProtection="1">
      <alignment horizontal="left" vertical="center" shrinkToFit="1"/>
    </xf>
    <xf numFmtId="0" fontId="20" fillId="0" borderId="49" xfId="93" applyFont="1" applyFill="1" applyBorder="1" applyAlignment="1" applyProtection="1">
      <alignment horizontal="left" vertical="center" shrinkToFit="1"/>
    </xf>
    <xf numFmtId="0" fontId="20" fillId="0" borderId="59" xfId="93" applyFont="1" applyFill="1" applyBorder="1" applyAlignment="1" applyProtection="1">
      <alignment horizontal="left" vertical="center" shrinkToFit="1"/>
    </xf>
    <xf numFmtId="0" fontId="16" fillId="0" borderId="71" xfId="95" applyFont="1" applyFill="1" applyBorder="1" applyAlignment="1" applyProtection="1">
      <alignment horizontal="distributed" vertical="center"/>
    </xf>
    <xf numFmtId="0" fontId="16" fillId="0" borderId="35" xfId="95" applyFont="1" applyFill="1" applyBorder="1" applyAlignment="1" applyProtection="1">
      <alignment horizontal="distributed" vertical="center"/>
    </xf>
    <xf numFmtId="49" fontId="22" fillId="5" borderId="71" xfId="94" applyNumberFormat="1" applyFont="1" applyFill="1" applyBorder="1" applyAlignment="1" applyProtection="1">
      <alignment horizontal="right" vertical="center" shrinkToFit="1"/>
    </xf>
    <xf numFmtId="49" fontId="22" fillId="5" borderId="70" xfId="94" applyNumberFormat="1" applyFont="1" applyFill="1" applyBorder="1" applyAlignment="1" applyProtection="1">
      <alignment horizontal="right" vertical="center" shrinkToFit="1"/>
    </xf>
    <xf numFmtId="49" fontId="22" fillId="5" borderId="117" xfId="94" applyNumberFormat="1" applyFont="1" applyFill="1" applyBorder="1" applyAlignment="1" applyProtection="1">
      <alignment horizontal="right" vertical="center" shrinkToFit="1"/>
    </xf>
    <xf numFmtId="49" fontId="22" fillId="5" borderId="135" xfId="94" applyNumberFormat="1" applyFont="1" applyFill="1" applyBorder="1" applyAlignment="1" applyProtection="1">
      <alignment horizontal="right" vertical="center" shrinkToFit="1"/>
    </xf>
    <xf numFmtId="0" fontId="16" fillId="0" borderId="79" xfId="95" applyFont="1" applyFill="1" applyBorder="1" applyAlignment="1" applyProtection="1">
      <alignment horizontal="center" vertical="center"/>
    </xf>
    <xf numFmtId="0" fontId="16" fillId="0" borderId="44" xfId="95" applyFont="1" applyFill="1" applyBorder="1" applyAlignment="1" applyProtection="1">
      <alignment horizontal="center" vertical="center"/>
    </xf>
    <xf numFmtId="0" fontId="16" fillId="0" borderId="103" xfId="95" applyFont="1" applyFill="1" applyBorder="1" applyAlignment="1" applyProtection="1">
      <alignment horizontal="distributed" vertical="center" justifyLastLine="1"/>
    </xf>
    <xf numFmtId="0" fontId="16" fillId="0" borderId="151" xfId="95" applyFont="1" applyFill="1" applyBorder="1" applyAlignment="1" applyProtection="1">
      <alignment horizontal="distributed" vertical="center" justifyLastLine="1"/>
    </xf>
    <xf numFmtId="0" fontId="16" fillId="0" borderId="48" xfId="95" applyFont="1" applyFill="1" applyBorder="1" applyAlignment="1" applyProtection="1">
      <alignment horizontal="distributed" vertical="center" justifyLastLine="1"/>
    </xf>
    <xf numFmtId="0" fontId="16" fillId="0" borderId="32" xfId="95" applyFont="1" applyFill="1" applyBorder="1" applyAlignment="1" applyProtection="1">
      <alignment horizontal="distributed" vertical="center" justifyLastLine="1"/>
    </xf>
    <xf numFmtId="0" fontId="16" fillId="0" borderId="33" xfId="95" applyFont="1" applyFill="1" applyBorder="1" applyAlignment="1" applyProtection="1">
      <alignment horizontal="distributed" vertical="center" justifyLastLine="1"/>
    </xf>
    <xf numFmtId="49" fontId="22" fillId="0" borderId="117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71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46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150" xfId="94" applyNumberFormat="1" applyFont="1" applyFill="1" applyBorder="1" applyAlignment="1" applyProtection="1">
      <alignment horizontal="right" vertical="center" shrinkToFit="1"/>
    </xf>
    <xf numFmtId="0" fontId="16" fillId="0" borderId="152" xfId="95" applyFont="1" applyFill="1" applyBorder="1" applyAlignment="1" applyProtection="1">
      <alignment horizontal="distributed" vertical="center"/>
    </xf>
    <xf numFmtId="0" fontId="16" fillId="0" borderId="88" xfId="95" applyFont="1" applyFill="1" applyBorder="1" applyAlignment="1" applyProtection="1">
      <alignment horizontal="distributed" vertical="center"/>
    </xf>
    <xf numFmtId="0" fontId="16" fillId="0" borderId="25" xfId="95" applyFont="1" applyFill="1" applyBorder="1" applyAlignment="1" applyProtection="1">
      <alignment horizontal="distributed" vertical="center"/>
    </xf>
    <xf numFmtId="49" fontId="22" fillId="0" borderId="101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71" xfId="95" applyFont="1" applyFill="1" applyBorder="1" applyAlignment="1" applyProtection="1">
      <alignment horizontal="center" vertical="center" shrinkToFit="1"/>
    </xf>
    <xf numFmtId="0" fontId="16" fillId="0" borderId="35" xfId="95" applyFont="1" applyFill="1" applyBorder="1" applyAlignment="1" applyProtection="1">
      <alignment horizontal="center" vertical="center" shrinkToFit="1"/>
    </xf>
    <xf numFmtId="0" fontId="16" fillId="0" borderId="110" xfId="95" applyFont="1" applyFill="1" applyBorder="1" applyAlignment="1" applyProtection="1">
      <alignment horizontal="distributed" vertical="center" justifyLastLine="1"/>
    </xf>
    <xf numFmtId="0" fontId="16" fillId="0" borderId="71" xfId="95" applyFont="1" applyFill="1" applyBorder="1" applyAlignment="1" applyProtection="1">
      <alignment horizontal="distributed" vertical="center" justifyLastLine="1"/>
    </xf>
    <xf numFmtId="0" fontId="16" fillId="0" borderId="70" xfId="95" applyFont="1" applyFill="1" applyBorder="1" applyAlignment="1" applyProtection="1">
      <alignment horizontal="distributed" vertical="center" justifyLastLine="1"/>
    </xf>
    <xf numFmtId="49" fontId="22" fillId="5" borderId="121" xfId="94" applyNumberFormat="1" applyFont="1" applyFill="1" applyBorder="1" applyAlignment="1" applyProtection="1">
      <alignment horizontal="right" vertical="center" shrinkToFit="1"/>
    </xf>
    <xf numFmtId="49" fontId="22" fillId="5" borderId="143" xfId="94" applyNumberFormat="1" applyFont="1" applyFill="1" applyBorder="1" applyAlignment="1" applyProtection="1">
      <alignment horizontal="right" vertical="center" shrinkToFit="1"/>
    </xf>
    <xf numFmtId="0" fontId="16" fillId="0" borderId="162" xfId="95" applyFont="1" applyFill="1" applyBorder="1" applyAlignment="1" applyProtection="1">
      <alignment horizontal="distributed" vertical="center" justifyLastLine="1"/>
    </xf>
    <xf numFmtId="0" fontId="16" fillId="0" borderId="121" xfId="95" applyFont="1" applyFill="1" applyBorder="1" applyAlignment="1" applyProtection="1">
      <alignment horizontal="distributed" vertical="center" justifyLastLine="1"/>
    </xf>
    <xf numFmtId="0" fontId="16" fillId="0" borderId="20" xfId="95" applyFont="1" applyFill="1" applyBorder="1" applyAlignment="1" applyProtection="1">
      <alignment horizontal="distributed" vertical="center" justifyLastLine="1"/>
    </xf>
    <xf numFmtId="49" fontId="22" fillId="5" borderId="157" xfId="94" applyNumberFormat="1" applyFont="1" applyFill="1" applyBorder="1" applyAlignment="1" applyProtection="1">
      <alignment horizontal="right" vertical="center" shrinkToFit="1"/>
    </xf>
    <xf numFmtId="0" fontId="16" fillId="0" borderId="71" xfId="93" applyFont="1" applyFill="1" applyBorder="1" applyAlignment="1" applyProtection="1">
      <alignment horizontal="center" vertical="center" shrinkToFit="1"/>
    </xf>
    <xf numFmtId="0" fontId="16" fillId="0" borderId="35" xfId="93" applyFont="1" applyFill="1" applyBorder="1" applyAlignment="1" applyProtection="1">
      <alignment horizontal="center" vertical="center" shrinkToFit="1"/>
    </xf>
    <xf numFmtId="0" fontId="20" fillId="0" borderId="50" xfId="95" applyFont="1" applyFill="1" applyBorder="1" applyAlignment="1" applyProtection="1">
      <alignment horizontal="left" vertical="center"/>
    </xf>
    <xf numFmtId="0" fontId="20" fillId="0" borderId="49" xfId="95" applyFont="1" applyFill="1" applyBorder="1" applyAlignment="1" applyProtection="1">
      <alignment horizontal="left" vertical="center"/>
    </xf>
    <xf numFmtId="0" fontId="20" fillId="0" borderId="59" xfId="95" applyFont="1" applyFill="1" applyBorder="1" applyAlignment="1" applyProtection="1">
      <alignment horizontal="left" vertical="center"/>
    </xf>
    <xf numFmtId="0" fontId="24" fillId="0" borderId="82" xfId="95" applyFont="1" applyFill="1" applyBorder="1" applyAlignment="1" applyProtection="1">
      <alignment vertical="center"/>
    </xf>
    <xf numFmtId="0" fontId="16" fillId="0" borderId="69" xfId="95" applyFont="1" applyFill="1" applyBorder="1" applyAlignment="1" applyProtection="1">
      <alignment vertical="center"/>
    </xf>
    <xf numFmtId="0" fontId="16" fillId="0" borderId="82" xfId="95" applyFont="1" applyFill="1" applyBorder="1" applyAlignment="1" applyProtection="1">
      <alignment vertical="center"/>
    </xf>
    <xf numFmtId="0" fontId="16" fillId="0" borderId="129" xfId="95" applyFont="1" applyFill="1" applyBorder="1" applyAlignment="1" applyProtection="1">
      <alignment horizontal="center" vertical="distributed" textRotation="255" justifyLastLine="1"/>
    </xf>
    <xf numFmtId="0" fontId="16" fillId="0" borderId="107" xfId="95" applyFont="1" applyFill="1" applyBorder="1" applyAlignment="1" applyProtection="1">
      <alignment horizontal="center" vertical="distributed" textRotation="255" justifyLastLine="1"/>
    </xf>
    <xf numFmtId="0" fontId="16" fillId="0" borderId="110" xfId="95" applyFont="1" applyFill="1" applyBorder="1" applyAlignment="1" applyProtection="1">
      <alignment horizontal="center" vertical="distributed" textRotation="255" justifyLastLine="1"/>
    </xf>
    <xf numFmtId="0" fontId="16" fillId="0" borderId="71" xfId="95" applyFont="1" applyFill="1" applyBorder="1" applyAlignment="1" applyProtection="1">
      <alignment horizontal="center" vertical="distributed" textRotation="255" justifyLastLine="1"/>
    </xf>
    <xf numFmtId="0" fontId="16" fillId="0" borderId="107" xfId="95" applyFont="1" applyFill="1" applyBorder="1" applyAlignment="1" applyProtection="1">
      <alignment horizontal="distributed" vertical="center" shrinkToFit="1"/>
    </xf>
    <xf numFmtId="0" fontId="16" fillId="0" borderId="61" xfId="95" applyFont="1" applyFill="1" applyBorder="1" applyAlignment="1" applyProtection="1">
      <alignment horizontal="distributed" vertical="center" shrinkToFit="1"/>
    </xf>
    <xf numFmtId="0" fontId="16" fillId="0" borderId="71" xfId="95" applyFont="1" applyFill="1" applyBorder="1" applyAlignment="1" applyProtection="1">
      <alignment horizontal="distributed" vertical="center" shrinkToFit="1"/>
    </xf>
    <xf numFmtId="0" fontId="16" fillId="0" borderId="35" xfId="95" applyFont="1" applyFill="1" applyBorder="1" applyAlignment="1" applyProtection="1">
      <alignment horizontal="distributed" vertical="center" shrinkToFit="1"/>
    </xf>
    <xf numFmtId="0" fontId="16" fillId="0" borderId="35" xfId="93" applyFont="1" applyFill="1" applyBorder="1" applyAlignment="1" applyProtection="1">
      <alignment vertical="center" shrinkToFit="1"/>
    </xf>
    <xf numFmtId="0" fontId="16" fillId="0" borderId="32" xfId="93" applyFont="1" applyFill="1" applyBorder="1" applyAlignment="1" applyProtection="1">
      <alignment vertical="center" shrinkToFit="1"/>
    </xf>
    <xf numFmtId="0" fontId="16" fillId="0" borderId="33" xfId="93" applyFont="1" applyFill="1" applyBorder="1" applyAlignment="1" applyProtection="1">
      <alignment vertical="center" shrinkToFit="1"/>
    </xf>
    <xf numFmtId="0" fontId="16" fillId="0" borderId="108" xfId="95" applyFont="1" applyFill="1" applyBorder="1" applyAlignment="1" applyProtection="1">
      <alignment horizontal="distributed" vertical="center"/>
    </xf>
    <xf numFmtId="49" fontId="22" fillId="5" borderId="117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71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10" xfId="95" applyFont="1" applyFill="1" applyBorder="1" applyAlignment="1" applyProtection="1">
      <alignment horizontal="center" vertical="center" textRotation="255" wrapText="1"/>
    </xf>
    <xf numFmtId="0" fontId="16" fillId="0" borderId="71" xfId="95" applyFont="1" applyFill="1" applyBorder="1" applyAlignment="1" applyProtection="1">
      <alignment horizontal="center" vertical="center" textRotation="255" wrapText="1"/>
    </xf>
    <xf numFmtId="0" fontId="16" fillId="0" borderId="133" xfId="95" applyFont="1" applyFill="1" applyBorder="1" applyAlignment="1" applyProtection="1">
      <alignment horizontal="center" vertical="center" textRotation="255" wrapText="1"/>
    </xf>
    <xf numFmtId="0" fontId="16" fillId="0" borderId="105" xfId="95" applyFont="1" applyFill="1" applyBorder="1" applyAlignment="1" applyProtection="1">
      <alignment horizontal="center" vertical="center" textRotation="255" wrapText="1"/>
    </xf>
    <xf numFmtId="0" fontId="16" fillId="0" borderId="110" xfId="95" applyFont="1" applyFill="1" applyBorder="1" applyAlignment="1" applyProtection="1">
      <alignment horizontal="distributed" vertical="center"/>
    </xf>
    <xf numFmtId="49" fontId="22" fillId="0" borderId="161" xfId="94" applyNumberFormat="1" applyFont="1" applyFill="1" applyBorder="1" applyAlignment="1" applyProtection="1">
      <alignment horizontal="right" vertical="center" shrinkToFit="1"/>
    </xf>
    <xf numFmtId="0" fontId="16" fillId="0" borderId="105" xfId="95" applyFont="1" applyFill="1" applyBorder="1" applyAlignment="1" applyProtection="1">
      <alignment horizontal="distributed" vertical="center" shrinkToFit="1"/>
    </xf>
    <xf numFmtId="0" fontId="16" fillId="0" borderId="66" xfId="95" applyFont="1" applyFill="1" applyBorder="1" applyAlignment="1" applyProtection="1">
      <alignment horizontal="distributed" vertical="center" shrinkToFit="1"/>
    </xf>
    <xf numFmtId="49" fontId="22" fillId="0" borderId="125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05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105" xfId="94" applyNumberFormat="1" applyFont="1" applyFill="1" applyBorder="1" applyAlignment="1" applyProtection="1">
      <alignment horizontal="right" vertical="center" shrinkToFit="1"/>
    </xf>
    <xf numFmtId="49" fontId="22" fillId="5" borderId="168" xfId="94" applyNumberFormat="1" applyFont="1" applyFill="1" applyBorder="1" applyAlignment="1" applyProtection="1">
      <alignment horizontal="right" vertical="center" shrinkToFit="1"/>
    </xf>
    <xf numFmtId="0" fontId="16" fillId="0" borderId="190" xfId="95" applyFont="1" applyFill="1" applyBorder="1" applyAlignment="1" applyProtection="1">
      <alignment vertical="center"/>
    </xf>
    <xf numFmtId="0" fontId="16" fillId="0" borderId="79" xfId="95" applyFont="1" applyFill="1" applyBorder="1" applyAlignment="1" applyProtection="1">
      <alignment vertical="center"/>
    </xf>
    <xf numFmtId="0" fontId="16" fillId="0" borderId="44" xfId="95" applyFont="1" applyFill="1" applyBorder="1" applyAlignment="1" applyProtection="1">
      <alignment vertical="center"/>
    </xf>
    <xf numFmtId="0" fontId="16" fillId="0" borderId="43" xfId="95" applyFont="1" applyFill="1" applyBorder="1" applyAlignment="1" applyProtection="1">
      <alignment vertical="center"/>
    </xf>
    <xf numFmtId="0" fontId="16" fillId="0" borderId="27" xfId="95" applyFont="1" applyFill="1" applyBorder="1" applyAlignment="1" applyProtection="1">
      <alignment horizontal="center" vertical="center" justifyLastLine="1"/>
    </xf>
    <xf numFmtId="0" fontId="16" fillId="0" borderId="29" xfId="95" applyFont="1" applyFill="1" applyBorder="1" applyAlignment="1" applyProtection="1">
      <alignment horizontal="center" vertical="center" justifyLastLine="1"/>
    </xf>
    <xf numFmtId="0" fontId="16" fillId="0" borderId="167" xfId="95" applyFont="1" applyFill="1" applyBorder="1" applyAlignment="1" applyProtection="1">
      <alignment horizontal="center" vertical="center" justifyLastLine="1"/>
    </xf>
    <xf numFmtId="0" fontId="16" fillId="0" borderId="163" xfId="95" applyFont="1" applyFill="1" applyBorder="1" applyAlignment="1" applyProtection="1">
      <alignment horizontal="distributed" vertical="center"/>
    </xf>
    <xf numFmtId="0" fontId="16" fillId="0" borderId="145" xfId="95" applyFont="1" applyFill="1" applyBorder="1" applyAlignment="1" applyProtection="1">
      <alignment horizontal="distributed" vertical="center"/>
    </xf>
    <xf numFmtId="0" fontId="16" fillId="0" borderId="27" xfId="95" applyFont="1" applyFill="1" applyBorder="1" applyAlignment="1" applyProtection="1">
      <alignment horizontal="distributed" vertical="center"/>
    </xf>
    <xf numFmtId="0" fontId="16" fillId="0" borderId="154" xfId="95" applyFont="1" applyFill="1" applyBorder="1" applyAlignment="1" applyProtection="1">
      <alignment horizontal="distributed" vertical="center"/>
    </xf>
    <xf numFmtId="0" fontId="16" fillId="0" borderId="84" xfId="95" applyFont="1" applyFill="1" applyBorder="1" applyAlignment="1" applyProtection="1">
      <alignment horizontal="distributed" vertical="center"/>
    </xf>
    <xf numFmtId="0" fontId="16" fillId="0" borderId="34" xfId="95" applyFont="1" applyFill="1" applyBorder="1" applyAlignment="1" applyProtection="1">
      <alignment horizontal="distributed" vertical="center"/>
    </xf>
    <xf numFmtId="178" fontId="16" fillId="0" borderId="75" xfId="94" applyNumberFormat="1" applyFont="1" applyFill="1" applyBorder="1" applyAlignment="1" applyProtection="1">
      <alignment horizontal="right" vertical="center" shrinkToFit="1"/>
    </xf>
    <xf numFmtId="0" fontId="16" fillId="0" borderId="155" xfId="95" applyFont="1" applyFill="1" applyBorder="1" applyAlignment="1" applyProtection="1">
      <alignment horizontal="distributed" vertical="center"/>
    </xf>
    <xf numFmtId="0" fontId="16" fillId="0" borderId="156" xfId="95" applyFont="1" applyFill="1" applyBorder="1" applyAlignment="1" applyProtection="1">
      <alignment horizontal="distributed" vertical="center"/>
    </xf>
    <xf numFmtId="0" fontId="16" fillId="0" borderId="110" xfId="95" applyFont="1" applyFill="1" applyBorder="1" applyAlignment="1" applyProtection="1">
      <alignment horizontal="center" vertical="center" shrinkToFit="1"/>
    </xf>
    <xf numFmtId="49" fontId="22" fillId="0" borderId="116" xfId="94" applyNumberFormat="1" applyFont="1" applyFill="1" applyBorder="1" applyAlignment="1" applyProtection="1">
      <alignment horizontal="right" vertical="center" shrinkToFit="1"/>
    </xf>
    <xf numFmtId="178" fontId="16" fillId="0" borderId="64" xfId="94" applyNumberFormat="1" applyFont="1" applyFill="1" applyBorder="1" applyAlignment="1" applyProtection="1">
      <alignment horizontal="right" vertical="center" shrinkToFit="1"/>
    </xf>
    <xf numFmtId="178" fontId="16" fillId="0" borderId="148" xfId="94" applyNumberFormat="1" applyFont="1" applyFill="1" applyBorder="1" applyAlignment="1" applyProtection="1">
      <alignment horizontal="right" vertical="center" shrinkToFit="1"/>
    </xf>
    <xf numFmtId="178" fontId="16" fillId="0" borderId="196" xfId="94" applyNumberFormat="1" applyFont="1" applyFill="1" applyBorder="1" applyAlignment="1" applyProtection="1">
      <alignment horizontal="right" vertical="center" shrinkToFit="1"/>
    </xf>
    <xf numFmtId="0" fontId="20" fillId="0" borderId="50" xfId="93" applyFont="1" applyFill="1" applyBorder="1" applyAlignment="1" applyProtection="1">
      <alignment horizontal="left" vertical="center"/>
    </xf>
    <xf numFmtId="0" fontId="20" fillId="0" borderId="49" xfId="93" applyFont="1" applyFill="1" applyBorder="1" applyAlignment="1" applyProtection="1">
      <alignment horizontal="left" vertical="center"/>
    </xf>
    <xf numFmtId="0" fontId="20" fillId="0" borderId="59" xfId="93" applyFont="1" applyFill="1" applyBorder="1" applyAlignment="1" applyProtection="1">
      <alignment horizontal="left" vertical="center"/>
    </xf>
    <xf numFmtId="0" fontId="20" fillId="0" borderId="23" xfId="95" applyFont="1" applyFill="1" applyBorder="1" applyAlignment="1" applyProtection="1">
      <alignment horizontal="left" vertical="center"/>
    </xf>
    <xf numFmtId="0" fontId="16" fillId="0" borderId="162" xfId="95" applyFont="1" applyFill="1" applyBorder="1" applyAlignment="1" applyProtection="1">
      <alignment horizontal="distributed" vertical="center"/>
    </xf>
    <xf numFmtId="0" fontId="16" fillId="0" borderId="121" xfId="95" applyFont="1" applyFill="1" applyBorder="1" applyAlignment="1" applyProtection="1">
      <alignment horizontal="distributed" vertical="center"/>
    </xf>
    <xf numFmtId="0" fontId="16" fillId="0" borderId="21" xfId="95" applyFont="1" applyFill="1" applyBorder="1" applyAlignment="1" applyProtection="1">
      <alignment horizontal="distributed" vertical="center"/>
    </xf>
    <xf numFmtId="49" fontId="22" fillId="0" borderId="166" xfId="94" applyNumberFormat="1" applyFont="1" applyFill="1" applyBorder="1" applyAlignment="1" applyProtection="1">
      <alignment horizontal="right" vertical="center" shrinkToFit="1"/>
    </xf>
    <xf numFmtId="49" fontId="22" fillId="5" borderId="20" xfId="94" applyNumberFormat="1" applyFont="1" applyFill="1" applyBorder="1" applyAlignment="1" applyProtection="1">
      <alignment horizontal="right" vertical="center" shrinkToFit="1"/>
    </xf>
    <xf numFmtId="0" fontId="16" fillId="0" borderId="170" xfId="95" applyFont="1" applyFill="1" applyBorder="1" applyAlignment="1" applyProtection="1">
      <alignment horizontal="distributed" vertical="center"/>
    </xf>
    <xf numFmtId="0" fontId="16" fillId="0" borderId="18" xfId="95" applyFont="1" applyFill="1" applyBorder="1" applyAlignment="1" applyProtection="1">
      <alignment horizontal="distributed" vertical="center"/>
    </xf>
    <xf numFmtId="49" fontId="22" fillId="5" borderId="156" xfId="94" applyNumberFormat="1" applyFont="1" applyFill="1" applyBorder="1" applyAlignment="1" applyProtection="1">
      <alignment horizontal="right" vertical="center" shrinkToFit="1"/>
    </xf>
    <xf numFmtId="49" fontId="22" fillId="5" borderId="172" xfId="94" applyNumberFormat="1" applyFont="1" applyFill="1" applyBorder="1" applyAlignment="1" applyProtection="1">
      <alignment horizontal="right" vertical="center" shrinkToFit="1"/>
    </xf>
    <xf numFmtId="49" fontId="22" fillId="0" borderId="34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32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31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05" xfId="95" applyFont="1" applyFill="1" applyBorder="1" applyAlignment="1" applyProtection="1">
      <alignment horizontal="center" vertical="center"/>
    </xf>
    <xf numFmtId="0" fontId="16" fillId="0" borderId="124" xfId="95" applyFont="1" applyFill="1" applyBorder="1" applyAlignment="1" applyProtection="1">
      <alignment horizontal="center" vertical="center"/>
    </xf>
    <xf numFmtId="0" fontId="16" fillId="0" borderId="65" xfId="95" applyFont="1" applyFill="1" applyBorder="1" applyAlignment="1" applyProtection="1">
      <alignment horizontal="center" vertical="center"/>
    </xf>
    <xf numFmtId="0" fontId="16" fillId="0" borderId="168" xfId="95" applyFont="1" applyFill="1" applyBorder="1" applyAlignment="1" applyProtection="1">
      <alignment horizontal="center" vertical="center"/>
    </xf>
    <xf numFmtId="49" fontId="22" fillId="0" borderId="27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29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67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25" xfId="95" applyFont="1" applyFill="1" applyBorder="1" applyAlignment="1" applyProtection="1">
      <alignment horizontal="center" vertical="center"/>
    </xf>
    <xf numFmtId="0" fontId="16" fillId="0" borderId="10" xfId="95" applyFont="1" applyFill="1" applyBorder="1" applyAlignment="1" applyProtection="1">
      <alignment horizontal="distributed" vertical="center" justifyLastLine="1"/>
    </xf>
    <xf numFmtId="0" fontId="16" fillId="0" borderId="0" xfId="95" applyFont="1" applyFill="1" applyBorder="1" applyAlignment="1" applyProtection="1">
      <alignment horizontal="distributed" vertical="center" justifyLastLine="1"/>
    </xf>
    <xf numFmtId="0" fontId="16" fillId="0" borderId="81" xfId="95" applyFont="1" applyFill="1" applyBorder="1" applyAlignment="1" applyProtection="1">
      <alignment horizontal="distributed" vertical="center" justifyLastLine="1"/>
    </xf>
    <xf numFmtId="0" fontId="16" fillId="0" borderId="98" xfId="95" applyFont="1" applyFill="1" applyBorder="1" applyAlignment="1" applyProtection="1">
      <alignment horizontal="distributed" vertical="center" justifyLastLine="1"/>
    </xf>
    <xf numFmtId="49" fontId="22" fillId="5" borderId="126" xfId="94" applyNumberFormat="1" applyFont="1" applyFill="1" applyBorder="1" applyAlignment="1" applyProtection="1">
      <alignment horizontal="right" vertical="center" shrinkToFit="1"/>
    </xf>
    <xf numFmtId="49" fontId="22" fillId="0" borderId="25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2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60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35" xfId="93" applyFont="1" applyFill="1" applyBorder="1" applyAlignment="1" applyProtection="1">
      <alignment horizontal="distributed" vertical="center"/>
    </xf>
    <xf numFmtId="0" fontId="16" fillId="0" borderId="32" xfId="93" applyFont="1" applyFill="1" applyBorder="1" applyAlignment="1" applyProtection="1">
      <alignment horizontal="distributed" vertical="center"/>
    </xf>
    <xf numFmtId="49" fontId="22" fillId="0" borderId="52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33" xfId="94" applyNumberFormat="1" applyFont="1" applyFill="1" applyBorder="1" applyAlignment="1" applyProtection="1">
      <alignment horizontal="right" vertical="center" shrinkToFit="1"/>
    </xf>
    <xf numFmtId="49" fontId="22" fillId="5" borderId="84" xfId="94" applyNumberFormat="1" applyFont="1" applyFill="1" applyBorder="1" applyAlignment="1" applyProtection="1">
      <alignment horizontal="right" vertical="center" shrinkToFit="1"/>
    </xf>
    <xf numFmtId="49" fontId="22" fillId="5" borderId="171" xfId="94" applyNumberFormat="1" applyFont="1" applyFill="1" applyBorder="1" applyAlignment="1" applyProtection="1">
      <alignment horizontal="right" vertical="center" shrinkToFit="1"/>
    </xf>
    <xf numFmtId="0" fontId="16" fillId="0" borderId="32" xfId="95" applyFont="1" applyFill="1" applyBorder="1" applyAlignment="1" applyProtection="1">
      <alignment horizontal="distributed" vertical="center"/>
    </xf>
    <xf numFmtId="0" fontId="16" fillId="0" borderId="42" xfId="93" applyFont="1" applyFill="1" applyBorder="1" applyAlignment="1" applyProtection="1">
      <alignment horizontal="distributed" vertical="center"/>
    </xf>
    <xf numFmtId="0" fontId="16" fillId="0" borderId="2" xfId="93" applyFont="1" applyFill="1" applyBorder="1" applyAlignment="1" applyProtection="1">
      <alignment horizontal="distributed" vertical="center"/>
    </xf>
    <xf numFmtId="0" fontId="16" fillId="0" borderId="1" xfId="93" applyFont="1" applyFill="1" applyBorder="1" applyAlignment="1" applyProtection="1">
      <alignment horizontal="distributed" vertical="center"/>
    </xf>
    <xf numFmtId="0" fontId="16" fillId="0" borderId="71" xfId="93" applyFont="1" applyFill="1" applyBorder="1" applyAlignment="1" applyProtection="1">
      <alignment horizontal="distributed" vertical="center"/>
    </xf>
    <xf numFmtId="49" fontId="22" fillId="0" borderId="84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71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35" xfId="94" applyNumberFormat="1" applyFont="1" applyFill="1" applyBorder="1" applyAlignment="1" applyProtection="1">
      <alignment horizontal="right" vertical="center" shrinkToFit="1"/>
    </xf>
    <xf numFmtId="177" fontId="22" fillId="0" borderId="32" xfId="94" applyNumberFormat="1" applyFont="1" applyFill="1" applyBorder="1" applyAlignment="1" applyProtection="1">
      <alignment horizontal="center" vertical="center" shrinkToFit="1"/>
      <protection locked="0"/>
    </xf>
    <xf numFmtId="177" fontId="22" fillId="0" borderId="33" xfId="94" applyNumberFormat="1" applyFont="1" applyFill="1" applyBorder="1" applyAlignment="1" applyProtection="1">
      <alignment horizontal="center" vertical="center" shrinkToFit="1"/>
      <protection locked="0"/>
    </xf>
    <xf numFmtId="49" fontId="22" fillId="0" borderId="160" xfId="93" applyNumberFormat="1" applyFont="1" applyFill="1" applyBorder="1" applyAlignment="1" applyProtection="1">
      <alignment horizontal="right" vertical="center" shrinkToFit="1"/>
    </xf>
    <xf numFmtId="49" fontId="22" fillId="0" borderId="93" xfId="93" applyNumberFormat="1" applyFont="1" applyFill="1" applyBorder="1" applyAlignment="1" applyProtection="1">
      <alignment horizontal="right" vertical="center" shrinkToFit="1"/>
    </xf>
    <xf numFmtId="49" fontId="22" fillId="0" borderId="115" xfId="93" applyNumberFormat="1" applyFont="1" applyFill="1" applyBorder="1" applyAlignment="1" applyProtection="1">
      <alignment horizontal="right" vertical="center" shrinkToFit="1"/>
    </xf>
    <xf numFmtId="49" fontId="22" fillId="0" borderId="122" xfId="93" applyNumberFormat="1" applyFont="1" applyFill="1" applyBorder="1" applyAlignment="1" applyProtection="1">
      <alignment horizontal="right" vertical="center" shrinkToFit="1"/>
    </xf>
    <xf numFmtId="49" fontId="22" fillId="0" borderId="198" xfId="93" applyNumberFormat="1" applyFont="1" applyFill="1" applyBorder="1" applyAlignment="1" applyProtection="1">
      <alignment horizontal="right" vertical="center" shrinkToFit="1"/>
    </xf>
    <xf numFmtId="0" fontId="16" fillId="0" borderId="7" xfId="95" applyFont="1" applyFill="1" applyBorder="1" applyAlignment="1" applyProtection="1">
      <alignment horizontal="center" vertical="center"/>
    </xf>
    <xf numFmtId="0" fontId="16" fillId="0" borderId="6" xfId="95" applyFont="1" applyFill="1" applyBorder="1" applyAlignment="1" applyProtection="1">
      <alignment horizontal="center" vertical="center"/>
    </xf>
    <xf numFmtId="0" fontId="16" fillId="0" borderId="112" xfId="95" applyFont="1" applyFill="1" applyBorder="1" applyAlignment="1" applyProtection="1">
      <alignment horizontal="distributed" vertical="center" justifyLastLine="1"/>
    </xf>
    <xf numFmtId="49" fontId="22" fillId="5" borderId="113" xfId="94" applyNumberFormat="1" applyFont="1" applyFill="1" applyBorder="1" applyAlignment="1" applyProtection="1">
      <alignment horizontal="right" vertical="center" shrinkToFit="1"/>
    </xf>
    <xf numFmtId="49" fontId="22" fillId="5" borderId="53" xfId="94" applyNumberFormat="1" applyFont="1" applyFill="1" applyBorder="1" applyAlignment="1" applyProtection="1">
      <alignment horizontal="right" vertical="center" shrinkToFit="1"/>
    </xf>
    <xf numFmtId="49" fontId="22" fillId="5" borderId="158" xfId="94" applyNumberFormat="1" applyFont="1" applyFill="1" applyBorder="1" applyAlignment="1" applyProtection="1">
      <alignment horizontal="right" vertical="center" shrinkToFit="1"/>
    </xf>
    <xf numFmtId="49" fontId="22" fillId="0" borderId="173" xfId="94" applyNumberFormat="1" applyFont="1" applyFill="1" applyBorder="1" applyAlignment="1" applyProtection="1">
      <alignment horizontal="center" vertical="center" shrinkToFit="1"/>
    </xf>
    <xf numFmtId="49" fontId="22" fillId="0" borderId="174" xfId="94" applyNumberFormat="1" applyFont="1" applyFill="1" applyBorder="1" applyAlignment="1" applyProtection="1">
      <alignment horizontal="center" vertical="center" shrinkToFit="1"/>
    </xf>
    <xf numFmtId="49" fontId="22" fillId="5" borderId="27" xfId="94" applyNumberFormat="1" applyFont="1" applyFill="1" applyBorder="1" applyAlignment="1" applyProtection="1">
      <alignment horizontal="right" vertical="center" shrinkToFit="1"/>
    </xf>
    <xf numFmtId="49" fontId="22" fillId="5" borderId="29" xfId="94" applyNumberFormat="1" applyFont="1" applyFill="1" applyBorder="1" applyAlignment="1" applyProtection="1">
      <alignment horizontal="right" vertical="center" shrinkToFit="1"/>
    </xf>
    <xf numFmtId="49" fontId="22" fillId="5" borderId="167" xfId="94" applyNumberFormat="1" applyFont="1" applyFill="1" applyBorder="1" applyAlignment="1" applyProtection="1">
      <alignment horizontal="right" vertical="center" shrinkToFit="1"/>
    </xf>
    <xf numFmtId="0" fontId="16" fillId="0" borderId="74" xfId="95" applyFont="1" applyFill="1" applyBorder="1" applyAlignment="1" applyProtection="1">
      <alignment horizontal="distributed" vertical="center"/>
    </xf>
    <xf numFmtId="0" fontId="16" fillId="0" borderId="48" xfId="95" applyFont="1" applyFill="1" applyBorder="1" applyAlignment="1" applyProtection="1">
      <alignment horizontal="center" vertical="distributed" textRotation="255"/>
    </xf>
    <xf numFmtId="0" fontId="16" fillId="0" borderId="170" xfId="95" applyFont="1" applyFill="1" applyBorder="1" applyAlignment="1" applyProtection="1"/>
    <xf numFmtId="0" fontId="16" fillId="0" borderId="33" xfId="95" applyFont="1" applyFill="1" applyBorder="1" applyAlignment="1" applyProtection="1">
      <alignment horizontal="distributed" vertical="center"/>
    </xf>
    <xf numFmtId="0" fontId="16" fillId="0" borderId="3" xfId="93" applyFont="1" applyFill="1" applyBorder="1" applyAlignment="1" applyProtection="1">
      <alignment horizontal="distributed" vertical="center" justifyLastLine="1"/>
    </xf>
    <xf numFmtId="0" fontId="16" fillId="0" borderId="9" xfId="93" applyFont="1" applyFill="1" applyBorder="1" applyAlignment="1" applyProtection="1">
      <alignment horizontal="distributed" vertical="center" justifyLastLine="1"/>
    </xf>
    <xf numFmtId="0" fontId="16" fillId="0" borderId="77" xfId="93" applyFont="1" applyFill="1" applyBorder="1" applyAlignment="1" applyProtection="1">
      <alignment horizontal="distributed" vertical="center" justifyLastLine="1"/>
    </xf>
    <xf numFmtId="177" fontId="22" fillId="0" borderId="18" xfId="94" applyNumberFormat="1" applyFont="1" applyFill="1" applyBorder="1" applyAlignment="1" applyProtection="1">
      <alignment horizontal="center" vertical="center" shrinkToFit="1"/>
      <protection locked="0"/>
    </xf>
    <xf numFmtId="177" fontId="22" fillId="0" borderId="16" xfId="94" applyNumberFormat="1" applyFont="1" applyFill="1" applyBorder="1" applyAlignment="1" applyProtection="1">
      <alignment horizontal="center" vertical="center" shrinkToFit="1"/>
      <protection locked="0"/>
    </xf>
    <xf numFmtId="49" fontId="22" fillId="0" borderId="15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72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34" xfId="94" applyNumberFormat="1" applyFont="1" applyFill="1" applyBorder="1" applyAlignment="1" applyProtection="1">
      <alignment horizontal="right" vertical="center" shrinkToFit="1"/>
    </xf>
    <xf numFmtId="49" fontId="22" fillId="5" borderId="21" xfId="94" applyNumberFormat="1" applyFont="1" applyFill="1" applyBorder="1" applyAlignment="1" applyProtection="1">
      <alignment horizontal="right" vertical="center" shrinkToFit="1"/>
    </xf>
    <xf numFmtId="0" fontId="16" fillId="0" borderId="16" xfId="95" applyFont="1" applyFill="1" applyBorder="1" applyAlignment="1" applyProtection="1">
      <alignment horizontal="distributed" vertical="center"/>
    </xf>
    <xf numFmtId="0" fontId="16" fillId="0" borderId="20" xfId="95" applyFont="1" applyFill="1" applyBorder="1" applyAlignment="1" applyProtection="1">
      <alignment horizontal="distributed" vertical="center"/>
    </xf>
    <xf numFmtId="49" fontId="22" fillId="0" borderId="157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21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82" xfId="95" applyFont="1" applyFill="1" applyBorder="1" applyAlignment="1" applyProtection="1">
      <alignment horizontal="center" vertical="center" textRotation="255"/>
    </xf>
    <xf numFmtId="49" fontId="22" fillId="5" borderId="47" xfId="94" applyNumberFormat="1" applyFont="1" applyFill="1" applyBorder="1" applyAlignment="1" applyProtection="1">
      <alignment horizontal="right" vertical="center" shrinkToFit="1"/>
    </xf>
    <xf numFmtId="0" fontId="16" fillId="0" borderId="29" xfId="95" applyFont="1" applyFill="1" applyBorder="1" applyAlignment="1" applyProtection="1">
      <alignment horizontal="distributed" vertical="center"/>
    </xf>
    <xf numFmtId="49" fontId="22" fillId="5" borderId="32" xfId="94" applyNumberFormat="1" applyFont="1" applyFill="1" applyBorder="1" applyAlignment="1" applyProtection="1">
      <alignment horizontal="right" vertical="center" shrinkToFit="1"/>
    </xf>
    <xf numFmtId="49" fontId="22" fillId="5" borderId="52" xfId="94" applyNumberFormat="1" applyFont="1" applyFill="1" applyBorder="1" applyAlignment="1" applyProtection="1">
      <alignment horizontal="right" vertical="center" shrinkToFit="1"/>
    </xf>
    <xf numFmtId="0" fontId="16" fillId="0" borderId="154" xfId="93" applyFont="1" applyFill="1" applyBorder="1" applyAlignment="1" applyProtection="1">
      <alignment horizontal="center" vertical="center"/>
    </xf>
    <xf numFmtId="0" fontId="16" fillId="0" borderId="84" xfId="93" applyFont="1" applyFill="1" applyBorder="1" applyAlignment="1" applyProtection="1">
      <alignment horizontal="center" vertical="center"/>
    </xf>
    <xf numFmtId="0" fontId="16" fillId="0" borderId="34" xfId="93" applyFont="1" applyFill="1" applyBorder="1" applyAlignment="1" applyProtection="1">
      <alignment horizontal="center" vertical="center"/>
    </xf>
    <xf numFmtId="0" fontId="16" fillId="0" borderId="83" xfId="93" applyFont="1" applyFill="1" applyBorder="1" applyAlignment="1" applyProtection="1">
      <alignment horizontal="center" vertical="distributed" textRotation="255" justifyLastLine="1"/>
    </xf>
    <xf numFmtId="0" fontId="16" fillId="0" borderId="48" xfId="93" applyFont="1" applyFill="1" applyBorder="1" applyAlignment="1" applyProtection="1">
      <alignment horizontal="center" vertical="distributed" textRotation="255" justifyLastLine="1"/>
    </xf>
    <xf numFmtId="49" fontId="22" fillId="5" borderId="28" xfId="94" applyNumberFormat="1" applyFont="1" applyFill="1" applyBorder="1" applyAlignment="1" applyProtection="1">
      <alignment horizontal="right" vertical="center" shrinkToFit="1"/>
    </xf>
    <xf numFmtId="49" fontId="22" fillId="5" borderId="145" xfId="94" applyNumberFormat="1" applyFont="1" applyFill="1" applyBorder="1" applyAlignment="1" applyProtection="1">
      <alignment horizontal="right" vertical="center" shrinkToFit="1"/>
    </xf>
    <xf numFmtId="49" fontId="22" fillId="5" borderId="169" xfId="94" applyNumberFormat="1" applyFont="1" applyFill="1" applyBorder="1" applyAlignment="1" applyProtection="1">
      <alignment horizontal="right" vertical="center" shrinkToFit="1"/>
    </xf>
    <xf numFmtId="0" fontId="16" fillId="0" borderId="0" xfId="93" applyFont="1" applyFill="1" applyBorder="1" applyAlignment="1" applyProtection="1">
      <alignment horizontal="distributed" vertical="center" justifyLastLine="1"/>
    </xf>
    <xf numFmtId="0" fontId="16" fillId="0" borderId="153" xfId="93" applyFont="1" applyFill="1" applyBorder="1" applyAlignment="1" applyProtection="1">
      <alignment horizontal="distributed" vertical="center"/>
    </xf>
    <xf numFmtId="0" fontId="16" fillId="0" borderId="84" xfId="93" applyFont="1" applyFill="1" applyBorder="1" applyAlignment="1" applyProtection="1">
      <alignment horizontal="distributed" vertical="center"/>
    </xf>
    <xf numFmtId="0" fontId="16" fillId="0" borderId="34" xfId="93" applyFont="1" applyFill="1" applyBorder="1" applyAlignment="1" applyProtection="1">
      <alignment horizontal="distributed" vertical="center"/>
    </xf>
    <xf numFmtId="49" fontId="22" fillId="0" borderId="97" xfId="94" applyNumberFormat="1" applyFont="1" applyFill="1" applyBorder="1" applyAlignment="1" applyProtection="1">
      <alignment horizontal="right" vertical="center" shrinkToFit="1"/>
    </xf>
    <xf numFmtId="49" fontId="22" fillId="0" borderId="159" xfId="94" applyNumberFormat="1" applyFont="1" applyFill="1" applyBorder="1" applyAlignment="1" applyProtection="1">
      <alignment horizontal="right" vertical="center" shrinkToFit="1"/>
    </xf>
    <xf numFmtId="49" fontId="22" fillId="0" borderId="160" xfId="94" applyNumberFormat="1" applyFont="1" applyFill="1" applyBorder="1" applyAlignment="1" applyProtection="1">
      <alignment horizontal="right" vertical="center" shrinkToFit="1"/>
    </xf>
    <xf numFmtId="0" fontId="16" fillId="0" borderId="21" xfId="93" applyFont="1" applyFill="1" applyBorder="1" applyAlignment="1" applyProtection="1">
      <alignment horizontal="distributed" vertical="center"/>
    </xf>
    <xf numFmtId="0" fontId="16" fillId="0" borderId="18" xfId="93" applyFont="1" applyFill="1" applyBorder="1" applyAlignment="1" applyProtection="1">
      <alignment horizontal="distributed" vertical="center"/>
    </xf>
    <xf numFmtId="0" fontId="16" fillId="0" borderId="16" xfId="93" applyFont="1" applyFill="1" applyBorder="1" applyAlignment="1" applyProtection="1">
      <alignment horizontal="distributed" vertical="center"/>
    </xf>
    <xf numFmtId="49" fontId="22" fillId="5" borderId="17" xfId="94" applyNumberFormat="1" applyFont="1" applyFill="1" applyBorder="1" applyAlignment="1" applyProtection="1">
      <alignment horizontal="right" vertical="center" shrinkToFit="1"/>
    </xf>
    <xf numFmtId="49" fontId="22" fillId="5" borderId="18" xfId="94" applyNumberFormat="1" applyFont="1" applyFill="1" applyBorder="1" applyAlignment="1" applyProtection="1">
      <alignment horizontal="right" vertical="center" shrinkToFit="1"/>
    </xf>
    <xf numFmtId="49" fontId="22" fillId="5" borderId="45" xfId="94" applyNumberFormat="1" applyFont="1" applyFill="1" applyBorder="1" applyAlignment="1" applyProtection="1">
      <alignment horizontal="right" vertical="center" shrinkToFit="1"/>
    </xf>
    <xf numFmtId="49" fontId="22" fillId="0" borderId="176" xfId="94" applyNumberFormat="1" applyFont="1" applyFill="1" applyBorder="1" applyAlignment="1" applyProtection="1">
      <alignment horizontal="right" vertical="center" shrinkToFit="1"/>
    </xf>
    <xf numFmtId="49" fontId="22" fillId="0" borderId="164" xfId="94" applyNumberFormat="1" applyFont="1" applyFill="1" applyBorder="1" applyAlignment="1" applyProtection="1">
      <alignment horizontal="right" vertical="center" shrinkToFit="1"/>
    </xf>
    <xf numFmtId="49" fontId="22" fillId="0" borderId="165" xfId="94" applyNumberFormat="1" applyFont="1" applyFill="1" applyBorder="1" applyAlignment="1" applyProtection="1">
      <alignment horizontal="right" vertical="center" shrinkToFit="1"/>
    </xf>
    <xf numFmtId="0" fontId="16" fillId="0" borderId="48" xfId="95" applyFont="1" applyFill="1" applyBorder="1" applyAlignment="1" applyProtection="1">
      <alignment horizontal="distributed" vertical="center"/>
    </xf>
    <xf numFmtId="49" fontId="22" fillId="0" borderId="34" xfId="94" applyNumberFormat="1" applyFont="1" applyFill="1" applyBorder="1" applyAlignment="1" applyProtection="1">
      <alignment horizontal="right" vertical="center" shrinkToFit="1"/>
    </xf>
    <xf numFmtId="49" fontId="22" fillId="0" borderId="32" xfId="94" applyNumberFormat="1" applyFont="1" applyFill="1" applyBorder="1" applyAlignment="1" applyProtection="1">
      <alignment horizontal="right" vertical="center" shrinkToFit="1"/>
    </xf>
    <xf numFmtId="49" fontId="22" fillId="0" borderId="31" xfId="94" applyNumberFormat="1" applyFont="1" applyFill="1" applyBorder="1" applyAlignment="1" applyProtection="1">
      <alignment horizontal="right" vertical="center" shrinkToFit="1"/>
    </xf>
    <xf numFmtId="0" fontId="16" fillId="0" borderId="154" xfId="93" applyFont="1" applyFill="1" applyBorder="1" applyAlignment="1" applyProtection="1">
      <alignment horizontal="distributed" vertical="center"/>
    </xf>
    <xf numFmtId="0" fontId="16" fillId="0" borderId="83" xfId="95" applyFont="1" applyFill="1" applyBorder="1" applyAlignment="1" applyProtection="1">
      <alignment horizontal="center" vertical="center" textRotation="255"/>
    </xf>
    <xf numFmtId="0" fontId="16" fillId="0" borderId="48" xfId="95" applyFont="1" applyFill="1" applyBorder="1" applyAlignment="1" applyProtection="1">
      <alignment horizontal="center" vertical="center" textRotation="255"/>
    </xf>
    <xf numFmtId="49" fontId="22" fillId="5" borderId="74" xfId="94" applyNumberFormat="1" applyFont="1" applyFill="1" applyBorder="1" applyAlignment="1" applyProtection="1">
      <alignment horizontal="right" vertical="center" shrinkToFit="1"/>
    </xf>
    <xf numFmtId="0" fontId="16" fillId="0" borderId="170" xfId="95" applyFont="1" applyFill="1" applyBorder="1" applyAlignment="1" applyProtection="1">
      <alignment horizontal="distributed" vertical="center" shrinkToFit="1"/>
    </xf>
    <xf numFmtId="0" fontId="16" fillId="0" borderId="18" xfId="95" applyFont="1" applyFill="1" applyBorder="1" applyAlignment="1" applyProtection="1">
      <alignment horizontal="distributed" vertical="center" shrinkToFit="1"/>
    </xf>
    <xf numFmtId="0" fontId="16" fillId="0" borderId="144" xfId="93" applyFont="1" applyFill="1" applyBorder="1" applyAlignment="1" applyProtection="1">
      <alignment vertical="center"/>
    </xf>
    <xf numFmtId="0" fontId="16" fillId="0" borderId="139" xfId="93" applyFont="1" applyFill="1" applyBorder="1" applyAlignment="1" applyProtection="1">
      <alignment vertical="center"/>
    </xf>
    <xf numFmtId="0" fontId="16" fillId="0" borderId="120" xfId="93" applyFont="1" applyFill="1" applyBorder="1" applyAlignment="1" applyProtection="1">
      <alignment vertical="center"/>
    </xf>
    <xf numFmtId="0" fontId="16" fillId="0" borderId="138" xfId="93" applyFont="1" applyFill="1" applyBorder="1" applyAlignment="1" applyProtection="1">
      <alignment vertical="center"/>
    </xf>
    <xf numFmtId="0" fontId="16" fillId="0" borderId="136" xfId="93" applyFont="1" applyFill="1" applyBorder="1" applyAlignment="1" applyProtection="1">
      <alignment vertical="center"/>
    </xf>
    <xf numFmtId="0" fontId="16" fillId="0" borderId="90" xfId="93" applyFont="1" applyFill="1" applyBorder="1" applyAlignment="1" applyProtection="1">
      <alignment vertical="center"/>
    </xf>
    <xf numFmtId="0" fontId="16" fillId="0" borderId="100" xfId="93" applyFont="1" applyFill="1" applyBorder="1" applyAlignment="1" applyProtection="1">
      <alignment horizontal="distributed" vertical="center" justifyLastLine="1"/>
    </xf>
    <xf numFmtId="0" fontId="16" fillId="0" borderId="5" xfId="93" applyFont="1" applyFill="1" applyBorder="1" applyAlignment="1" applyProtection="1">
      <alignment horizontal="distributed" vertical="center" justifyLastLine="1"/>
    </xf>
    <xf numFmtId="0" fontId="16" fillId="0" borderId="55" xfId="93" applyFont="1" applyFill="1" applyBorder="1" applyAlignment="1" applyProtection="1">
      <alignment horizontal="distributed" vertical="center" justifyLastLine="1"/>
    </xf>
    <xf numFmtId="0" fontId="16" fillId="0" borderId="102" xfId="93" applyFont="1" applyFill="1" applyBorder="1" applyAlignment="1" applyProtection="1">
      <alignment horizontal="distributed" vertical="center" justifyLastLine="1"/>
    </xf>
    <xf numFmtId="0" fontId="16" fillId="0" borderId="62" xfId="93" applyFont="1" applyFill="1" applyBorder="1" applyAlignment="1" applyProtection="1">
      <alignment horizontal="center" vertical="center"/>
    </xf>
    <xf numFmtId="0" fontId="16" fillId="0" borderId="111" xfId="93" applyFont="1" applyFill="1" applyBorder="1" applyAlignment="1" applyProtection="1">
      <alignment horizontal="center" vertical="center"/>
    </xf>
    <xf numFmtId="0" fontId="16" fillId="0" borderId="102" xfId="93" applyFont="1" applyFill="1" applyBorder="1" applyAlignment="1" applyProtection="1">
      <alignment horizontal="center" vertical="center"/>
    </xf>
    <xf numFmtId="0" fontId="16" fillId="0" borderId="151" xfId="93" applyFont="1" applyFill="1" applyBorder="1" applyAlignment="1" applyProtection="1">
      <alignment horizontal="center" vertical="center"/>
    </xf>
    <xf numFmtId="0" fontId="16" fillId="0" borderId="2" xfId="93" applyFont="1" applyFill="1" applyBorder="1" applyAlignment="1" applyProtection="1">
      <alignment horizontal="distributed" vertical="center" wrapText="1"/>
    </xf>
    <xf numFmtId="0" fontId="16" fillId="0" borderId="86" xfId="93" applyFont="1" applyFill="1" applyBorder="1" applyAlignment="1" applyProtection="1">
      <alignment horizontal="distributed" vertical="center" wrapText="1"/>
    </xf>
    <xf numFmtId="0" fontId="16" fillId="0" borderId="7" xfId="93" applyFont="1" applyFill="1" applyBorder="1" applyAlignment="1" applyProtection="1">
      <alignment horizontal="distributed" vertical="center" wrapText="1"/>
    </xf>
    <xf numFmtId="0" fontId="16" fillId="0" borderId="22" xfId="93" applyFont="1" applyFill="1" applyBorder="1" applyAlignment="1" applyProtection="1">
      <alignment horizontal="distributed" vertical="center" wrapText="1"/>
    </xf>
    <xf numFmtId="0" fontId="16" fillId="0" borderId="47" xfId="93" applyFont="1" applyFill="1" applyBorder="1" applyAlignment="1" applyProtection="1">
      <alignment horizontal="distributed" vertical="center"/>
    </xf>
    <xf numFmtId="0" fontId="16" fillId="0" borderId="29" xfId="93" applyFont="1" applyFill="1" applyBorder="1" applyAlignment="1" applyProtection="1">
      <alignment horizontal="distributed" vertical="center"/>
    </xf>
    <xf numFmtId="0" fontId="16" fillId="0" borderId="78" xfId="93" applyFont="1" applyFill="1" applyBorder="1" applyAlignment="1" applyProtection="1">
      <alignment horizontal="distributed" vertical="center" justifyLastLine="1"/>
    </xf>
    <xf numFmtId="0" fontId="16" fillId="0" borderId="8" xfId="93" applyFont="1" applyFill="1" applyBorder="1" applyAlignment="1" applyProtection="1">
      <alignment horizontal="distributed" vertical="center" justifyLastLine="1"/>
    </xf>
    <xf numFmtId="0" fontId="16" fillId="0" borderId="10" xfId="95" applyFont="1" applyFill="1" applyBorder="1" applyAlignment="1" applyProtection="1">
      <alignment horizontal="center" vertical="center"/>
    </xf>
    <xf numFmtId="0" fontId="16" fillId="0" borderId="0" xfId="95" applyFont="1" applyFill="1" applyBorder="1" applyAlignment="1" applyProtection="1">
      <alignment horizontal="center" vertical="center"/>
    </xf>
    <xf numFmtId="0" fontId="16" fillId="0" borderId="81" xfId="95" applyFont="1" applyFill="1" applyBorder="1" applyAlignment="1" applyProtection="1">
      <alignment horizontal="center" vertical="center"/>
    </xf>
    <xf numFmtId="0" fontId="16" fillId="0" borderId="41" xfId="95" applyFont="1" applyFill="1" applyBorder="1" applyAlignment="1" applyProtection="1">
      <alignment horizontal="center" vertical="center"/>
    </xf>
    <xf numFmtId="0" fontId="16" fillId="0" borderId="29" xfId="95" applyFont="1" applyFill="1" applyBorder="1" applyAlignment="1" applyProtection="1">
      <alignment horizontal="center" vertical="center"/>
    </xf>
    <xf numFmtId="0" fontId="16" fillId="0" borderId="28" xfId="95" applyFont="1" applyFill="1" applyBorder="1" applyAlignment="1" applyProtection="1">
      <alignment horizontal="center" vertical="center"/>
    </xf>
    <xf numFmtId="0" fontId="16" fillId="0" borderId="12" xfId="97" applyFont="1" applyFill="1" applyBorder="1" applyAlignment="1">
      <alignment horizontal="center" vertical="center"/>
    </xf>
    <xf numFmtId="49" fontId="22" fillId="0" borderId="165" xfId="93" applyNumberFormat="1" applyFont="1" applyFill="1" applyBorder="1" applyAlignment="1" applyProtection="1">
      <alignment horizontal="right" vertical="center" shrinkToFit="1"/>
    </xf>
    <xf numFmtId="49" fontId="22" fillId="0" borderId="191" xfId="93" applyNumberFormat="1" applyFont="1" applyFill="1" applyBorder="1" applyAlignment="1" applyProtection="1">
      <alignment horizontal="right" vertical="center" shrinkToFit="1"/>
    </xf>
    <xf numFmtId="49" fontId="22" fillId="0" borderId="192" xfId="93" applyNumberFormat="1" applyFont="1" applyFill="1" applyBorder="1" applyAlignment="1" applyProtection="1">
      <alignment horizontal="right" vertical="center" shrinkToFit="1"/>
    </xf>
    <xf numFmtId="49" fontId="22" fillId="0" borderId="134" xfId="93" applyNumberFormat="1" applyFont="1" applyFill="1" applyBorder="1" applyAlignment="1" applyProtection="1">
      <alignment horizontal="right" vertical="center" shrinkToFit="1"/>
    </xf>
    <xf numFmtId="49" fontId="22" fillId="0" borderId="199" xfId="93" applyNumberFormat="1" applyFont="1" applyFill="1" applyBorder="1" applyAlignment="1" applyProtection="1">
      <alignment horizontal="right" vertical="center" shrinkToFit="1"/>
    </xf>
    <xf numFmtId="49" fontId="22" fillId="0" borderId="25" xfId="94" applyNumberFormat="1" applyFont="1" applyFill="1" applyBorder="1" applyAlignment="1" applyProtection="1">
      <alignment horizontal="right" vertical="center" shrinkToFit="1"/>
    </xf>
    <xf numFmtId="49" fontId="22" fillId="0" borderId="26" xfId="94" applyNumberFormat="1" applyFont="1" applyFill="1" applyBorder="1" applyAlignment="1" applyProtection="1">
      <alignment horizontal="right" vertical="center" shrinkToFit="1"/>
    </xf>
    <xf numFmtId="49" fontId="22" fillId="0" borderId="56" xfId="94" applyNumberFormat="1" applyFont="1" applyFill="1" applyBorder="1" applyAlignment="1" applyProtection="1">
      <alignment horizontal="right" vertical="center" shrinkToFit="1"/>
    </xf>
    <xf numFmtId="49" fontId="22" fillId="0" borderId="17" xfId="94" applyNumberFormat="1" applyFont="1" applyFill="1" applyBorder="1" applyAlignment="1" applyProtection="1">
      <alignment horizontal="right" vertical="center" shrinkToFit="1"/>
    </xf>
    <xf numFmtId="49" fontId="22" fillId="0" borderId="18" xfId="94" applyNumberFormat="1" applyFont="1" applyFill="1" applyBorder="1" applyAlignment="1" applyProtection="1">
      <alignment horizontal="right" vertical="center" shrinkToFit="1"/>
    </xf>
    <xf numFmtId="49" fontId="22" fillId="0" borderId="19" xfId="94" applyNumberFormat="1" applyFont="1" applyFill="1" applyBorder="1" applyAlignment="1" applyProtection="1">
      <alignment horizontal="right" vertical="center" shrinkToFit="1"/>
    </xf>
    <xf numFmtId="49" fontId="22" fillId="0" borderId="33" xfId="94" applyNumberFormat="1" applyFont="1" applyFill="1" applyBorder="1" applyAlignment="1" applyProtection="1">
      <alignment horizontal="right" vertical="center" shrinkToFit="1"/>
    </xf>
    <xf numFmtId="49" fontId="22" fillId="0" borderId="24" xfId="94" applyNumberFormat="1" applyFont="1" applyFill="1" applyBorder="1" applyAlignment="1" applyProtection="1">
      <alignment horizontal="right" vertical="center" shrinkToFit="1"/>
    </xf>
    <xf numFmtId="0" fontId="16" fillId="0" borderId="170" xfId="93" applyFont="1" applyFill="1" applyBorder="1" applyAlignment="1" applyProtection="1">
      <alignment horizontal="distributed" vertical="center"/>
    </xf>
    <xf numFmtId="0" fontId="16" fillId="0" borderId="45" xfId="93" applyFont="1" applyFill="1" applyBorder="1" applyAlignment="1" applyProtection="1">
      <alignment horizontal="distributed" vertical="center"/>
    </xf>
    <xf numFmtId="0" fontId="16" fillId="0" borderId="48" xfId="93" applyFont="1" applyFill="1" applyBorder="1" applyAlignment="1" applyProtection="1">
      <alignment horizontal="distributed" vertical="center"/>
    </xf>
    <xf numFmtId="0" fontId="16" fillId="0" borderId="52" xfId="93" applyFont="1" applyFill="1" applyBorder="1" applyAlignment="1" applyProtection="1">
      <alignment horizontal="distributed" vertical="center"/>
    </xf>
    <xf numFmtId="0" fontId="16" fillId="0" borderId="57" xfId="93" applyFont="1" applyFill="1" applyBorder="1" applyAlignment="1" applyProtection="1">
      <alignment horizontal="distributed" vertical="center"/>
    </xf>
    <xf numFmtId="0" fontId="16" fillId="0" borderId="26" xfId="93" applyFont="1" applyFill="1" applyBorder="1" applyAlignment="1" applyProtection="1">
      <alignment horizontal="distributed" vertical="center"/>
    </xf>
    <xf numFmtId="0" fontId="16" fillId="0" borderId="60" xfId="93" applyFont="1" applyFill="1" applyBorder="1" applyAlignment="1" applyProtection="1">
      <alignment horizontal="distributed" vertical="center"/>
    </xf>
    <xf numFmtId="0" fontId="16" fillId="0" borderId="17" xfId="93" applyFont="1" applyFill="1" applyBorder="1" applyAlignment="1" applyProtection="1">
      <alignment horizontal="distributed" vertical="center"/>
    </xf>
    <xf numFmtId="0" fontId="16" fillId="0" borderId="25" xfId="93" applyFont="1" applyFill="1" applyBorder="1" applyAlignment="1" applyProtection="1">
      <alignment horizontal="distributed" vertical="center"/>
    </xf>
    <xf numFmtId="0" fontId="20" fillId="0" borderId="49" xfId="94" applyNumberFormat="1" applyFont="1" applyFill="1" applyBorder="1" applyAlignment="1" applyProtection="1">
      <alignment horizontal="left" vertical="center" shrinkToFit="1"/>
      <protection locked="0"/>
    </xf>
    <xf numFmtId="0" fontId="20" fillId="0" borderId="59" xfId="94" applyNumberFormat="1" applyFont="1" applyFill="1" applyBorder="1" applyAlignment="1" applyProtection="1">
      <alignment horizontal="left" vertical="center" shrinkToFit="1"/>
      <protection locked="0"/>
    </xf>
    <xf numFmtId="0" fontId="16" fillId="0" borderId="25" xfId="93" applyFont="1" applyFill="1" applyBorder="1" applyAlignment="1" applyProtection="1">
      <alignment horizontal="center" vertical="center"/>
    </xf>
    <xf numFmtId="0" fontId="16" fillId="0" borderId="26" xfId="93" applyFont="1" applyFill="1" applyBorder="1" applyAlignment="1" applyProtection="1">
      <alignment horizontal="center" vertical="center"/>
    </xf>
    <xf numFmtId="0" fontId="16" fillId="0" borderId="24" xfId="93" applyFont="1" applyFill="1" applyBorder="1" applyAlignment="1" applyProtection="1">
      <alignment horizontal="center" vertical="center"/>
    </xf>
    <xf numFmtId="0" fontId="16" fillId="0" borderId="99" xfId="94" applyFont="1" applyFill="1" applyBorder="1" applyAlignment="1" applyProtection="1">
      <alignment horizontal="center" vertical="center" shrinkToFit="1"/>
    </xf>
    <xf numFmtId="0" fontId="16" fillId="0" borderId="32" xfId="94" applyFont="1" applyFill="1" applyBorder="1" applyAlignment="1" applyProtection="1">
      <alignment horizontal="center" vertical="center" shrinkToFit="1"/>
    </xf>
    <xf numFmtId="49" fontId="22" fillId="0" borderId="161" xfId="94" quotePrefix="1" applyNumberFormat="1" applyFont="1" applyFill="1" applyBorder="1" applyAlignment="1" applyProtection="1">
      <alignment horizontal="right" vertical="center" shrinkToFit="1"/>
    </xf>
    <xf numFmtId="49" fontId="22" fillId="0" borderId="123" xfId="94" quotePrefix="1" applyNumberFormat="1" applyFont="1" applyFill="1" applyBorder="1" applyAlignment="1" applyProtection="1">
      <alignment horizontal="right" vertical="center" shrinkToFit="1"/>
    </xf>
    <xf numFmtId="0" fontId="16" fillId="0" borderId="35" xfId="94" applyFont="1" applyFill="1" applyBorder="1" applyAlignment="1" applyProtection="1">
      <alignment horizontal="distributed" vertical="center"/>
    </xf>
    <xf numFmtId="0" fontId="28" fillId="0" borderId="32" xfId="94" applyFont="1" applyFill="1" applyBorder="1" applyAlignment="1" applyProtection="1">
      <alignment horizontal="distributed" vertical="center"/>
    </xf>
    <xf numFmtId="0" fontId="28" fillId="0" borderId="33" xfId="94" applyFont="1" applyFill="1" applyBorder="1" applyAlignment="1" applyProtection="1">
      <alignment horizontal="distributed" vertical="center"/>
    </xf>
    <xf numFmtId="0" fontId="16" fillId="0" borderId="35" xfId="94" applyFont="1" applyFill="1" applyBorder="1" applyAlignment="1" applyProtection="1">
      <alignment horizontal="distributed" vertical="center" shrinkToFit="1"/>
    </xf>
    <xf numFmtId="0" fontId="28" fillId="0" borderId="32" xfId="94" applyFont="1" applyFill="1" applyBorder="1" applyAlignment="1" applyProtection="1">
      <alignment horizontal="distributed"/>
    </xf>
    <xf numFmtId="0" fontId="28" fillId="0" borderId="33" xfId="94" applyFont="1" applyFill="1" applyBorder="1" applyAlignment="1" applyProtection="1">
      <alignment horizontal="distributed"/>
    </xf>
    <xf numFmtId="49" fontId="22" fillId="0" borderId="165" xfId="95" applyNumberFormat="1" applyFont="1" applyFill="1" applyBorder="1" applyAlignment="1" applyProtection="1">
      <alignment horizontal="right" vertical="center" shrinkToFit="1"/>
    </xf>
    <xf numFmtId="49" fontId="22" fillId="0" borderId="191" xfId="95" applyNumberFormat="1" applyFont="1" applyFill="1" applyBorder="1" applyAlignment="1" applyProtection="1">
      <alignment horizontal="right" vertical="center" shrinkToFit="1"/>
    </xf>
    <xf numFmtId="49" fontId="22" fillId="0" borderId="192" xfId="95" applyNumberFormat="1" applyFont="1" applyFill="1" applyBorder="1" applyAlignment="1" applyProtection="1">
      <alignment horizontal="right" vertical="center" shrinkToFit="1"/>
    </xf>
    <xf numFmtId="49" fontId="22" fillId="0" borderId="21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8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19" xfId="94" applyNumberFormat="1" applyFont="1" applyFill="1" applyBorder="1" applyAlignment="1" applyProtection="1">
      <alignment horizontal="right" vertical="center" shrinkToFit="1"/>
    </xf>
    <xf numFmtId="0" fontId="16" fillId="0" borderId="48" xfId="94" applyFont="1" applyFill="1" applyBorder="1" applyAlignment="1" applyProtection="1">
      <alignment horizontal="left" vertical="center" shrinkToFit="1"/>
    </xf>
    <xf numFmtId="0" fontId="16" fillId="0" borderId="32" xfId="94" applyFont="1" applyFill="1" applyBorder="1" applyAlignment="1" applyProtection="1">
      <alignment horizontal="left" vertical="center" shrinkToFit="1"/>
    </xf>
    <xf numFmtId="0" fontId="16" fillId="0" borderId="13" xfId="94" applyFont="1" applyFill="1" applyBorder="1" applyAlignment="1" applyProtection="1">
      <alignment horizontal="left" vertical="center" shrinkToFit="1"/>
    </xf>
    <xf numFmtId="0" fontId="16" fillId="0" borderId="12" xfId="94" applyFont="1" applyFill="1" applyBorder="1" applyAlignment="1" applyProtection="1">
      <alignment horizontal="left" vertical="center" shrinkToFit="1"/>
    </xf>
    <xf numFmtId="49" fontId="22" fillId="5" borderId="148" xfId="94" applyNumberFormat="1" applyFont="1" applyFill="1" applyBorder="1" applyAlignment="1" applyProtection="1">
      <alignment horizontal="right" vertical="center" shrinkToFit="1"/>
    </xf>
    <xf numFmtId="49" fontId="22" fillId="5" borderId="149" xfId="94" applyNumberFormat="1" applyFont="1" applyFill="1" applyBorder="1" applyAlignment="1" applyProtection="1">
      <alignment horizontal="right" vertical="center" shrinkToFit="1"/>
    </xf>
    <xf numFmtId="0" fontId="16" fillId="0" borderId="27" xfId="95" applyFont="1" applyFill="1" applyBorder="1" applyAlignment="1" applyProtection="1">
      <alignment horizontal="distributed" vertical="center" justifyLastLine="1"/>
    </xf>
    <xf numFmtId="0" fontId="16" fillId="0" borderId="29" xfId="95" applyFont="1" applyFill="1" applyBorder="1" applyAlignment="1" applyProtection="1">
      <alignment horizontal="distributed" vertical="center" justifyLastLine="1"/>
    </xf>
    <xf numFmtId="0" fontId="16" fillId="0" borderId="167" xfId="95" applyFont="1" applyFill="1" applyBorder="1" applyAlignment="1" applyProtection="1">
      <alignment horizontal="distributed" vertical="center" justifyLastLine="1"/>
    </xf>
    <xf numFmtId="0" fontId="16" fillId="0" borderId="83" xfId="95" applyFont="1" applyFill="1" applyBorder="1" applyAlignment="1" applyProtection="1">
      <alignment horizontal="distributed" vertical="center" shrinkToFit="1"/>
    </xf>
    <xf numFmtId="0" fontId="16" fillId="0" borderId="29" xfId="95" applyFont="1" applyFill="1" applyBorder="1" applyAlignment="1" applyProtection="1">
      <alignment horizontal="distributed" vertical="center" shrinkToFit="1"/>
    </xf>
    <xf numFmtId="0" fontId="26" fillId="0" borderId="48" xfId="93" applyFont="1" applyFill="1" applyBorder="1" applyAlignment="1" applyProtection="1">
      <alignment horizontal="center" vertical="center" wrapText="1" shrinkToFit="1"/>
    </xf>
    <xf numFmtId="0" fontId="26" fillId="0" borderId="32" xfId="93" applyFont="1" applyFill="1" applyBorder="1" applyAlignment="1" applyProtection="1">
      <alignment horizontal="center" vertical="center" wrapText="1" shrinkToFit="1"/>
    </xf>
    <xf numFmtId="0" fontId="16" fillId="0" borderId="32" xfId="94" applyFont="1" applyFill="1" applyBorder="1" applyAlignment="1" applyProtection="1">
      <alignment horizontal="distributed" vertical="center" shrinkToFit="1"/>
    </xf>
    <xf numFmtId="0" fontId="16" fillId="0" borderId="33" xfId="94" applyFont="1" applyFill="1" applyBorder="1" applyAlignment="1" applyProtection="1">
      <alignment horizontal="distributed" vertical="center" shrinkToFit="1"/>
    </xf>
    <xf numFmtId="0" fontId="16" fillId="2" borderId="38" xfId="95" applyFont="1" applyFill="1" applyBorder="1" applyAlignment="1" applyProtection="1">
      <alignment horizontal="distributed" vertical="center"/>
    </xf>
    <xf numFmtId="0" fontId="16" fillId="2" borderId="37" xfId="95" applyFont="1" applyFill="1" applyBorder="1" applyAlignment="1" applyProtection="1">
      <alignment horizontal="distributed" vertical="center"/>
    </xf>
    <xf numFmtId="0" fontId="16" fillId="0" borderId="42" xfId="95" applyFont="1" applyFill="1" applyBorder="1" applyAlignment="1" applyProtection="1">
      <alignment horizontal="center" vertical="center"/>
    </xf>
    <xf numFmtId="0" fontId="16" fillId="0" borderId="2" xfId="95" applyFont="1" applyFill="1" applyBorder="1" applyAlignment="1" applyProtection="1">
      <alignment horizontal="center" vertical="center"/>
    </xf>
    <xf numFmtId="49" fontId="22" fillId="0" borderId="60" xfId="94" applyNumberFormat="1" applyFont="1" applyFill="1" applyBorder="1" applyAlignment="1" applyProtection="1">
      <alignment horizontal="right" vertical="center" shrinkToFit="1"/>
    </xf>
    <xf numFmtId="0" fontId="16" fillId="0" borderId="79" xfId="93" applyFont="1" applyFill="1" applyBorder="1" applyAlignment="1" applyProtection="1">
      <alignment vertical="center"/>
    </xf>
    <xf numFmtId="0" fontId="16" fillId="0" borderId="44" xfId="93" applyFont="1" applyFill="1" applyBorder="1" applyAlignment="1" applyProtection="1">
      <alignment vertical="center"/>
    </xf>
    <xf numFmtId="0" fontId="16" fillId="0" borderId="103" xfId="95" applyFont="1" applyFill="1" applyBorder="1" applyAlignment="1" applyProtection="1">
      <alignment horizontal="center" vertical="center"/>
    </xf>
    <xf numFmtId="0" fontId="16" fillId="0" borderId="102" xfId="95" applyFont="1" applyFill="1" applyBorder="1" applyAlignment="1" applyProtection="1">
      <alignment horizontal="center" vertical="center"/>
    </xf>
    <xf numFmtId="0" fontId="16" fillId="0" borderId="146" xfId="95" applyFont="1" applyFill="1" applyBorder="1" applyAlignment="1" applyProtection="1">
      <alignment horizontal="center" vertical="center"/>
    </xf>
    <xf numFmtId="49" fontId="22" fillId="5" borderId="26" xfId="94" applyNumberFormat="1" applyFont="1" applyFill="1" applyBorder="1" applyAlignment="1" applyProtection="1">
      <alignment horizontal="right" vertical="center" shrinkToFit="1"/>
    </xf>
    <xf numFmtId="49" fontId="22" fillId="5" borderId="56" xfId="94" applyNumberFormat="1" applyFont="1" applyFill="1" applyBorder="1" applyAlignment="1" applyProtection="1">
      <alignment horizontal="right" vertical="center" shrinkToFit="1"/>
    </xf>
    <xf numFmtId="0" fontId="16" fillId="2" borderId="66" xfId="95" applyFont="1" applyFill="1" applyBorder="1" applyAlignment="1" applyProtection="1">
      <alignment horizontal="distributed" vertical="center" justifyLastLine="1"/>
    </xf>
    <xf numFmtId="0" fontId="16" fillId="2" borderId="37" xfId="95" applyFont="1" applyFill="1" applyBorder="1" applyAlignment="1" applyProtection="1">
      <alignment horizontal="distributed" vertical="center" justifyLastLine="1"/>
    </xf>
    <xf numFmtId="0" fontId="16" fillId="2" borderId="39" xfId="95" applyFont="1" applyFill="1" applyBorder="1" applyAlignment="1" applyProtection="1">
      <alignment horizontal="distributed" vertical="center" justifyLastLine="1"/>
    </xf>
    <xf numFmtId="0" fontId="16" fillId="0" borderId="53" xfId="93" applyFont="1" applyFill="1" applyBorder="1" applyAlignment="1" applyProtection="1">
      <alignment horizontal="distributed" vertical="center"/>
    </xf>
    <xf numFmtId="0" fontId="16" fillId="0" borderId="70" xfId="93" applyFont="1" applyFill="1" applyBorder="1" applyAlignment="1" applyProtection="1">
      <alignment horizontal="distributed" vertical="center"/>
    </xf>
    <xf numFmtId="0" fontId="28" fillId="0" borderId="32" xfId="89" applyFont="1" applyBorder="1" applyAlignment="1">
      <alignment vertical="center"/>
    </xf>
    <xf numFmtId="0" fontId="16" fillId="0" borderId="41" xfId="93" applyFont="1" applyFill="1" applyBorder="1" applyAlignment="1" applyProtection="1">
      <alignment horizontal="left" vertical="distributed" textRotation="255" justifyLastLine="1"/>
    </xf>
    <xf numFmtId="0" fontId="16" fillId="0" borderId="13" xfId="93" applyFont="1" applyFill="1" applyBorder="1" applyAlignment="1" applyProtection="1">
      <alignment horizontal="left" vertical="distributed" textRotation="255" justifyLastLine="1"/>
    </xf>
    <xf numFmtId="0" fontId="16" fillId="0" borderId="62" xfId="93" applyFont="1" applyFill="1" applyBorder="1" applyAlignment="1" applyProtection="1">
      <alignment horizontal="distributed" vertical="center"/>
    </xf>
    <xf numFmtId="0" fontId="16" fillId="0" borderId="107" xfId="93" applyFont="1" applyFill="1" applyBorder="1" applyAlignment="1" applyProtection="1">
      <alignment horizontal="distributed" vertical="center"/>
    </xf>
    <xf numFmtId="0" fontId="16" fillId="0" borderId="106" xfId="93" applyFont="1" applyFill="1" applyBorder="1" applyAlignment="1" applyProtection="1">
      <alignment horizontal="distributed" vertical="center"/>
    </xf>
    <xf numFmtId="49" fontId="22" fillId="5" borderId="15" xfId="94" applyNumberFormat="1" applyFont="1" applyFill="1" applyBorder="1" applyAlignment="1" applyProtection="1">
      <alignment horizontal="right" vertical="center" shrinkToFit="1"/>
    </xf>
    <xf numFmtId="49" fontId="22" fillId="5" borderId="12" xfId="94" applyNumberFormat="1" applyFont="1" applyFill="1" applyBorder="1" applyAlignment="1" applyProtection="1">
      <alignment horizontal="right" vertical="center" shrinkToFit="1"/>
    </xf>
    <xf numFmtId="49" fontId="22" fillId="5" borderId="64" xfId="94" applyNumberFormat="1" applyFont="1" applyFill="1" applyBorder="1" applyAlignment="1" applyProtection="1">
      <alignment horizontal="right" vertical="center" shrinkToFit="1"/>
    </xf>
    <xf numFmtId="49" fontId="22" fillId="0" borderId="13" xfId="94" applyNumberFormat="1" applyFont="1" applyFill="1" applyBorder="1" applyAlignment="1" applyProtection="1">
      <alignment horizontal="right" vertical="center" shrinkToFit="1"/>
    </xf>
    <xf numFmtId="49" fontId="22" fillId="0" borderId="12" xfId="94" applyNumberFormat="1" applyFont="1" applyFill="1" applyBorder="1" applyAlignment="1" applyProtection="1">
      <alignment horizontal="right" vertical="center" shrinkToFit="1"/>
    </xf>
    <xf numFmtId="49" fontId="22" fillId="0" borderId="64" xfId="94" applyNumberFormat="1" applyFont="1" applyFill="1" applyBorder="1" applyAlignment="1" applyProtection="1">
      <alignment horizontal="right" vertical="center" shrinkToFit="1"/>
    </xf>
    <xf numFmtId="0" fontId="16" fillId="0" borderId="83" xfId="93" applyFont="1" applyFill="1" applyBorder="1" applyAlignment="1" applyProtection="1">
      <alignment horizontal="distributed" vertical="center" justifyLastLine="1"/>
    </xf>
    <xf numFmtId="0" fontId="16" fillId="0" borderId="29" xfId="93" applyFont="1" applyFill="1" applyBorder="1" applyAlignment="1" applyProtection="1">
      <alignment horizontal="distributed" vertical="center" justifyLastLine="1"/>
    </xf>
    <xf numFmtId="0" fontId="16" fillId="0" borderId="28" xfId="93" applyFont="1" applyFill="1" applyBorder="1" applyAlignment="1" applyProtection="1">
      <alignment horizontal="distributed" vertical="center" justifyLastLine="1"/>
    </xf>
    <xf numFmtId="49" fontId="22" fillId="0" borderId="29" xfId="93" applyNumberFormat="1" applyFont="1" applyFill="1" applyBorder="1" applyAlignment="1" applyProtection="1">
      <alignment horizontal="right" vertical="center" shrinkToFit="1"/>
    </xf>
    <xf numFmtId="49" fontId="22" fillId="0" borderId="167" xfId="93" applyNumberFormat="1" applyFont="1" applyFill="1" applyBorder="1" applyAlignment="1" applyProtection="1">
      <alignment horizontal="right" vertical="center" shrinkToFit="1"/>
    </xf>
    <xf numFmtId="0" fontId="16" fillId="0" borderId="48" xfId="93" applyFont="1" applyFill="1" applyBorder="1" applyAlignment="1" applyProtection="1">
      <alignment horizontal="distributed" vertical="center" justifyLastLine="1"/>
    </xf>
    <xf numFmtId="0" fontId="16" fillId="0" borderId="32" xfId="93" applyFont="1" applyFill="1" applyBorder="1" applyAlignment="1" applyProtection="1">
      <alignment horizontal="distributed" vertical="center" justifyLastLine="1"/>
    </xf>
    <xf numFmtId="0" fontId="16" fillId="0" borderId="33" xfId="93" applyFont="1" applyFill="1" applyBorder="1" applyAlignment="1" applyProtection="1">
      <alignment horizontal="distributed" vertical="center" justifyLastLine="1"/>
    </xf>
    <xf numFmtId="49" fontId="22" fillId="0" borderId="32" xfId="93" applyNumberFormat="1" applyFont="1" applyFill="1" applyBorder="1" applyAlignment="1" applyProtection="1">
      <alignment horizontal="right" vertical="center" shrinkToFit="1"/>
    </xf>
    <xf numFmtId="49" fontId="22" fillId="0" borderId="31" xfId="93" applyNumberFormat="1" applyFont="1" applyFill="1" applyBorder="1" applyAlignment="1" applyProtection="1">
      <alignment horizontal="right" vertical="center" shrinkToFit="1"/>
    </xf>
    <xf numFmtId="178" fontId="16" fillId="0" borderId="170" xfId="94" applyNumberFormat="1" applyFont="1" applyFill="1" applyBorder="1" applyAlignment="1" applyProtection="1">
      <alignment horizontal="center" vertical="center" shrinkToFit="1"/>
    </xf>
    <xf numFmtId="178" fontId="16" fillId="0" borderId="18" xfId="94" applyNumberFormat="1" applyFont="1" applyFill="1" applyBorder="1" applyAlignment="1" applyProtection="1">
      <alignment horizontal="center" vertical="center" shrinkToFit="1"/>
    </xf>
    <xf numFmtId="178" fontId="16" fillId="0" borderId="16" xfId="94" applyNumberFormat="1" applyFont="1" applyFill="1" applyBorder="1" applyAlignment="1" applyProtection="1">
      <alignment horizontal="center" vertical="center" shrinkToFit="1"/>
    </xf>
    <xf numFmtId="49" fontId="22" fillId="0" borderId="18" xfId="93" applyNumberFormat="1" applyFont="1" applyFill="1" applyBorder="1" applyAlignment="1" applyProtection="1">
      <alignment horizontal="right" vertical="center" shrinkToFit="1"/>
    </xf>
    <xf numFmtId="49" fontId="22" fillId="0" borderId="19" xfId="93" applyNumberFormat="1" applyFont="1" applyFill="1" applyBorder="1" applyAlignment="1" applyProtection="1">
      <alignment horizontal="right" vertical="center" shrinkToFit="1"/>
    </xf>
    <xf numFmtId="0" fontId="16" fillId="0" borderId="7" xfId="93" applyFont="1" applyFill="1" applyBorder="1" applyAlignment="1" applyProtection="1">
      <alignment horizontal="distributed" vertical="center" justifyLastLine="1"/>
    </xf>
    <xf numFmtId="0" fontId="16" fillId="0" borderId="92" xfId="93" applyFont="1" applyFill="1" applyBorder="1" applyAlignment="1" applyProtection="1">
      <alignment horizontal="distributed" vertical="center" justifyLastLine="1"/>
    </xf>
    <xf numFmtId="0" fontId="16" fillId="0" borderId="22" xfId="93" applyFont="1" applyFill="1" applyBorder="1" applyAlignment="1" applyProtection="1">
      <alignment horizontal="distributed" vertical="center" justifyLastLine="1"/>
    </xf>
    <xf numFmtId="49" fontId="22" fillId="0" borderId="35" xfId="94" applyNumberFormat="1" applyFont="1" applyFill="1" applyBorder="1" applyAlignment="1" applyProtection="1">
      <alignment horizontal="right" vertical="center" shrinkToFit="1"/>
    </xf>
    <xf numFmtId="49" fontId="22" fillId="0" borderId="35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57" xfId="95" applyFont="1" applyFill="1" applyBorder="1" applyAlignment="1" applyProtection="1">
      <alignment horizontal="distributed" vertical="center"/>
    </xf>
    <xf numFmtId="0" fontId="28" fillId="0" borderId="26" xfId="89" applyFont="1" applyBorder="1" applyAlignment="1">
      <alignment vertical="center"/>
    </xf>
    <xf numFmtId="49" fontId="22" fillId="0" borderId="52" xfId="94" applyNumberFormat="1" applyFont="1" applyFill="1" applyBorder="1" applyAlignment="1" applyProtection="1">
      <alignment horizontal="right" vertical="center" shrinkToFit="1"/>
    </xf>
    <xf numFmtId="49" fontId="22" fillId="0" borderId="135" xfId="94" applyNumberFormat="1" applyFont="1" applyFill="1" applyBorder="1" applyAlignment="1" applyProtection="1">
      <alignment horizontal="right" vertical="center" shrinkToFit="1"/>
    </xf>
    <xf numFmtId="0" fontId="16" fillId="0" borderId="125" xfId="93" applyFont="1" applyFill="1" applyBorder="1" applyAlignment="1" applyProtection="1">
      <alignment horizontal="distributed" vertical="center" justifyLastLine="1"/>
    </xf>
    <xf numFmtId="0" fontId="16" fillId="0" borderId="105" xfId="93" applyFont="1" applyFill="1" applyBorder="1" applyAlignment="1" applyProtection="1">
      <alignment horizontal="distributed" vertical="center" justifyLastLine="1"/>
    </xf>
    <xf numFmtId="0" fontId="16" fillId="0" borderId="76" xfId="93" applyFont="1" applyFill="1" applyBorder="1" applyAlignment="1" applyProtection="1">
      <alignment horizontal="distributed" vertical="center" wrapText="1" justifyLastLine="1"/>
    </xf>
    <xf numFmtId="0" fontId="16" fillId="0" borderId="46" xfId="93" applyFont="1" applyFill="1" applyBorder="1" applyAlignment="1" applyProtection="1">
      <alignment horizontal="distributed" vertical="center" wrapText="1" justifyLastLine="1"/>
    </xf>
    <xf numFmtId="0" fontId="16" fillId="0" borderId="150" xfId="93" applyFont="1" applyFill="1" applyBorder="1" applyAlignment="1" applyProtection="1">
      <alignment horizontal="distributed" vertical="center" wrapText="1" justifyLastLine="1"/>
    </xf>
    <xf numFmtId="0" fontId="16" fillId="0" borderId="65" xfId="93" applyFont="1" applyFill="1" applyBorder="1" applyAlignment="1" applyProtection="1">
      <alignment horizontal="distributed" vertical="center" wrapText="1" justifyLastLine="1"/>
    </xf>
    <xf numFmtId="0" fontId="16" fillId="0" borderId="105" xfId="93" applyFont="1" applyFill="1" applyBorder="1" applyAlignment="1" applyProtection="1">
      <alignment horizontal="distributed" vertical="center" wrapText="1" justifyLastLine="1"/>
    </xf>
    <xf numFmtId="0" fontId="16" fillId="0" borderId="168" xfId="93" applyFont="1" applyFill="1" applyBorder="1" applyAlignment="1" applyProtection="1">
      <alignment horizontal="distributed" vertical="center" wrapText="1" justifyLastLine="1"/>
    </xf>
    <xf numFmtId="0" fontId="16" fillId="0" borderId="105" xfId="93" applyFont="1" applyFill="1" applyBorder="1" applyAlignment="1" applyProtection="1">
      <alignment horizontal="center" vertical="center"/>
    </xf>
    <xf numFmtId="0" fontId="16" fillId="0" borderId="124" xfId="93" applyFont="1" applyFill="1" applyBorder="1" applyAlignment="1" applyProtection="1">
      <alignment horizontal="center" vertical="center"/>
    </xf>
    <xf numFmtId="49" fontId="22" fillId="0" borderId="7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50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41" xfId="93" applyFont="1" applyFill="1" applyBorder="1" applyAlignment="1" applyProtection="1">
      <alignment horizontal="center" vertical="center" shrinkToFit="1"/>
    </xf>
    <xf numFmtId="0" fontId="16" fillId="0" borderId="142" xfId="93" applyFont="1" applyFill="1" applyBorder="1" applyAlignment="1" applyProtection="1">
      <alignment horizontal="center" vertical="center" shrinkToFit="1"/>
    </xf>
    <xf numFmtId="0" fontId="16" fillId="0" borderId="121" xfId="93" applyFont="1" applyFill="1" applyBorder="1" applyAlignment="1" applyProtection="1">
      <alignment horizontal="center" vertical="center" wrapText="1"/>
    </xf>
    <xf numFmtId="0" fontId="16" fillId="0" borderId="143" xfId="93" applyFont="1" applyFill="1" applyBorder="1" applyAlignment="1" applyProtection="1">
      <alignment horizontal="center" vertical="center" wrapText="1"/>
    </xf>
    <xf numFmtId="0" fontId="16" fillId="0" borderId="70" xfId="95" applyFont="1" applyFill="1" applyBorder="1" applyAlignment="1" applyProtection="1">
      <alignment horizontal="distributed" vertical="center"/>
    </xf>
    <xf numFmtId="0" fontId="16" fillId="0" borderId="68" xfId="95" applyFont="1" applyFill="1" applyBorder="1" applyAlignment="1" applyProtection="1">
      <alignment horizontal="distributed" vertical="center"/>
    </xf>
    <xf numFmtId="0" fontId="16" fillId="0" borderId="42" xfId="95" applyFont="1" applyFill="1" applyBorder="1" applyAlignment="1" applyProtection="1">
      <alignment horizontal="distributed" vertical="center" justifyLastLine="1"/>
    </xf>
    <xf numFmtId="0" fontId="16" fillId="0" borderId="2" xfId="95" applyFont="1" applyFill="1" applyBorder="1" applyAlignment="1" applyProtection="1">
      <alignment horizontal="distributed" vertical="center" justifyLastLine="1"/>
    </xf>
    <xf numFmtId="0" fontId="16" fillId="0" borderId="1" xfId="95" applyFont="1" applyFill="1" applyBorder="1" applyAlignment="1" applyProtection="1">
      <alignment horizontal="distributed" vertical="center" justifyLastLine="1"/>
    </xf>
    <xf numFmtId="0" fontId="16" fillId="0" borderId="23" xfId="95" applyFont="1" applyFill="1" applyBorder="1" applyAlignment="1" applyProtection="1">
      <alignment horizontal="distributed" vertical="center" justifyLastLine="1"/>
    </xf>
    <xf numFmtId="0" fontId="16" fillId="0" borderId="6" xfId="95" applyFont="1" applyFill="1" applyBorder="1" applyAlignment="1" applyProtection="1">
      <alignment horizontal="distributed" vertical="center" justifyLastLine="1"/>
    </xf>
    <xf numFmtId="0" fontId="16" fillId="0" borderId="96" xfId="95" applyFont="1" applyFill="1" applyBorder="1" applyAlignment="1" applyProtection="1">
      <alignment vertical="center"/>
    </xf>
    <xf numFmtId="0" fontId="16" fillId="0" borderId="95" xfId="95" applyFont="1" applyFill="1" applyBorder="1" applyAlignment="1" applyProtection="1">
      <alignment vertical="center"/>
    </xf>
    <xf numFmtId="0" fontId="16" fillId="0" borderId="131" xfId="95" applyFont="1" applyFill="1" applyBorder="1" applyAlignment="1" applyProtection="1">
      <alignment horizontal="distributed" vertical="center" justifyLastLine="1"/>
    </xf>
    <xf numFmtId="0" fontId="16" fillId="0" borderId="128" xfId="95" applyFont="1" applyFill="1" applyBorder="1" applyAlignment="1" applyProtection="1">
      <alignment horizontal="distributed" vertical="center" justifyLastLine="1"/>
    </xf>
    <xf numFmtId="0" fontId="16" fillId="0" borderId="175" xfId="95" applyFont="1" applyFill="1" applyBorder="1" applyAlignment="1" applyProtection="1">
      <alignment horizontal="distributed" vertical="center" justifyLastLine="1"/>
    </xf>
    <xf numFmtId="0" fontId="16" fillId="0" borderId="129" xfId="95" applyFont="1" applyFill="1" applyBorder="1" applyAlignment="1" applyProtection="1">
      <alignment horizontal="distributed" vertical="center"/>
    </xf>
    <xf numFmtId="0" fontId="16" fillId="0" borderId="107" xfId="95" applyFont="1" applyFill="1" applyBorder="1" applyAlignment="1" applyProtection="1">
      <alignment horizontal="distributed" vertical="center"/>
    </xf>
    <xf numFmtId="0" fontId="16" fillId="0" borderId="106" xfId="95" applyFont="1" applyFill="1" applyBorder="1" applyAlignment="1" applyProtection="1">
      <alignment horizontal="distributed" vertical="center"/>
    </xf>
    <xf numFmtId="0" fontId="16" fillId="0" borderId="46" xfId="95" applyFont="1" applyFill="1" applyBorder="1" applyAlignment="1" applyProtection="1">
      <alignment horizontal="center" vertical="distributed" textRotation="255" justifyLastLine="1"/>
    </xf>
    <xf numFmtId="49" fontId="22" fillId="0" borderId="115" xfId="95" applyNumberFormat="1" applyFont="1" applyFill="1" applyBorder="1" applyAlignment="1" applyProtection="1">
      <alignment horizontal="right" vertical="center" shrinkToFit="1"/>
    </xf>
    <xf numFmtId="49" fontId="22" fillId="0" borderId="123" xfId="95" applyNumberFormat="1" applyFont="1" applyFill="1" applyBorder="1" applyAlignment="1" applyProtection="1">
      <alignment horizontal="right" vertical="center" shrinkToFit="1"/>
    </xf>
    <xf numFmtId="0" fontId="20" fillId="0" borderId="78" xfId="95" applyFont="1" applyFill="1" applyBorder="1" applyAlignment="1" applyProtection="1">
      <alignment horizontal="left" vertical="center" shrinkToFit="1"/>
    </xf>
    <xf numFmtId="0" fontId="20" fillId="0" borderId="9" xfId="95" applyFont="1" applyFill="1" applyBorder="1" applyAlignment="1" applyProtection="1">
      <alignment horizontal="left" vertical="center" shrinkToFit="1"/>
    </xf>
    <xf numFmtId="0" fontId="20" fillId="0" borderId="77" xfId="95" applyFont="1" applyFill="1" applyBorder="1" applyAlignment="1" applyProtection="1">
      <alignment horizontal="left" vertical="center" shrinkToFit="1"/>
    </xf>
    <xf numFmtId="0" fontId="16" fillId="0" borderId="85" xfId="95" applyFont="1" applyFill="1" applyBorder="1" applyAlignment="1" applyProtection="1">
      <alignment horizontal="center" vertical="distributed" textRotation="255" justifyLastLine="1" shrinkToFit="1"/>
    </xf>
    <xf numFmtId="0" fontId="16" fillId="0" borderId="110" xfId="95" applyFont="1" applyFill="1" applyBorder="1" applyAlignment="1" applyProtection="1">
      <alignment horizontal="center" vertical="distributed" textRotation="255" justifyLastLine="1" shrinkToFit="1"/>
    </xf>
    <xf numFmtId="1" fontId="16" fillId="0" borderId="48" xfId="95" applyNumberFormat="1" applyFont="1" applyFill="1" applyBorder="1" applyAlignment="1" applyProtection="1">
      <alignment horizontal="distributed" vertical="center"/>
    </xf>
    <xf numFmtId="1" fontId="16" fillId="0" borderId="32" xfId="95" applyNumberFormat="1" applyFont="1" applyFill="1" applyBorder="1" applyAlignment="1" applyProtection="1">
      <alignment horizontal="distributed" vertical="center"/>
    </xf>
    <xf numFmtId="1" fontId="16" fillId="0" borderId="83" xfId="95" applyNumberFormat="1" applyFont="1" applyFill="1" applyBorder="1" applyAlignment="1" applyProtection="1">
      <alignment horizontal="distributed" vertical="center"/>
    </xf>
    <xf numFmtId="1" fontId="16" fillId="0" borderId="29" xfId="95" applyNumberFormat="1" applyFont="1" applyFill="1" applyBorder="1" applyAlignment="1" applyProtection="1">
      <alignment horizontal="distributed" vertical="center"/>
    </xf>
    <xf numFmtId="0" fontId="16" fillId="0" borderId="58" xfId="95" applyFont="1" applyFill="1" applyBorder="1" applyAlignment="1" applyProtection="1">
      <alignment horizontal="distributed" vertical="center"/>
    </xf>
    <xf numFmtId="49" fontId="22" fillId="0" borderId="115" xfId="94" applyNumberFormat="1" applyFont="1" applyFill="1" applyBorder="1" applyAlignment="1" applyProtection="1">
      <alignment horizontal="right" vertical="center" shrinkToFit="1"/>
    </xf>
    <xf numFmtId="49" fontId="22" fillId="0" borderId="107" xfId="94" quotePrefix="1" applyNumberFormat="1" applyFont="1" applyFill="1" applyBorder="1" applyAlignment="1" applyProtection="1">
      <alignment horizontal="right" vertical="center" shrinkToFit="1"/>
      <protection locked="0"/>
    </xf>
    <xf numFmtId="49" fontId="22" fillId="0" borderId="61" xfId="94" quotePrefix="1" applyNumberFormat="1" applyFont="1" applyFill="1" applyBorder="1" applyAlignment="1" applyProtection="1">
      <alignment horizontal="right" vertical="center" shrinkToFit="1"/>
      <protection locked="0"/>
    </xf>
    <xf numFmtId="49" fontId="22" fillId="5" borderId="107" xfId="94" quotePrefix="1" applyNumberFormat="1" applyFont="1" applyFill="1" applyBorder="1" applyAlignment="1" applyProtection="1">
      <alignment horizontal="right" vertical="center" shrinkToFit="1"/>
    </xf>
    <xf numFmtId="49" fontId="22" fillId="5" borderId="132" xfId="94" quotePrefix="1" applyNumberFormat="1" applyFont="1" applyFill="1" applyBorder="1" applyAlignment="1" applyProtection="1">
      <alignment horizontal="right" vertical="center" shrinkToFit="1"/>
    </xf>
    <xf numFmtId="1" fontId="16" fillId="0" borderId="35" xfId="95" applyNumberFormat="1" applyFont="1" applyFill="1" applyBorder="1" applyAlignment="1" applyProtection="1">
      <alignment horizontal="distributed" vertical="center"/>
    </xf>
    <xf numFmtId="1" fontId="16" fillId="0" borderId="99" xfId="95" applyNumberFormat="1" applyFont="1" applyFill="1" applyBorder="1" applyAlignment="1" applyProtection="1">
      <alignment horizontal="distributed" vertical="center"/>
    </xf>
    <xf numFmtId="0" fontId="16" fillId="0" borderId="53" xfId="95" applyFont="1" applyFill="1" applyBorder="1" applyAlignment="1" applyProtection="1">
      <alignment horizontal="distributed" vertical="center"/>
    </xf>
    <xf numFmtId="0" fontId="16" fillId="0" borderId="109" xfId="95" applyFont="1" applyFill="1" applyBorder="1" applyAlignment="1" applyProtection="1">
      <alignment horizontal="distributed" vertical="center"/>
    </xf>
    <xf numFmtId="49" fontId="22" fillId="0" borderId="183" xfId="95" applyNumberFormat="1" applyFont="1" applyFill="1" applyBorder="1" applyAlignment="1" applyProtection="1">
      <alignment horizontal="right" vertical="center" shrinkToFit="1"/>
    </xf>
    <xf numFmtId="49" fontId="22" fillId="0" borderId="182" xfId="95" applyNumberFormat="1" applyFont="1" applyFill="1" applyBorder="1" applyAlignment="1" applyProtection="1">
      <alignment horizontal="right" vertical="center" shrinkToFit="1"/>
    </xf>
    <xf numFmtId="49" fontId="22" fillId="0" borderId="53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74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94" xfId="95" applyFont="1" applyFill="1" applyBorder="1" applyAlignment="1" applyProtection="1">
      <alignment vertical="center"/>
    </xf>
    <xf numFmtId="0" fontId="16" fillId="0" borderId="119" xfId="95" applyFont="1" applyFill="1" applyBorder="1" applyAlignment="1" applyProtection="1">
      <alignment horizontal="center" vertical="center"/>
    </xf>
    <xf numFmtId="0" fontId="16" fillId="0" borderId="128" xfId="95" applyFont="1" applyFill="1" applyBorder="1" applyAlignment="1" applyProtection="1">
      <alignment horizontal="center" vertical="center"/>
    </xf>
    <xf numFmtId="1" fontId="16" fillId="0" borderId="128" xfId="95" applyNumberFormat="1" applyFont="1" applyFill="1" applyBorder="1" applyAlignment="1" applyProtection="1">
      <alignment horizontal="center" vertical="center"/>
    </xf>
    <xf numFmtId="1" fontId="16" fillId="0" borderId="114" xfId="95" applyNumberFormat="1" applyFont="1" applyFill="1" applyBorder="1" applyAlignment="1" applyProtection="1">
      <alignment horizontal="center" vertical="center"/>
    </xf>
    <xf numFmtId="1" fontId="16" fillId="0" borderId="131" xfId="95" applyNumberFormat="1" applyFont="1" applyFill="1" applyBorder="1" applyAlignment="1" applyProtection="1">
      <alignment horizontal="center" vertical="center"/>
    </xf>
    <xf numFmtId="1" fontId="16" fillId="0" borderId="175" xfId="95" applyNumberFormat="1" applyFont="1" applyFill="1" applyBorder="1" applyAlignment="1" applyProtection="1">
      <alignment horizontal="center" vertical="center"/>
    </xf>
    <xf numFmtId="0" fontId="16" fillId="0" borderId="87" xfId="95" applyFont="1" applyFill="1" applyBorder="1" applyAlignment="1" applyProtection="1">
      <alignment vertical="center"/>
    </xf>
    <xf numFmtId="0" fontId="16" fillId="0" borderId="73" xfId="95" applyFont="1" applyFill="1" applyBorder="1" applyAlignment="1" applyProtection="1">
      <alignment vertical="center"/>
    </xf>
    <xf numFmtId="0" fontId="16" fillId="0" borderId="72" xfId="95" applyFont="1" applyFill="1" applyBorder="1" applyAlignment="1" applyProtection="1">
      <alignment vertical="center"/>
    </xf>
    <xf numFmtId="0" fontId="16" fillId="0" borderId="57" xfId="95" applyFont="1" applyFill="1" applyBorder="1" applyAlignment="1" applyProtection="1">
      <alignment horizontal="distributed" vertical="center" shrinkToFit="1"/>
    </xf>
    <xf numFmtId="0" fontId="16" fillId="0" borderId="26" xfId="95" applyFont="1" applyFill="1" applyBorder="1" applyAlignment="1" applyProtection="1">
      <alignment horizontal="distributed" vertical="center" shrinkToFit="1"/>
    </xf>
    <xf numFmtId="49" fontId="22" fillId="0" borderId="12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07" xfId="94" applyNumberFormat="1" applyFont="1" applyFill="1" applyBorder="1" applyAlignment="1" applyProtection="1">
      <alignment horizontal="right" vertical="center" shrinkToFit="1"/>
      <protection locked="0"/>
    </xf>
    <xf numFmtId="1" fontId="16" fillId="0" borderId="21" xfId="95" applyNumberFormat="1" applyFont="1" applyFill="1" applyBorder="1" applyAlignment="1" applyProtection="1">
      <alignment horizontal="distributed" vertical="center"/>
    </xf>
    <xf numFmtId="1" fontId="16" fillId="0" borderId="18" xfId="95" applyNumberFormat="1" applyFont="1" applyFill="1" applyBorder="1" applyAlignment="1" applyProtection="1">
      <alignment horizontal="distributed" vertical="center"/>
    </xf>
    <xf numFmtId="0" fontId="16" fillId="0" borderId="42" xfId="95" applyFont="1" applyFill="1" applyBorder="1" applyAlignment="1" applyProtection="1">
      <alignment horizontal="center" vertical="distributed" textRotation="255" justifyLastLine="1"/>
    </xf>
    <xf numFmtId="0" fontId="16" fillId="0" borderId="89" xfId="95" applyFont="1" applyFill="1" applyBorder="1" applyAlignment="1" applyProtection="1">
      <alignment horizontal="center" vertical="distributed" textRotation="255" justifyLastLine="1"/>
    </xf>
    <xf numFmtId="0" fontId="16" fillId="0" borderId="41" xfId="95" applyFont="1" applyFill="1" applyBorder="1" applyAlignment="1" applyProtection="1">
      <alignment horizontal="center" vertical="distributed" textRotation="255" justifyLastLine="1"/>
    </xf>
    <xf numFmtId="0" fontId="16" fillId="0" borderId="67" xfId="95" applyFont="1" applyFill="1" applyBorder="1" applyAlignment="1" applyProtection="1">
      <alignment horizontal="center" vertical="distributed" textRotation="255" justifyLastLine="1"/>
    </xf>
    <xf numFmtId="0" fontId="16" fillId="0" borderId="23" xfId="95" applyFont="1" applyFill="1" applyBorder="1" applyAlignment="1" applyProtection="1">
      <alignment horizontal="center" vertical="distributed" textRotation="255" justifyLastLine="1"/>
    </xf>
    <xf numFmtId="0" fontId="16" fillId="0" borderId="80" xfId="95" applyFont="1" applyFill="1" applyBorder="1" applyAlignment="1" applyProtection="1">
      <alignment horizontal="center" vertical="distributed" textRotation="255" justifyLastLine="1"/>
    </xf>
    <xf numFmtId="0" fontId="16" fillId="0" borderId="32" xfId="95" applyFont="1" applyFill="1" applyBorder="1" applyAlignment="1" applyProtection="1">
      <alignment horizontal="center" vertical="center" shrinkToFit="1"/>
    </xf>
    <xf numFmtId="49" fontId="22" fillId="0" borderId="135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78" xfId="94" applyFont="1" applyFill="1" applyBorder="1" applyAlignment="1" applyProtection="1">
      <alignment horizontal="distributed" vertical="center" wrapText="1" justifyLastLine="1"/>
    </xf>
    <xf numFmtId="0" fontId="28" fillId="0" borderId="9" xfId="94" applyFont="1" applyFill="1" applyBorder="1" applyAlignment="1" applyProtection="1">
      <alignment horizontal="distributed" vertical="center" justifyLastLine="1"/>
    </xf>
    <xf numFmtId="0" fontId="28" fillId="0" borderId="8" xfId="94" applyFont="1" applyFill="1" applyBorder="1" applyAlignment="1" applyProtection="1">
      <alignment horizontal="distributed" vertical="center" justifyLastLine="1"/>
    </xf>
    <xf numFmtId="49" fontId="22" fillId="0" borderId="189" xfId="94" applyNumberFormat="1" applyFont="1" applyFill="1" applyBorder="1" applyAlignment="1" applyProtection="1">
      <alignment horizontal="right" vertical="center" shrinkToFit="1"/>
    </xf>
    <xf numFmtId="49" fontId="22" fillId="0" borderId="186" xfId="94" applyNumberFormat="1" applyFont="1" applyFill="1" applyBorder="1" applyAlignment="1" applyProtection="1">
      <alignment horizontal="right" vertical="center" shrinkToFit="1"/>
    </xf>
    <xf numFmtId="0" fontId="16" fillId="0" borderId="38" xfId="94" applyFont="1" applyFill="1" applyBorder="1" applyAlignment="1" applyProtection="1">
      <alignment horizontal="left" vertical="center" shrinkToFit="1"/>
    </xf>
    <xf numFmtId="0" fontId="16" fillId="0" borderId="37" xfId="94" applyFont="1" applyFill="1" applyBorder="1" applyAlignment="1" applyProtection="1">
      <alignment horizontal="left" vertical="center" shrinkToFit="1"/>
    </xf>
    <xf numFmtId="49" fontId="22" fillId="0" borderId="125" xfId="94" applyNumberFormat="1" applyFont="1" applyFill="1" applyBorder="1" applyAlignment="1" applyProtection="1">
      <alignment horizontal="right" vertical="center" shrinkToFit="1"/>
    </xf>
    <xf numFmtId="49" fontId="22" fillId="0" borderId="105" xfId="94" applyNumberFormat="1" applyFont="1" applyFill="1" applyBorder="1" applyAlignment="1" applyProtection="1">
      <alignment horizontal="right" vertical="center" shrinkToFit="1"/>
    </xf>
    <xf numFmtId="49" fontId="22" fillId="0" borderId="37" xfId="94" applyNumberFormat="1" applyFont="1" applyFill="1" applyBorder="1" applyAlignment="1" applyProtection="1">
      <alignment horizontal="right" vertical="center" shrinkToFit="1"/>
    </xf>
    <xf numFmtId="49" fontId="22" fillId="0" borderId="39" xfId="94" applyNumberFormat="1" applyFont="1" applyFill="1" applyBorder="1" applyAlignment="1" applyProtection="1">
      <alignment horizontal="right" vertical="center" shrinkToFit="1"/>
    </xf>
    <xf numFmtId="49" fontId="22" fillId="0" borderId="158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200" xfId="94" applyNumberFormat="1" applyFont="1" applyFill="1" applyBorder="1" applyAlignment="1" applyProtection="1">
      <alignment horizontal="right" vertical="center" shrinkToFit="1"/>
    </xf>
    <xf numFmtId="49" fontId="22" fillId="0" borderId="182" xfId="94" applyNumberFormat="1" applyFont="1" applyFill="1" applyBorder="1" applyAlignment="1" applyProtection="1">
      <alignment horizontal="right" vertical="center" shrinkToFit="1"/>
    </xf>
    <xf numFmtId="49" fontId="22" fillId="0" borderId="201" xfId="94" applyNumberFormat="1" applyFont="1" applyFill="1" applyBorder="1" applyAlignment="1" applyProtection="1">
      <alignment horizontal="right" vertical="center" shrinkToFit="1"/>
    </xf>
    <xf numFmtId="0" fontId="16" fillId="0" borderId="108" xfId="95" applyFont="1" applyFill="1" applyBorder="1" applyAlignment="1" applyProtection="1">
      <alignment horizontal="center" vertical="distributed" textRotation="255" justifyLastLine="1"/>
    </xf>
    <xf numFmtId="49" fontId="22" fillId="0" borderId="132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66" xfId="95" applyFont="1" applyFill="1" applyBorder="1" applyAlignment="1" applyProtection="1">
      <alignment horizontal="distributed" vertical="center"/>
    </xf>
    <xf numFmtId="0" fontId="16" fillId="0" borderId="37" xfId="95" applyFont="1" applyFill="1" applyBorder="1" applyAlignment="1" applyProtection="1">
      <alignment horizontal="distributed" vertical="center"/>
    </xf>
    <xf numFmtId="0" fontId="16" fillId="0" borderId="36" xfId="95" applyFont="1" applyFill="1" applyBorder="1" applyAlignment="1" applyProtection="1">
      <alignment horizontal="distributed" vertical="center"/>
    </xf>
    <xf numFmtId="49" fontId="22" fillId="0" borderId="184" xfId="94" applyNumberFormat="1" applyFont="1" applyFill="1" applyBorder="1" applyAlignment="1" applyProtection="1">
      <alignment horizontal="right" vertical="center" shrinkToFit="1"/>
    </xf>
    <xf numFmtId="49" fontId="22" fillId="0" borderId="130" xfId="94" applyNumberFormat="1" applyFont="1" applyFill="1" applyBorder="1" applyAlignment="1" applyProtection="1">
      <alignment horizontal="right" vertical="center" shrinkToFit="1"/>
    </xf>
    <xf numFmtId="49" fontId="22" fillId="0" borderId="66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99" xfId="94" applyFont="1" applyFill="1" applyBorder="1" applyAlignment="1" applyProtection="1">
      <alignment horizontal="left" vertical="center" shrinkToFit="1"/>
    </xf>
    <xf numFmtId="0" fontId="16" fillId="0" borderId="58" xfId="94" applyFont="1" applyFill="1" applyBorder="1" applyAlignment="1" applyProtection="1">
      <alignment horizontal="left" vertical="center" shrinkToFit="1"/>
    </xf>
    <xf numFmtId="49" fontId="22" fillId="0" borderId="188" xfId="94" applyNumberFormat="1" applyFont="1" applyFill="1" applyBorder="1" applyAlignment="1" applyProtection="1">
      <alignment horizontal="right" vertical="center" shrinkToFit="1"/>
    </xf>
    <xf numFmtId="0" fontId="16" fillId="0" borderId="54" xfId="95" applyFont="1" applyFill="1" applyBorder="1" applyAlignment="1" applyProtection="1">
      <alignment horizontal="center" vertical="distributed" textRotation="255" justifyLastLine="1" shrinkToFit="1"/>
    </xf>
    <xf numFmtId="0" fontId="16" fillId="0" borderId="76" xfId="95" applyFont="1" applyFill="1" applyBorder="1" applyAlignment="1" applyProtection="1">
      <alignment horizontal="center" vertical="distributed" textRotation="255" justifyLastLine="1"/>
    </xf>
    <xf numFmtId="0" fontId="16" fillId="0" borderId="52" xfId="95" applyFont="1" applyFill="1" applyBorder="1" applyAlignment="1" applyProtection="1">
      <alignment horizontal="center" vertical="distributed" textRotation="255" justifyLastLine="1"/>
    </xf>
    <xf numFmtId="49" fontId="22" fillId="0" borderId="202" xfId="94" applyNumberFormat="1" applyFont="1" applyFill="1" applyBorder="1" applyAlignment="1" applyProtection="1">
      <alignment horizontal="right" vertical="center" shrinkToFit="1"/>
    </xf>
    <xf numFmtId="0" fontId="16" fillId="0" borderId="41" xfId="95" applyFont="1" applyFill="1" applyBorder="1" applyAlignment="1" applyProtection="1">
      <alignment horizontal="center" vertical="center" textRotation="255" shrinkToFit="1"/>
    </xf>
    <xf numFmtId="0" fontId="16" fillId="0" borderId="13" xfId="95" applyFont="1" applyFill="1" applyBorder="1" applyAlignment="1" applyProtection="1">
      <alignment horizontal="center" vertical="center" textRotation="255" shrinkToFit="1"/>
    </xf>
    <xf numFmtId="0" fontId="16" fillId="0" borderId="71" xfId="95" applyFont="1" applyFill="1" applyBorder="1" applyAlignment="1" applyProtection="1">
      <alignment horizontal="distributed" vertical="distributed"/>
    </xf>
    <xf numFmtId="0" fontId="16" fillId="0" borderId="35" xfId="95" applyFont="1" applyFill="1" applyBorder="1" applyAlignment="1" applyProtection="1">
      <alignment horizontal="distributed" vertical="distributed"/>
    </xf>
    <xf numFmtId="0" fontId="16" fillId="0" borderId="52" xfId="95" applyFont="1" applyFill="1" applyBorder="1" applyAlignment="1" applyProtection="1">
      <alignment horizontal="distributed" vertical="center"/>
    </xf>
    <xf numFmtId="49" fontId="22" fillId="0" borderId="34" xfId="93" applyNumberFormat="1" applyFont="1" applyFill="1" applyBorder="1" applyAlignment="1" applyProtection="1">
      <alignment horizontal="right" vertical="center" shrinkToFit="1"/>
    </xf>
    <xf numFmtId="49" fontId="22" fillId="0" borderId="52" xfId="93" applyNumberFormat="1" applyFont="1" applyFill="1" applyBorder="1" applyAlignment="1" applyProtection="1">
      <alignment horizontal="right" vertical="center" shrinkToFit="1"/>
    </xf>
    <xf numFmtId="0" fontId="29" fillId="0" borderId="71" xfId="93" applyFont="1" applyFill="1" applyBorder="1" applyAlignment="1" applyProtection="1">
      <alignment horizontal="center" vertical="center" wrapText="1" shrinkToFit="1"/>
    </xf>
    <xf numFmtId="0" fontId="29" fillId="0" borderId="71" xfId="93" applyFont="1" applyFill="1" applyBorder="1" applyAlignment="1" applyProtection="1">
      <alignment horizontal="center" vertical="center" shrinkToFit="1"/>
    </xf>
    <xf numFmtId="49" fontId="22" fillId="5" borderId="31" xfId="94" applyNumberFormat="1" applyFont="1" applyFill="1" applyBorder="1" applyAlignment="1" applyProtection="1">
      <alignment horizontal="right" vertical="center" shrinkToFit="1"/>
    </xf>
    <xf numFmtId="0" fontId="16" fillId="0" borderId="121" xfId="93" applyFont="1" applyFill="1" applyBorder="1" applyAlignment="1" applyProtection="1">
      <alignment horizontal="distributed" vertical="center"/>
    </xf>
    <xf numFmtId="0" fontId="16" fillId="0" borderId="20" xfId="93" applyFont="1" applyFill="1" applyBorder="1" applyAlignment="1" applyProtection="1">
      <alignment horizontal="distributed" vertical="center"/>
    </xf>
    <xf numFmtId="0" fontId="16" fillId="0" borderId="193" xfId="93" applyFont="1" applyFill="1" applyBorder="1" applyAlignment="1" applyProtection="1">
      <alignment vertical="center"/>
    </xf>
    <xf numFmtId="0" fontId="16" fillId="0" borderId="194" xfId="93" applyFont="1" applyFill="1" applyBorder="1" applyAlignment="1" applyProtection="1">
      <alignment vertical="center"/>
    </xf>
    <xf numFmtId="0" fontId="16" fillId="0" borderId="195" xfId="93" applyFont="1" applyFill="1" applyBorder="1" applyAlignment="1" applyProtection="1">
      <alignment vertical="center"/>
    </xf>
    <xf numFmtId="0" fontId="16" fillId="0" borderId="91" xfId="93" applyFont="1" applyFill="1" applyBorder="1" applyAlignment="1" applyProtection="1">
      <alignment vertical="center"/>
    </xf>
    <xf numFmtId="0" fontId="16" fillId="2" borderId="40" xfId="95" applyFont="1" applyFill="1" applyBorder="1" applyAlignment="1" applyProtection="1">
      <alignment horizontal="distributed" vertical="center"/>
    </xf>
    <xf numFmtId="0" fontId="16" fillId="0" borderId="170" xfId="93" applyFont="1" applyFill="1" applyBorder="1" applyAlignment="1" applyProtection="1">
      <alignment horizontal="center" vertical="center"/>
    </xf>
    <xf numFmtId="0" fontId="16" fillId="0" borderId="18" xfId="93" applyFont="1" applyFill="1" applyBorder="1" applyAlignment="1" applyProtection="1">
      <alignment horizontal="center" vertical="center"/>
    </xf>
    <xf numFmtId="49" fontId="22" fillId="5" borderId="196" xfId="94" applyNumberFormat="1" applyFont="1" applyFill="1" applyBorder="1" applyAlignment="1" applyProtection="1">
      <alignment horizontal="right" vertical="center" shrinkToFit="1"/>
    </xf>
    <xf numFmtId="49" fontId="22" fillId="5" borderId="14" xfId="94" applyNumberFormat="1" applyFont="1" applyFill="1" applyBorder="1" applyAlignment="1" applyProtection="1">
      <alignment horizontal="right" vertical="center" shrinkToFit="1"/>
    </xf>
    <xf numFmtId="0" fontId="16" fillId="0" borderId="11" xfId="95" applyFont="1" applyFill="1" applyBorder="1" applyAlignment="1" applyProtection="1">
      <alignment horizontal="center" vertical="center"/>
    </xf>
    <xf numFmtId="49" fontId="16" fillId="0" borderId="85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46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48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32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52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26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07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17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71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57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26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60" xfId="94" applyNumberFormat="1" applyFont="1" applyFill="1" applyBorder="1" applyAlignment="1" applyProtection="1">
      <alignment horizontal="left" vertical="center" shrinkToFit="1"/>
      <protection locked="0"/>
    </xf>
    <xf numFmtId="49" fontId="22" fillId="0" borderId="61" xfId="94" applyNumberFormat="1" applyFont="1" applyFill="1" applyBorder="1" applyAlignment="1" applyProtection="1">
      <alignment horizontal="right" vertical="center" shrinkToFit="1"/>
      <protection locked="0"/>
    </xf>
    <xf numFmtId="49" fontId="16" fillId="0" borderId="110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33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05" xfId="94" applyNumberFormat="1" applyFont="1" applyFill="1" applyBorder="1" applyAlignment="1" applyProtection="1">
      <alignment horizontal="left" vertical="center" shrinkToFit="1"/>
      <protection locked="0"/>
    </xf>
    <xf numFmtId="49" fontId="22" fillId="0" borderId="168" xfId="94" applyNumberFormat="1" applyFont="1" applyFill="1" applyBorder="1" applyAlignment="1" applyProtection="1">
      <alignment horizontal="right" vertical="center" shrinkToFit="1"/>
      <protection locked="0"/>
    </xf>
    <xf numFmtId="0" fontId="20" fillId="0" borderId="50" xfId="94" applyNumberFormat="1" applyFont="1" applyFill="1" applyBorder="1" applyAlignment="1" applyProtection="1">
      <alignment horizontal="left" vertical="center" shrinkToFit="1"/>
      <protection locked="0"/>
    </xf>
    <xf numFmtId="0" fontId="20" fillId="0" borderId="59" xfId="95" applyFont="1" applyFill="1" applyBorder="1" applyAlignment="1" applyProtection="1">
      <alignment vertical="center"/>
    </xf>
    <xf numFmtId="0" fontId="16" fillId="0" borderId="177" xfId="95" applyFont="1" applyFill="1" applyBorder="1" applyAlignment="1" applyProtection="1">
      <alignment vertical="center"/>
    </xf>
    <xf numFmtId="0" fontId="16" fillId="0" borderId="178" xfId="95" applyFont="1" applyFill="1" applyBorder="1" applyAlignment="1" applyProtection="1">
      <alignment vertical="center"/>
    </xf>
    <xf numFmtId="0" fontId="16" fillId="0" borderId="179" xfId="95" applyFont="1" applyFill="1" applyBorder="1" applyAlignment="1" applyProtection="1">
      <alignment vertical="center"/>
    </xf>
    <xf numFmtId="0" fontId="16" fillId="0" borderId="118" xfId="95" applyFont="1" applyFill="1" applyBorder="1" applyAlignment="1" applyProtection="1">
      <alignment vertical="center"/>
    </xf>
    <xf numFmtId="0" fontId="16" fillId="0" borderId="114" xfId="95" applyFont="1" applyFill="1" applyBorder="1" applyAlignment="1" applyProtection="1">
      <alignment horizontal="center" vertical="center"/>
    </xf>
    <xf numFmtId="0" fontId="16" fillId="0" borderId="9" xfId="95" applyFont="1" applyFill="1" applyBorder="1" applyAlignment="1" applyProtection="1">
      <alignment horizontal="center" vertical="center"/>
    </xf>
    <xf numFmtId="0" fontId="16" fillId="0" borderId="3" xfId="95" applyFont="1" applyFill="1" applyBorder="1" applyAlignment="1" applyProtection="1">
      <alignment horizontal="center" vertical="center"/>
    </xf>
    <xf numFmtId="0" fontId="16" fillId="0" borderId="77" xfId="95" applyFont="1" applyFill="1" applyBorder="1" applyAlignment="1" applyProtection="1">
      <alignment horizontal="center" vertical="center"/>
    </xf>
    <xf numFmtId="0" fontId="16" fillId="0" borderId="0" xfId="95" applyFont="1" applyFill="1" applyBorder="1" applyAlignment="1" applyProtection="1">
      <alignment horizontal="center" vertical="distributed" textRotation="255" justifyLastLine="1"/>
    </xf>
    <xf numFmtId="49" fontId="22" fillId="0" borderId="180" xfId="95" applyNumberFormat="1" applyFont="1" applyFill="1" applyBorder="1" applyAlignment="1" applyProtection="1">
      <alignment horizontal="right" vertical="center" shrinkToFit="1"/>
    </xf>
    <xf numFmtId="49" fontId="22" fillId="0" borderId="181" xfId="95" applyNumberFormat="1" applyFont="1" applyFill="1" applyBorder="1" applyAlignment="1" applyProtection="1">
      <alignment horizontal="right" vertical="center" shrinkToFit="1"/>
    </xf>
    <xf numFmtId="49" fontId="22" fillId="0" borderId="46" xfId="94" quotePrefix="1" applyNumberFormat="1" applyFont="1" applyFill="1" applyBorder="1" applyAlignment="1" applyProtection="1">
      <alignment horizontal="right" vertical="center" shrinkToFit="1"/>
      <protection locked="0"/>
    </xf>
    <xf numFmtId="49" fontId="22" fillId="0" borderId="47" xfId="94" quotePrefix="1" applyNumberFormat="1" applyFont="1" applyFill="1" applyBorder="1" applyAlignment="1" applyProtection="1">
      <alignment horizontal="right" vertical="center" shrinkToFit="1"/>
      <protection locked="0"/>
    </xf>
    <xf numFmtId="49" fontId="22" fillId="5" borderId="46" xfId="94" quotePrefix="1" applyNumberFormat="1" applyFont="1" applyFill="1" applyBorder="1" applyAlignment="1" applyProtection="1">
      <alignment horizontal="right" vertical="center" shrinkToFit="1"/>
    </xf>
    <xf numFmtId="49" fontId="22" fillId="5" borderId="150" xfId="94" quotePrefix="1" applyNumberFormat="1" applyFont="1" applyFill="1" applyBorder="1" applyAlignment="1" applyProtection="1">
      <alignment horizontal="right" vertical="center" shrinkToFit="1"/>
    </xf>
    <xf numFmtId="49" fontId="22" fillId="5" borderId="125" xfId="94" applyNumberFormat="1" applyFont="1" applyFill="1" applyBorder="1" applyAlignment="1" applyProtection="1">
      <alignment horizontal="right" vertical="center" shrinkToFit="1"/>
    </xf>
    <xf numFmtId="0" fontId="16" fillId="0" borderId="185" xfId="95" applyFont="1" applyFill="1" applyBorder="1" applyAlignment="1" applyProtection="1">
      <alignment vertical="center"/>
    </xf>
    <xf numFmtId="0" fontId="16" fillId="0" borderId="186" xfId="95" applyFont="1" applyFill="1" applyBorder="1" applyAlignment="1" applyProtection="1">
      <alignment vertical="center"/>
    </xf>
    <xf numFmtId="0" fontId="16" fillId="0" borderId="187" xfId="95" applyFont="1" applyFill="1" applyBorder="1" applyAlignment="1" applyProtection="1">
      <alignment vertical="center"/>
    </xf>
    <xf numFmtId="0" fontId="16" fillId="0" borderId="131" xfId="95" applyFont="1" applyFill="1" applyBorder="1" applyAlignment="1" applyProtection="1">
      <alignment horizontal="center" vertical="center"/>
    </xf>
    <xf numFmtId="0" fontId="16" fillId="0" borderId="175" xfId="95" applyFont="1" applyFill="1" applyBorder="1" applyAlignment="1" applyProtection="1">
      <alignment horizontal="center" vertical="center"/>
    </xf>
    <xf numFmtId="49" fontId="22" fillId="0" borderId="47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41" xfId="95" applyFont="1" applyFill="1" applyBorder="1" applyAlignment="1" applyProtection="1">
      <alignment horizontal="center" vertical="center" textRotation="255"/>
    </xf>
    <xf numFmtId="0" fontId="16" fillId="0" borderId="0" xfId="95" applyFont="1" applyFill="1" applyBorder="1" applyAlignment="1" applyProtection="1">
      <alignment horizontal="center" vertical="center" textRotation="255"/>
    </xf>
    <xf numFmtId="0" fontId="16" fillId="0" borderId="23" xfId="95" applyFont="1" applyFill="1" applyBorder="1" applyAlignment="1" applyProtection="1">
      <alignment horizontal="center" vertical="center" textRotation="255"/>
    </xf>
    <xf numFmtId="0" fontId="16" fillId="0" borderId="7" xfId="95" applyFont="1" applyFill="1" applyBorder="1" applyAlignment="1" applyProtection="1">
      <alignment horizontal="center" vertical="center" textRotation="255"/>
    </xf>
    <xf numFmtId="0" fontId="16" fillId="0" borderId="28" xfId="95" applyFont="1" applyFill="1" applyBorder="1" applyAlignment="1" applyProtection="1">
      <alignment horizontal="distributed" vertical="center"/>
    </xf>
    <xf numFmtId="49" fontId="22" fillId="0" borderId="25" xfId="93" applyNumberFormat="1" applyFont="1" applyFill="1" applyBorder="1" applyAlignment="1" applyProtection="1">
      <alignment horizontal="right" vertical="center" shrinkToFit="1"/>
    </xf>
    <xf numFmtId="49" fontId="22" fillId="0" borderId="26" xfId="93" applyNumberFormat="1" applyFont="1" applyFill="1" applyBorder="1" applyAlignment="1" applyProtection="1">
      <alignment horizontal="right" vertical="center" shrinkToFit="1"/>
    </xf>
    <xf numFmtId="49" fontId="22" fillId="0" borderId="60" xfId="93" applyNumberFormat="1" applyFont="1" applyFill="1" applyBorder="1" applyAlignment="1" applyProtection="1">
      <alignment horizontal="right" vertical="center" shrinkToFit="1"/>
    </xf>
    <xf numFmtId="0" fontId="16" fillId="0" borderId="96" xfId="95" applyFont="1" applyFill="1" applyBorder="1" applyAlignment="1" applyProtection="1">
      <alignment horizontal="distributed" vertical="center"/>
    </xf>
    <xf numFmtId="0" fontId="16" fillId="0" borderId="95" xfId="95" applyFont="1" applyFill="1" applyBorder="1" applyAlignment="1" applyProtection="1">
      <alignment horizontal="distributed" vertical="center"/>
    </xf>
    <xf numFmtId="0" fontId="16" fillId="0" borderId="94" xfId="95" applyFont="1" applyFill="1" applyBorder="1" applyAlignment="1" applyProtection="1">
      <alignment horizontal="distributed" vertical="center"/>
    </xf>
    <xf numFmtId="176" fontId="16" fillId="0" borderId="95" xfId="95" applyNumberFormat="1" applyFont="1" applyFill="1" applyBorder="1" applyAlignment="1" applyProtection="1">
      <alignment horizontal="center" vertical="center"/>
    </xf>
    <xf numFmtId="0" fontId="16" fillId="0" borderId="127" xfId="95" applyFont="1" applyFill="1" applyBorder="1" applyAlignment="1" applyProtection="1">
      <alignment horizontal="center" vertical="center"/>
    </xf>
    <xf numFmtId="0" fontId="16" fillId="0" borderId="4" xfId="95" applyFont="1" applyFill="1" applyBorder="1" applyAlignment="1" applyProtection="1">
      <alignment horizontal="center" vertical="center"/>
    </xf>
    <xf numFmtId="0" fontId="16" fillId="0" borderId="137" xfId="95" applyFont="1" applyFill="1" applyBorder="1" applyAlignment="1" applyProtection="1">
      <alignment horizontal="center" vertical="center"/>
    </xf>
    <xf numFmtId="49" fontId="16" fillId="0" borderId="162" xfId="94" applyNumberFormat="1" applyFont="1" applyFill="1" applyBorder="1" applyAlignment="1" applyProtection="1">
      <alignment horizontal="left" vertical="center" shrinkToFit="1"/>
      <protection locked="0"/>
    </xf>
    <xf numFmtId="49" fontId="16" fillId="0" borderId="121" xfId="94" applyNumberFormat="1" applyFont="1" applyFill="1" applyBorder="1" applyAlignment="1" applyProtection="1">
      <alignment horizontal="left" vertical="center" shrinkToFit="1"/>
      <protection locked="0"/>
    </xf>
    <xf numFmtId="49" fontId="22" fillId="0" borderId="143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05" xfId="95" applyFont="1" applyFill="1" applyBorder="1" applyAlignment="1" applyProtection="1">
      <alignment horizontal="distributed" vertical="center"/>
    </xf>
    <xf numFmtId="0" fontId="16" fillId="0" borderId="124" xfId="95" applyFont="1" applyFill="1" applyBorder="1" applyAlignment="1" applyProtection="1">
      <alignment horizontal="distributed" vertical="center"/>
    </xf>
    <xf numFmtId="0" fontId="16" fillId="0" borderId="63" xfId="95" applyFont="1" applyFill="1" applyBorder="1" applyAlignment="1" applyProtection="1">
      <alignment horizontal="distributed" vertical="center"/>
    </xf>
    <xf numFmtId="0" fontId="16" fillId="0" borderId="62" xfId="95" applyFont="1" applyFill="1" applyBorder="1" applyAlignment="1" applyProtection="1">
      <alignment horizontal="distributed" vertical="center"/>
    </xf>
    <xf numFmtId="0" fontId="16" fillId="0" borderId="111" xfId="95" applyFont="1" applyFill="1" applyBorder="1" applyAlignment="1" applyProtection="1">
      <alignment horizontal="distributed" vertical="center"/>
    </xf>
    <xf numFmtId="49" fontId="22" fillId="0" borderId="190" xfId="95" applyNumberFormat="1" applyFont="1" applyFill="1" applyBorder="1" applyAlignment="1" applyProtection="1">
      <alignment horizontal="right" vertical="center" shrinkToFit="1"/>
    </xf>
    <xf numFmtId="49" fontId="22" fillId="0" borderId="139" xfId="95" applyNumberFormat="1" applyFont="1" applyFill="1" applyBorder="1" applyAlignment="1" applyProtection="1">
      <alignment horizontal="right" vertical="center" shrinkToFit="1"/>
    </xf>
    <xf numFmtId="49" fontId="22" fillId="0" borderId="120" xfId="95" applyNumberFormat="1" applyFont="1" applyFill="1" applyBorder="1" applyAlignment="1" applyProtection="1">
      <alignment horizontal="right" vertical="center" shrinkToFit="1"/>
    </xf>
    <xf numFmtId="0" fontId="16" fillId="0" borderId="12" xfId="97" applyNumberFormat="1" applyFont="1" applyFill="1" applyBorder="1" applyAlignment="1">
      <alignment horizontal="left" vertical="center"/>
    </xf>
  </cellXfs>
  <cellStyles count="98">
    <cellStyle name="Normal 2" xfId="22"/>
    <cellStyle name="Normal 4" xfId="94"/>
    <cellStyle name="Normal 7" xfId="87"/>
    <cellStyle name="Normal 9" xfId="96"/>
    <cellStyle name="Percent 2" xfId="88"/>
    <cellStyle name="スタイル 1" xfId="8"/>
    <cellStyle name="パーセント 2" xfId="9"/>
    <cellStyle name="パーセント 3" xfId="20"/>
    <cellStyle name="桁区切り 2" xfId="17"/>
    <cellStyle name="常规_Sheet1" xfId="10"/>
    <cellStyle name="標準" xfId="0" builtinId="0"/>
    <cellStyle name="標準 10" xfId="23"/>
    <cellStyle name="標準 10 2" xfId="4"/>
    <cellStyle name="標準 11" xfId="24"/>
    <cellStyle name="標準 11 2" xfId="25"/>
    <cellStyle name="標準 12" xfId="26"/>
    <cellStyle name="標準 12 2" xfId="27"/>
    <cellStyle name="標準 13" xfId="28"/>
    <cellStyle name="標準 13 2" xfId="29"/>
    <cellStyle name="標準 14" xfId="30"/>
    <cellStyle name="標準 14 2" xfId="31"/>
    <cellStyle name="標準 15" xfId="32"/>
    <cellStyle name="標準 15 2" xfId="33"/>
    <cellStyle name="標準 16" xfId="34"/>
    <cellStyle name="標準 16 2" xfId="35"/>
    <cellStyle name="標準 17" xfId="36"/>
    <cellStyle name="標準 18" xfId="37"/>
    <cellStyle name="標準 19" xfId="38"/>
    <cellStyle name="標準 2" xfId="1"/>
    <cellStyle name="標準 2 2" xfId="2"/>
    <cellStyle name="標準 2 2 2" xfId="13"/>
    <cellStyle name="標準 2 2 3" xfId="85"/>
    <cellStyle name="標準 2 3" xfId="6"/>
    <cellStyle name="標準 2 3 2" xfId="16"/>
    <cellStyle name="標準 2 4" xfId="19"/>
    <cellStyle name="標準 2 4 2" xfId="91"/>
    <cellStyle name="標準 2 5" xfId="89"/>
    <cellStyle name="標準 20" xfId="39"/>
    <cellStyle name="標準 21" xfId="40"/>
    <cellStyle name="標準 22" xfId="41"/>
    <cellStyle name="標準 23" xfId="42"/>
    <cellStyle name="標準 24" xfId="43"/>
    <cellStyle name="標準 25" xfId="44"/>
    <cellStyle name="標準 26" xfId="45"/>
    <cellStyle name="標準 27" xfId="46"/>
    <cellStyle name="標準 28" xfId="47"/>
    <cellStyle name="標準 29" xfId="48"/>
    <cellStyle name="標準 3" xfId="5"/>
    <cellStyle name="標準 3 2" xfId="7"/>
    <cellStyle name="標準 3 2 2" xfId="92"/>
    <cellStyle name="標準 3 3" xfId="3"/>
    <cellStyle name="標準 30" xfId="49"/>
    <cellStyle name="標準 31" xfId="50"/>
    <cellStyle name="標準 32" xfId="51"/>
    <cellStyle name="標準 33" xfId="52"/>
    <cellStyle name="標準 34" xfId="53"/>
    <cellStyle name="標準 35" xfId="54"/>
    <cellStyle name="標準 36" xfId="55"/>
    <cellStyle name="標準 37" xfId="56"/>
    <cellStyle name="標準 38" xfId="57"/>
    <cellStyle name="標準 39" xfId="58"/>
    <cellStyle name="標準 4" xfId="11"/>
    <cellStyle name="標準 4 2" xfId="18"/>
    <cellStyle name="標準 40" xfId="59"/>
    <cellStyle name="標準 41" xfId="60"/>
    <cellStyle name="標準 42" xfId="61"/>
    <cellStyle name="標準 43" xfId="62"/>
    <cellStyle name="標準 44" xfId="63"/>
    <cellStyle name="標準 45" xfId="64"/>
    <cellStyle name="標準 46" xfId="65"/>
    <cellStyle name="標準 47" xfId="66"/>
    <cellStyle name="標準 48" xfId="67"/>
    <cellStyle name="標準 49" xfId="68"/>
    <cellStyle name="標準 5" xfId="12"/>
    <cellStyle name="標準 50" xfId="69"/>
    <cellStyle name="標準 51" xfId="70"/>
    <cellStyle name="標準 52" xfId="71"/>
    <cellStyle name="標準 53" xfId="72"/>
    <cellStyle name="標準 54" xfId="73"/>
    <cellStyle name="標準 55" xfId="74"/>
    <cellStyle name="標準 56" xfId="75"/>
    <cellStyle name="標準 57" xfId="76"/>
    <cellStyle name="標準 58" xfId="77"/>
    <cellStyle name="標準 59" xfId="78"/>
    <cellStyle name="標準 6" xfId="15"/>
    <cellStyle name="標準 6 2" xfId="90"/>
    <cellStyle name="標準 60" xfId="79"/>
    <cellStyle name="標準 61" xfId="80"/>
    <cellStyle name="標準 62" xfId="86"/>
    <cellStyle name="標準 63" xfId="14"/>
    <cellStyle name="標準 7" xfId="21"/>
    <cellStyle name="標準 7 2" xfId="81"/>
    <cellStyle name="標準 8" xfId="82"/>
    <cellStyle name="標準 8 2" xfId="83"/>
    <cellStyle name="標準 9" xfId="84"/>
    <cellStyle name="標準_BDA1S0T05201" xfId="93"/>
    <cellStyle name="標準_BDA1S0T06201" xfId="95"/>
    <cellStyle name="標準_BDA1S0T07201" xfId="97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2"/>
  <sheetViews>
    <sheetView showGridLines="0" tabSelected="1" view="pageBreakPreview" zoomScale="130" zoomScaleNormal="130" zoomScaleSheetLayoutView="130" zoomScalePageLayoutView="55" workbookViewId="0"/>
  </sheetViews>
  <sheetFormatPr defaultColWidth="8" defaultRowHeight="12"/>
  <cols>
    <col min="1" max="1" width="2.625" style="26" customWidth="1"/>
    <col min="2" max="85" width="1.625" style="26" customWidth="1"/>
    <col min="86" max="86" width="1" style="26" customWidth="1"/>
    <col min="87" max="87" width="2.625" style="26" customWidth="1"/>
    <col min="88" max="93" width="2.375" style="26" customWidth="1"/>
    <col min="94" max="16384" width="8" style="26"/>
  </cols>
  <sheetData>
    <row r="1" spans="1:86" ht="13.7" customHeight="1">
      <c r="B1" s="27" t="str">
        <f>B5&amp;"年産　農業経営統計調査（小麦・大豆生産費統計（組織法人経営体））　集計結果表№１"</f>
        <v>年産　農業経営統計調査（小麦・大豆生産費統計（組織法人経営体））　集計結果表№１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</row>
    <row r="2" spans="1:86" ht="9.75" customHeight="1" thickBot="1">
      <c r="B2" s="417" t="s">
        <v>345</v>
      </c>
      <c r="C2" s="417"/>
      <c r="D2" s="417"/>
      <c r="E2" s="417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</row>
    <row r="3" spans="1:86" ht="9.75" customHeight="1" thickBot="1">
      <c r="A3" s="30"/>
      <c r="B3" s="31" t="s">
        <v>177</v>
      </c>
      <c r="C3" s="32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4"/>
      <c r="AS3" s="35"/>
      <c r="AT3" s="35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6"/>
    </row>
    <row r="4" spans="1:86" ht="9.75" customHeight="1">
      <c r="A4" s="30">
        <v>1</v>
      </c>
      <c r="B4" s="149" t="s">
        <v>0</v>
      </c>
      <c r="C4" s="150"/>
      <c r="D4" s="150"/>
      <c r="E4" s="150"/>
      <c r="F4" s="150"/>
      <c r="G4" s="150"/>
      <c r="H4" s="150" t="s">
        <v>172</v>
      </c>
      <c r="I4" s="150"/>
      <c r="J4" s="150"/>
      <c r="K4" s="150"/>
      <c r="L4" s="150"/>
      <c r="M4" s="150"/>
      <c r="N4" s="150" t="s">
        <v>280</v>
      </c>
      <c r="O4" s="150"/>
      <c r="P4" s="150"/>
      <c r="Q4" s="150"/>
      <c r="R4" s="150"/>
      <c r="S4" s="123"/>
      <c r="T4" s="150" t="s">
        <v>80</v>
      </c>
      <c r="U4" s="150"/>
      <c r="V4" s="150"/>
      <c r="W4" s="150"/>
      <c r="X4" s="150"/>
      <c r="Y4" s="123"/>
      <c r="Z4" s="123" t="s">
        <v>281</v>
      </c>
      <c r="AA4" s="124"/>
      <c r="AB4" s="124"/>
      <c r="AC4" s="124"/>
      <c r="AD4" s="124"/>
      <c r="AE4" s="125"/>
      <c r="AF4" s="123" t="s">
        <v>202</v>
      </c>
      <c r="AG4" s="124"/>
      <c r="AH4" s="124"/>
      <c r="AI4" s="124"/>
      <c r="AJ4" s="124"/>
      <c r="AK4" s="125"/>
      <c r="AL4" s="123" t="s">
        <v>271</v>
      </c>
      <c r="AM4" s="124"/>
      <c r="AN4" s="124"/>
      <c r="AO4" s="124"/>
      <c r="AP4" s="124"/>
      <c r="AQ4" s="125"/>
      <c r="AR4" s="150" t="s">
        <v>282</v>
      </c>
      <c r="AS4" s="150"/>
      <c r="AT4" s="150"/>
      <c r="AU4" s="150"/>
      <c r="AV4" s="150"/>
      <c r="AW4" s="150"/>
      <c r="AX4" s="150" t="s">
        <v>283</v>
      </c>
      <c r="AY4" s="150"/>
      <c r="AZ4" s="150"/>
      <c r="BA4" s="150"/>
      <c r="BB4" s="150"/>
      <c r="BC4" s="150"/>
      <c r="BD4" s="171" t="s">
        <v>268</v>
      </c>
      <c r="BE4" s="171"/>
      <c r="BF4" s="171"/>
      <c r="BG4" s="171"/>
      <c r="BH4" s="171"/>
      <c r="BI4" s="171"/>
      <c r="BJ4" s="123" t="s">
        <v>275</v>
      </c>
      <c r="BK4" s="124"/>
      <c r="BL4" s="124"/>
      <c r="BM4" s="124"/>
      <c r="BN4" s="124"/>
      <c r="BO4" s="125"/>
      <c r="BP4" s="171"/>
      <c r="BQ4" s="171"/>
      <c r="BR4" s="171"/>
      <c r="BS4" s="171"/>
      <c r="BT4" s="171"/>
      <c r="BU4" s="171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70"/>
      <c r="CH4" s="37"/>
    </row>
    <row r="5" spans="1:86" s="43" customFormat="1" ht="9.75" customHeight="1" thickBot="1">
      <c r="A5" s="30">
        <v>2</v>
      </c>
      <c r="B5" s="146"/>
      <c r="C5" s="147"/>
      <c r="D5" s="147"/>
      <c r="E5" s="147"/>
      <c r="F5" s="147"/>
      <c r="G5" s="148"/>
      <c r="H5" s="38"/>
      <c r="I5" s="129" t="str">
        <f>IF(H5&lt;&gt;"",DGET(リスト!A2:B71,"都道府県番号",リスト!B73:B74),"")</f>
        <v/>
      </c>
      <c r="J5" s="129"/>
      <c r="K5" s="129"/>
      <c r="L5" s="129"/>
      <c r="M5" s="130"/>
      <c r="N5" s="39"/>
      <c r="O5" s="129" t="str">
        <f>IF(N5&gt;0,DGET(リスト!V2:W4,"経営種類",リスト!W6:W7),"")</f>
        <v/>
      </c>
      <c r="P5" s="129"/>
      <c r="Q5" s="129"/>
      <c r="R5" s="129"/>
      <c r="S5" s="130"/>
      <c r="T5" s="38"/>
      <c r="U5" s="129" t="str">
        <f>IF(T5&gt;0,DGET(リスト!D2:E13,"生産費区分",リスト!E15:E16),"")</f>
        <v/>
      </c>
      <c r="V5" s="129"/>
      <c r="W5" s="129"/>
      <c r="X5" s="129"/>
      <c r="Y5" s="130"/>
      <c r="Z5" s="38"/>
      <c r="AA5" s="129" t="str">
        <f>IF(T5=81,DGET(リスト!J3:K15,"規模階層",リスト!K17:K18),IF(T5=82,DGET(リスト!J21:K31,"規模階層",リスト!K17:K18),""))</f>
        <v/>
      </c>
      <c r="AB5" s="129"/>
      <c r="AC5" s="129"/>
      <c r="AD5" s="129"/>
      <c r="AE5" s="130"/>
      <c r="AF5" s="40"/>
      <c r="AG5" s="129" t="str">
        <f>IF(AF5&lt;&gt;"",DGET(リスト!P2:Q7,"平均値種類",リスト!Q9:Q10),"")</f>
        <v/>
      </c>
      <c r="AH5" s="129"/>
      <c r="AI5" s="129"/>
      <c r="AJ5" s="129"/>
      <c r="AK5" s="130"/>
      <c r="AL5" s="131"/>
      <c r="AM5" s="132"/>
      <c r="AN5" s="132"/>
      <c r="AO5" s="132"/>
      <c r="AP5" s="132"/>
      <c r="AQ5" s="133"/>
      <c r="AR5" s="134"/>
      <c r="AS5" s="135"/>
      <c r="AT5" s="135"/>
      <c r="AU5" s="135"/>
      <c r="AV5" s="135"/>
      <c r="AW5" s="136"/>
      <c r="AX5" s="41"/>
      <c r="AY5" s="129" t="str">
        <f>IF(AX5&gt;0,DGET(リスト!S2:T4,"加重・総和の別",リスト!T6:T7),"")</f>
        <v/>
      </c>
      <c r="AZ5" s="129"/>
      <c r="BA5" s="129"/>
      <c r="BB5" s="129"/>
      <c r="BC5" s="130"/>
      <c r="BD5" s="41"/>
      <c r="BE5" s="129" t="str">
        <f>IF(BD5&gt;0,DGET(リスト!G2:H8,"集計区分",リスト!H10:H11),"")</f>
        <v/>
      </c>
      <c r="BF5" s="129"/>
      <c r="BG5" s="129"/>
      <c r="BH5" s="129"/>
      <c r="BI5" s="130"/>
      <c r="BJ5" s="41"/>
      <c r="BK5" s="129" t="str">
        <f>IF(BJ5&lt;&gt;"",DGET(リスト!M2:N5,"田畑区分",リスト!N7:N8),"")</f>
        <v/>
      </c>
      <c r="BL5" s="129"/>
      <c r="BM5" s="129"/>
      <c r="BN5" s="129"/>
      <c r="BO5" s="130"/>
      <c r="BP5" s="166"/>
      <c r="BQ5" s="166"/>
      <c r="BR5" s="166"/>
      <c r="BS5" s="166"/>
      <c r="BT5" s="166"/>
      <c r="BU5" s="166"/>
      <c r="BV5" s="166"/>
      <c r="BW5" s="166"/>
      <c r="BX5" s="166"/>
      <c r="BY5" s="166"/>
      <c r="BZ5" s="166"/>
      <c r="CA5" s="166"/>
      <c r="CB5" s="167"/>
      <c r="CC5" s="167"/>
      <c r="CD5" s="167"/>
      <c r="CE5" s="167"/>
      <c r="CF5" s="167"/>
      <c r="CG5" s="168"/>
      <c r="CH5" s="42"/>
    </row>
    <row r="6" spans="1:86" ht="9.75" customHeight="1">
      <c r="A6" s="30">
        <v>3</v>
      </c>
      <c r="B6" s="137" t="s">
        <v>284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44"/>
      <c r="BE6" s="33"/>
      <c r="BF6" s="33"/>
      <c r="BG6" s="33"/>
      <c r="BH6" s="33"/>
      <c r="BI6" s="33"/>
      <c r="BJ6" s="45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  <c r="CC6" s="47"/>
      <c r="CD6" s="47"/>
      <c r="CE6" s="47"/>
      <c r="CF6" s="47"/>
      <c r="CG6" s="48"/>
      <c r="CH6" s="49"/>
    </row>
    <row r="7" spans="1:86" ht="9.75" customHeight="1">
      <c r="A7" s="30">
        <v>4</v>
      </c>
      <c r="B7" s="117"/>
      <c r="C7" s="118"/>
      <c r="D7" s="118"/>
      <c r="E7" s="118"/>
      <c r="F7" s="118"/>
      <c r="G7" s="119"/>
      <c r="H7" s="142" t="s">
        <v>192</v>
      </c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3" t="s">
        <v>193</v>
      </c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5"/>
      <c r="BD7" s="151"/>
      <c r="BE7" s="152"/>
      <c r="BF7" s="152"/>
      <c r="BG7" s="152"/>
      <c r="BH7" s="152"/>
      <c r="BI7" s="153"/>
      <c r="BJ7" s="50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7"/>
      <c r="CC7" s="47"/>
      <c r="CD7" s="47"/>
      <c r="CE7" s="47"/>
      <c r="CF7" s="47"/>
      <c r="CG7" s="48"/>
      <c r="CH7" s="49"/>
    </row>
    <row r="8" spans="1:86" ht="9.75" customHeight="1" thickBot="1">
      <c r="A8" s="30">
        <v>5</v>
      </c>
      <c r="B8" s="120"/>
      <c r="C8" s="121"/>
      <c r="D8" s="121"/>
      <c r="E8" s="121"/>
      <c r="F8" s="121"/>
      <c r="G8" s="122"/>
      <c r="H8" s="139" t="s">
        <v>79</v>
      </c>
      <c r="I8" s="139"/>
      <c r="J8" s="139"/>
      <c r="K8" s="139"/>
      <c r="L8" s="139"/>
      <c r="M8" s="140"/>
      <c r="N8" s="126" t="s">
        <v>199</v>
      </c>
      <c r="O8" s="126"/>
      <c r="P8" s="126"/>
      <c r="Q8" s="126"/>
      <c r="R8" s="126"/>
      <c r="S8" s="126"/>
      <c r="T8" s="126" t="s">
        <v>78</v>
      </c>
      <c r="U8" s="126"/>
      <c r="V8" s="126"/>
      <c r="W8" s="126"/>
      <c r="X8" s="126"/>
      <c r="Y8" s="126"/>
      <c r="Z8" s="126" t="s">
        <v>1</v>
      </c>
      <c r="AA8" s="126"/>
      <c r="AB8" s="126"/>
      <c r="AC8" s="126"/>
      <c r="AD8" s="126"/>
      <c r="AE8" s="127"/>
      <c r="AF8" s="128" t="s">
        <v>79</v>
      </c>
      <c r="AG8" s="126"/>
      <c r="AH8" s="126"/>
      <c r="AI8" s="126"/>
      <c r="AJ8" s="126"/>
      <c r="AK8" s="126"/>
      <c r="AL8" s="126" t="s">
        <v>199</v>
      </c>
      <c r="AM8" s="126"/>
      <c r="AN8" s="126"/>
      <c r="AO8" s="126"/>
      <c r="AP8" s="126"/>
      <c r="AQ8" s="126"/>
      <c r="AR8" s="126" t="s">
        <v>78</v>
      </c>
      <c r="AS8" s="126"/>
      <c r="AT8" s="126"/>
      <c r="AU8" s="126"/>
      <c r="AV8" s="126"/>
      <c r="AW8" s="126"/>
      <c r="AX8" s="126" t="s">
        <v>1</v>
      </c>
      <c r="AY8" s="126"/>
      <c r="AZ8" s="126"/>
      <c r="BA8" s="126"/>
      <c r="BB8" s="126"/>
      <c r="BC8" s="141"/>
      <c r="BD8" s="154"/>
      <c r="BE8" s="152"/>
      <c r="BF8" s="152"/>
      <c r="BG8" s="152"/>
      <c r="BH8" s="152"/>
      <c r="BI8" s="153"/>
      <c r="BJ8" s="51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7"/>
      <c r="CC8" s="47"/>
      <c r="CD8" s="47"/>
      <c r="CE8" s="47"/>
      <c r="CF8" s="47"/>
      <c r="CG8" s="48"/>
      <c r="CH8" s="49"/>
    </row>
    <row r="9" spans="1:86" ht="9.75" customHeight="1">
      <c r="A9" s="30">
        <v>6</v>
      </c>
      <c r="B9" s="173" t="s">
        <v>77</v>
      </c>
      <c r="C9" s="174"/>
      <c r="D9" s="174"/>
      <c r="E9" s="174"/>
      <c r="F9" s="174"/>
      <c r="G9" s="175"/>
      <c r="H9" s="176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8"/>
      <c r="AF9" s="176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62"/>
      <c r="AY9" s="162"/>
      <c r="AZ9" s="162"/>
      <c r="BA9" s="162"/>
      <c r="BB9" s="162"/>
      <c r="BC9" s="163"/>
      <c r="BD9" s="157"/>
      <c r="BE9" s="158"/>
      <c r="BF9" s="158"/>
      <c r="BG9" s="158"/>
      <c r="BH9" s="158"/>
      <c r="BI9" s="159"/>
      <c r="BJ9" s="137" t="s">
        <v>285</v>
      </c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  <c r="BX9" s="160"/>
      <c r="BY9" s="160"/>
      <c r="BZ9" s="160"/>
      <c r="CA9" s="160"/>
      <c r="CB9" s="160"/>
      <c r="CC9" s="160"/>
      <c r="CD9" s="160"/>
      <c r="CE9" s="160"/>
      <c r="CF9" s="160"/>
      <c r="CG9" s="161"/>
      <c r="CH9" s="49"/>
    </row>
    <row r="10" spans="1:86" ht="9.75" customHeight="1">
      <c r="A10" s="30">
        <v>7</v>
      </c>
      <c r="B10" s="52"/>
      <c r="C10" s="182" t="s">
        <v>76</v>
      </c>
      <c r="D10" s="182"/>
      <c r="E10" s="182"/>
      <c r="F10" s="182"/>
      <c r="G10" s="183"/>
      <c r="H10" s="164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72"/>
      <c r="U10" s="172"/>
      <c r="V10" s="172"/>
      <c r="W10" s="172"/>
      <c r="X10" s="172"/>
      <c r="Y10" s="172"/>
      <c r="Z10" s="184"/>
      <c r="AA10" s="184"/>
      <c r="AB10" s="184"/>
      <c r="AC10" s="184"/>
      <c r="AD10" s="184"/>
      <c r="AE10" s="185"/>
      <c r="AF10" s="186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72"/>
      <c r="AS10" s="172"/>
      <c r="AT10" s="172"/>
      <c r="AU10" s="172"/>
      <c r="AV10" s="172"/>
      <c r="AW10" s="172"/>
      <c r="AX10" s="184"/>
      <c r="AY10" s="184"/>
      <c r="AZ10" s="184"/>
      <c r="BA10" s="184"/>
      <c r="BB10" s="184"/>
      <c r="BC10" s="187"/>
      <c r="BD10" s="157"/>
      <c r="BE10" s="158"/>
      <c r="BF10" s="158"/>
      <c r="BG10" s="158"/>
      <c r="BH10" s="158"/>
      <c r="BI10" s="159"/>
      <c r="BJ10" s="188"/>
      <c r="BK10" s="189"/>
      <c r="BL10" s="189"/>
      <c r="BM10" s="189"/>
      <c r="BN10" s="189"/>
      <c r="BO10" s="189"/>
      <c r="BP10" s="139" t="s">
        <v>75</v>
      </c>
      <c r="BQ10" s="139"/>
      <c r="BR10" s="139"/>
      <c r="BS10" s="139"/>
      <c r="BT10" s="139"/>
      <c r="BU10" s="190"/>
      <c r="BV10" s="191" t="s">
        <v>43</v>
      </c>
      <c r="BW10" s="139"/>
      <c r="BX10" s="139"/>
      <c r="BY10" s="139"/>
      <c r="BZ10" s="139"/>
      <c r="CA10" s="190"/>
      <c r="CB10" s="155" t="s">
        <v>1</v>
      </c>
      <c r="CC10" s="155"/>
      <c r="CD10" s="155"/>
      <c r="CE10" s="155"/>
      <c r="CF10" s="155"/>
      <c r="CG10" s="156"/>
      <c r="CH10" s="49"/>
    </row>
    <row r="11" spans="1:86" ht="9.75" customHeight="1">
      <c r="A11" s="30">
        <v>8</v>
      </c>
      <c r="B11" s="52"/>
      <c r="C11" s="182" t="s">
        <v>74</v>
      </c>
      <c r="D11" s="182"/>
      <c r="E11" s="182"/>
      <c r="F11" s="182"/>
      <c r="G11" s="183"/>
      <c r="H11" s="164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72"/>
      <c r="U11" s="172"/>
      <c r="V11" s="172"/>
      <c r="W11" s="172"/>
      <c r="X11" s="172"/>
      <c r="Y11" s="172"/>
      <c r="Z11" s="184"/>
      <c r="AA11" s="184"/>
      <c r="AB11" s="184"/>
      <c r="AC11" s="184"/>
      <c r="AD11" s="184"/>
      <c r="AE11" s="185"/>
      <c r="AF11" s="186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72"/>
      <c r="AS11" s="172"/>
      <c r="AT11" s="172"/>
      <c r="AU11" s="172"/>
      <c r="AV11" s="172"/>
      <c r="AW11" s="172"/>
      <c r="AX11" s="184"/>
      <c r="AY11" s="184"/>
      <c r="AZ11" s="184"/>
      <c r="BA11" s="184"/>
      <c r="BB11" s="184"/>
      <c r="BC11" s="187"/>
      <c r="BD11" s="157"/>
      <c r="BE11" s="158"/>
      <c r="BF11" s="158"/>
      <c r="BG11" s="158"/>
      <c r="BH11" s="158"/>
      <c r="BI11" s="159"/>
      <c r="BJ11" s="199" t="s">
        <v>73</v>
      </c>
      <c r="BK11" s="200"/>
      <c r="BL11" s="200"/>
      <c r="BM11" s="200"/>
      <c r="BN11" s="200"/>
      <c r="BO11" s="201"/>
      <c r="BP11" s="202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77"/>
      <c r="CC11" s="177"/>
      <c r="CD11" s="177"/>
      <c r="CE11" s="177"/>
      <c r="CF11" s="177"/>
      <c r="CG11" s="198"/>
      <c r="CH11" s="49"/>
    </row>
    <row r="12" spans="1:86" ht="9.75" customHeight="1">
      <c r="A12" s="30">
        <v>9</v>
      </c>
      <c r="B12" s="52"/>
      <c r="C12" s="182" t="s">
        <v>72</v>
      </c>
      <c r="D12" s="182"/>
      <c r="E12" s="182"/>
      <c r="F12" s="182"/>
      <c r="G12" s="183"/>
      <c r="H12" s="164"/>
      <c r="I12" s="165"/>
      <c r="J12" s="165"/>
      <c r="K12" s="165"/>
      <c r="L12" s="165"/>
      <c r="M12" s="165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84"/>
      <c r="AA12" s="184"/>
      <c r="AB12" s="184"/>
      <c r="AC12" s="184"/>
      <c r="AD12" s="184"/>
      <c r="AE12" s="185"/>
      <c r="AF12" s="186"/>
      <c r="AG12" s="184"/>
      <c r="AH12" s="184"/>
      <c r="AI12" s="184"/>
      <c r="AJ12" s="184"/>
      <c r="AK12" s="184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84"/>
      <c r="AY12" s="184"/>
      <c r="AZ12" s="184"/>
      <c r="BA12" s="184"/>
      <c r="BB12" s="184"/>
      <c r="BC12" s="187"/>
      <c r="BD12" s="157"/>
      <c r="BE12" s="158"/>
      <c r="BF12" s="158"/>
      <c r="BG12" s="158"/>
      <c r="BH12" s="158"/>
      <c r="BI12" s="159"/>
      <c r="BJ12" s="192" t="s">
        <v>70</v>
      </c>
      <c r="BK12" s="193"/>
      <c r="BL12" s="193"/>
      <c r="BM12" s="193"/>
      <c r="BN12" s="193"/>
      <c r="BO12" s="194"/>
      <c r="BP12" s="195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  <c r="CB12" s="184"/>
      <c r="CC12" s="184"/>
      <c r="CD12" s="184"/>
      <c r="CE12" s="184"/>
      <c r="CF12" s="184"/>
      <c r="CG12" s="187"/>
      <c r="CH12" s="49"/>
    </row>
    <row r="13" spans="1:86" ht="9.75" customHeight="1">
      <c r="A13" s="30">
        <v>10</v>
      </c>
      <c r="B13" s="52"/>
      <c r="C13" s="182" t="s">
        <v>69</v>
      </c>
      <c r="D13" s="182"/>
      <c r="E13" s="182"/>
      <c r="F13" s="182"/>
      <c r="G13" s="183"/>
      <c r="H13" s="164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72"/>
      <c r="U13" s="172"/>
      <c r="V13" s="172"/>
      <c r="W13" s="172"/>
      <c r="X13" s="172"/>
      <c r="Y13" s="172"/>
      <c r="Z13" s="184"/>
      <c r="AA13" s="184"/>
      <c r="AB13" s="184"/>
      <c r="AC13" s="184"/>
      <c r="AD13" s="184"/>
      <c r="AE13" s="185"/>
      <c r="AF13" s="186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72"/>
      <c r="AS13" s="172"/>
      <c r="AT13" s="172"/>
      <c r="AU13" s="172"/>
      <c r="AV13" s="172"/>
      <c r="AW13" s="172"/>
      <c r="AX13" s="184"/>
      <c r="AY13" s="184"/>
      <c r="AZ13" s="184"/>
      <c r="BA13" s="184"/>
      <c r="BB13" s="184"/>
      <c r="BC13" s="187"/>
      <c r="BD13" s="157"/>
      <c r="BE13" s="158"/>
      <c r="BF13" s="158"/>
      <c r="BG13" s="158"/>
      <c r="BH13" s="158"/>
      <c r="BI13" s="159"/>
      <c r="BJ13" s="192" t="s">
        <v>68</v>
      </c>
      <c r="BK13" s="193"/>
      <c r="BL13" s="193"/>
      <c r="BM13" s="193"/>
      <c r="BN13" s="193"/>
      <c r="BO13" s="194"/>
      <c r="BP13" s="195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  <c r="CB13" s="184"/>
      <c r="CC13" s="184"/>
      <c r="CD13" s="184"/>
      <c r="CE13" s="184"/>
      <c r="CF13" s="184"/>
      <c r="CG13" s="187"/>
      <c r="CH13" s="49"/>
    </row>
    <row r="14" spans="1:86" ht="9.75" customHeight="1">
      <c r="A14" s="30">
        <v>11</v>
      </c>
      <c r="B14" s="52"/>
      <c r="C14" s="203" t="s">
        <v>67</v>
      </c>
      <c r="D14" s="203"/>
      <c r="E14" s="203"/>
      <c r="F14" s="203"/>
      <c r="G14" s="204"/>
      <c r="H14" s="164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72"/>
      <c r="U14" s="172"/>
      <c r="V14" s="172"/>
      <c r="W14" s="172"/>
      <c r="X14" s="172"/>
      <c r="Y14" s="172"/>
      <c r="Z14" s="184"/>
      <c r="AA14" s="184"/>
      <c r="AB14" s="184"/>
      <c r="AC14" s="184"/>
      <c r="AD14" s="184"/>
      <c r="AE14" s="185"/>
      <c r="AF14" s="186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72"/>
      <c r="AS14" s="172"/>
      <c r="AT14" s="172"/>
      <c r="AU14" s="172"/>
      <c r="AV14" s="172"/>
      <c r="AW14" s="172"/>
      <c r="AX14" s="184"/>
      <c r="AY14" s="184"/>
      <c r="AZ14" s="184"/>
      <c r="BA14" s="184"/>
      <c r="BB14" s="184"/>
      <c r="BC14" s="187"/>
      <c r="BD14" s="157"/>
      <c r="BE14" s="158"/>
      <c r="BF14" s="158"/>
      <c r="BG14" s="158"/>
      <c r="BH14" s="158"/>
      <c r="BI14" s="159"/>
      <c r="BJ14" s="205" t="s">
        <v>66</v>
      </c>
      <c r="BK14" s="206"/>
      <c r="BL14" s="206"/>
      <c r="BM14" s="206"/>
      <c r="BN14" s="206"/>
      <c r="BO14" s="207"/>
      <c r="BP14" s="195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  <c r="CB14" s="184"/>
      <c r="CC14" s="184"/>
      <c r="CD14" s="184"/>
      <c r="CE14" s="184"/>
      <c r="CF14" s="184"/>
      <c r="CG14" s="187"/>
      <c r="CH14" s="49"/>
    </row>
    <row r="15" spans="1:86" ht="9.75" customHeight="1" thickBot="1">
      <c r="A15" s="30">
        <v>12</v>
      </c>
      <c r="B15" s="52"/>
      <c r="C15" s="214" t="s">
        <v>340</v>
      </c>
      <c r="D15" s="214"/>
      <c r="E15" s="214"/>
      <c r="F15" s="214"/>
      <c r="G15" s="215"/>
      <c r="H15" s="164"/>
      <c r="I15" s="165"/>
      <c r="J15" s="165"/>
      <c r="K15" s="165"/>
      <c r="L15" s="165"/>
      <c r="M15" s="165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84"/>
      <c r="AA15" s="184"/>
      <c r="AB15" s="184"/>
      <c r="AC15" s="184"/>
      <c r="AD15" s="184"/>
      <c r="AE15" s="185"/>
      <c r="AF15" s="186"/>
      <c r="AG15" s="184"/>
      <c r="AH15" s="184"/>
      <c r="AI15" s="184"/>
      <c r="AJ15" s="184"/>
      <c r="AK15" s="184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84"/>
      <c r="AY15" s="184"/>
      <c r="AZ15" s="184"/>
      <c r="BA15" s="184"/>
      <c r="BB15" s="184"/>
      <c r="BC15" s="187"/>
      <c r="BD15" s="157"/>
      <c r="BE15" s="158"/>
      <c r="BF15" s="158"/>
      <c r="BG15" s="158"/>
      <c r="BH15" s="158"/>
      <c r="BI15" s="159"/>
      <c r="BJ15" s="210" t="s">
        <v>1</v>
      </c>
      <c r="BK15" s="211"/>
      <c r="BL15" s="211"/>
      <c r="BM15" s="211"/>
      <c r="BN15" s="211"/>
      <c r="BO15" s="212"/>
      <c r="BP15" s="213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9"/>
      <c r="CH15" s="49"/>
    </row>
    <row r="16" spans="1:86" ht="9.75" customHeight="1">
      <c r="A16" s="30">
        <v>13</v>
      </c>
      <c r="B16" s="52"/>
      <c r="C16" s="203" t="s">
        <v>65</v>
      </c>
      <c r="D16" s="203"/>
      <c r="E16" s="203"/>
      <c r="F16" s="203"/>
      <c r="G16" s="204"/>
      <c r="H16" s="164"/>
      <c r="I16" s="165"/>
      <c r="J16" s="165"/>
      <c r="K16" s="165"/>
      <c r="L16" s="165"/>
      <c r="M16" s="165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84"/>
      <c r="AA16" s="184"/>
      <c r="AB16" s="184"/>
      <c r="AC16" s="184"/>
      <c r="AD16" s="184"/>
      <c r="AE16" s="185"/>
      <c r="AF16" s="186"/>
      <c r="AG16" s="184"/>
      <c r="AH16" s="184"/>
      <c r="AI16" s="184"/>
      <c r="AJ16" s="184"/>
      <c r="AK16" s="184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84"/>
      <c r="AY16" s="184"/>
      <c r="AZ16" s="184"/>
      <c r="BA16" s="184"/>
      <c r="BB16" s="184"/>
      <c r="BC16" s="187"/>
      <c r="BD16" s="157"/>
      <c r="BE16" s="158"/>
      <c r="BF16" s="158"/>
      <c r="BG16" s="158"/>
      <c r="BH16" s="158"/>
      <c r="BI16" s="159"/>
      <c r="BJ16" s="216" t="s">
        <v>286</v>
      </c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18"/>
      <c r="CH16" s="49"/>
    </row>
    <row r="17" spans="1:86" ht="9.75" customHeight="1">
      <c r="A17" s="30">
        <v>14</v>
      </c>
      <c r="B17" s="52"/>
      <c r="C17" s="214" t="s">
        <v>341</v>
      </c>
      <c r="D17" s="214"/>
      <c r="E17" s="214"/>
      <c r="F17" s="214"/>
      <c r="G17" s="215"/>
      <c r="H17" s="186"/>
      <c r="I17" s="184"/>
      <c r="J17" s="184"/>
      <c r="K17" s="184"/>
      <c r="L17" s="184"/>
      <c r="M17" s="184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84"/>
      <c r="AA17" s="184"/>
      <c r="AB17" s="184"/>
      <c r="AC17" s="184"/>
      <c r="AD17" s="184"/>
      <c r="AE17" s="185"/>
      <c r="AF17" s="186"/>
      <c r="AG17" s="184"/>
      <c r="AH17" s="184"/>
      <c r="AI17" s="184"/>
      <c r="AJ17" s="184"/>
      <c r="AK17" s="184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84"/>
      <c r="AY17" s="184"/>
      <c r="AZ17" s="184"/>
      <c r="BA17" s="184"/>
      <c r="BB17" s="184"/>
      <c r="BC17" s="187"/>
      <c r="BD17" s="157"/>
      <c r="BE17" s="158"/>
      <c r="BF17" s="158"/>
      <c r="BG17" s="158"/>
      <c r="BH17" s="158"/>
      <c r="BI17" s="159"/>
      <c r="BJ17" s="219"/>
      <c r="BK17" s="220"/>
      <c r="BL17" s="220"/>
      <c r="BM17" s="220"/>
      <c r="BN17" s="220"/>
      <c r="BO17" s="220"/>
      <c r="BP17" s="143" t="s">
        <v>187</v>
      </c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5"/>
      <c r="CH17" s="49"/>
    </row>
    <row r="18" spans="1:86" ht="9.75" customHeight="1">
      <c r="A18" s="30">
        <v>15</v>
      </c>
      <c r="B18" s="52"/>
      <c r="C18" s="182" t="s">
        <v>64</v>
      </c>
      <c r="D18" s="182"/>
      <c r="E18" s="182"/>
      <c r="F18" s="182"/>
      <c r="G18" s="183"/>
      <c r="H18" s="195"/>
      <c r="I18" s="196"/>
      <c r="J18" s="196"/>
      <c r="K18" s="196"/>
      <c r="L18" s="196"/>
      <c r="M18" s="196"/>
      <c r="N18" s="172"/>
      <c r="O18" s="172"/>
      <c r="P18" s="172"/>
      <c r="Q18" s="172"/>
      <c r="R18" s="172"/>
      <c r="S18" s="172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5"/>
      <c r="AF18" s="186"/>
      <c r="AG18" s="184"/>
      <c r="AH18" s="184"/>
      <c r="AI18" s="184"/>
      <c r="AJ18" s="184"/>
      <c r="AK18" s="184"/>
      <c r="AL18" s="172"/>
      <c r="AM18" s="172"/>
      <c r="AN18" s="172"/>
      <c r="AO18" s="172"/>
      <c r="AP18" s="172"/>
      <c r="AQ18" s="172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7"/>
      <c r="BD18" s="157"/>
      <c r="BE18" s="158"/>
      <c r="BF18" s="158"/>
      <c r="BG18" s="158"/>
      <c r="BH18" s="158"/>
      <c r="BI18" s="159"/>
      <c r="BJ18" s="221"/>
      <c r="BK18" s="220"/>
      <c r="BL18" s="220"/>
      <c r="BM18" s="220"/>
      <c r="BN18" s="220"/>
      <c r="BO18" s="220"/>
      <c r="BP18" s="128" t="s">
        <v>44</v>
      </c>
      <c r="BQ18" s="126"/>
      <c r="BR18" s="126"/>
      <c r="BS18" s="126"/>
      <c r="BT18" s="126"/>
      <c r="BU18" s="126"/>
      <c r="BV18" s="126" t="s">
        <v>43</v>
      </c>
      <c r="BW18" s="126"/>
      <c r="BX18" s="126"/>
      <c r="BY18" s="126"/>
      <c r="BZ18" s="126"/>
      <c r="CA18" s="126"/>
      <c r="CB18" s="126" t="s">
        <v>1</v>
      </c>
      <c r="CC18" s="126"/>
      <c r="CD18" s="126"/>
      <c r="CE18" s="126"/>
      <c r="CF18" s="126"/>
      <c r="CG18" s="141"/>
      <c r="CH18" s="49"/>
    </row>
    <row r="19" spans="1:86" ht="9.75" customHeight="1">
      <c r="A19" s="30">
        <v>16</v>
      </c>
      <c r="B19" s="52"/>
      <c r="C19" s="182" t="s">
        <v>128</v>
      </c>
      <c r="D19" s="182"/>
      <c r="E19" s="182"/>
      <c r="F19" s="182"/>
      <c r="G19" s="183"/>
      <c r="H19" s="195"/>
      <c r="I19" s="196"/>
      <c r="J19" s="196"/>
      <c r="K19" s="196"/>
      <c r="L19" s="196"/>
      <c r="M19" s="196"/>
      <c r="N19" s="172"/>
      <c r="O19" s="172"/>
      <c r="P19" s="172"/>
      <c r="Q19" s="172"/>
      <c r="R19" s="172"/>
      <c r="S19" s="172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5"/>
      <c r="AF19" s="186"/>
      <c r="AG19" s="184"/>
      <c r="AH19" s="184"/>
      <c r="AI19" s="184"/>
      <c r="AJ19" s="184"/>
      <c r="AK19" s="184"/>
      <c r="AL19" s="172"/>
      <c r="AM19" s="172"/>
      <c r="AN19" s="172"/>
      <c r="AO19" s="172"/>
      <c r="AP19" s="172"/>
      <c r="AQ19" s="172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7"/>
      <c r="BD19" s="157"/>
      <c r="BE19" s="158"/>
      <c r="BF19" s="158"/>
      <c r="BG19" s="158"/>
      <c r="BH19" s="158"/>
      <c r="BI19" s="159"/>
      <c r="BJ19" s="222" t="s">
        <v>59</v>
      </c>
      <c r="BK19" s="223"/>
      <c r="BL19" s="226" t="s">
        <v>58</v>
      </c>
      <c r="BM19" s="226"/>
      <c r="BN19" s="226"/>
      <c r="BO19" s="227"/>
      <c r="BP19" s="202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77"/>
      <c r="CC19" s="177"/>
      <c r="CD19" s="177"/>
      <c r="CE19" s="177"/>
      <c r="CF19" s="177"/>
      <c r="CG19" s="198"/>
      <c r="CH19" s="49"/>
    </row>
    <row r="20" spans="1:86" ht="9.75" customHeight="1">
      <c r="A20" s="30">
        <v>17</v>
      </c>
      <c r="B20" s="52"/>
      <c r="C20" s="182" t="s">
        <v>62</v>
      </c>
      <c r="D20" s="182"/>
      <c r="E20" s="182"/>
      <c r="F20" s="182"/>
      <c r="G20" s="183"/>
      <c r="H20" s="195"/>
      <c r="I20" s="196"/>
      <c r="J20" s="196"/>
      <c r="K20" s="196"/>
      <c r="L20" s="196"/>
      <c r="M20" s="196"/>
      <c r="N20" s="172"/>
      <c r="O20" s="172"/>
      <c r="P20" s="172"/>
      <c r="Q20" s="172"/>
      <c r="R20" s="172"/>
      <c r="S20" s="172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5"/>
      <c r="AF20" s="186"/>
      <c r="AG20" s="184"/>
      <c r="AH20" s="184"/>
      <c r="AI20" s="184"/>
      <c r="AJ20" s="184"/>
      <c r="AK20" s="184"/>
      <c r="AL20" s="172"/>
      <c r="AM20" s="172"/>
      <c r="AN20" s="172"/>
      <c r="AO20" s="172"/>
      <c r="AP20" s="172"/>
      <c r="AQ20" s="172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7"/>
      <c r="BD20" s="157"/>
      <c r="BE20" s="158"/>
      <c r="BF20" s="158"/>
      <c r="BG20" s="158"/>
      <c r="BH20" s="158"/>
      <c r="BI20" s="159"/>
      <c r="BJ20" s="224"/>
      <c r="BK20" s="225"/>
      <c r="BL20" s="230" t="s">
        <v>56</v>
      </c>
      <c r="BM20" s="231"/>
      <c r="BN20" s="231"/>
      <c r="BO20" s="232"/>
      <c r="BP20" s="195"/>
      <c r="BQ20" s="196"/>
      <c r="BR20" s="196"/>
      <c r="BS20" s="196"/>
      <c r="BT20" s="196"/>
      <c r="BU20" s="196"/>
      <c r="BV20" s="196"/>
      <c r="BW20" s="196"/>
      <c r="BX20" s="196"/>
      <c r="BY20" s="196"/>
      <c r="BZ20" s="196"/>
      <c r="CA20" s="196"/>
      <c r="CB20" s="184"/>
      <c r="CC20" s="184"/>
      <c r="CD20" s="184"/>
      <c r="CE20" s="184"/>
      <c r="CF20" s="184"/>
      <c r="CG20" s="187"/>
      <c r="CH20" s="49"/>
    </row>
    <row r="21" spans="1:86" ht="9.75" customHeight="1">
      <c r="A21" s="30">
        <v>18</v>
      </c>
      <c r="B21" s="53"/>
      <c r="C21" s="182" t="s">
        <v>61</v>
      </c>
      <c r="D21" s="182"/>
      <c r="E21" s="182"/>
      <c r="F21" s="182"/>
      <c r="G21" s="183"/>
      <c r="H21" s="195"/>
      <c r="I21" s="196"/>
      <c r="J21" s="196"/>
      <c r="K21" s="196"/>
      <c r="L21" s="196"/>
      <c r="M21" s="196"/>
      <c r="N21" s="172"/>
      <c r="O21" s="172"/>
      <c r="P21" s="172"/>
      <c r="Q21" s="172"/>
      <c r="R21" s="172"/>
      <c r="S21" s="172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5"/>
      <c r="AF21" s="186"/>
      <c r="AG21" s="184"/>
      <c r="AH21" s="184"/>
      <c r="AI21" s="184"/>
      <c r="AJ21" s="184"/>
      <c r="AK21" s="184"/>
      <c r="AL21" s="172"/>
      <c r="AM21" s="172"/>
      <c r="AN21" s="172"/>
      <c r="AO21" s="172"/>
      <c r="AP21" s="172"/>
      <c r="AQ21" s="172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7"/>
      <c r="BD21" s="157"/>
      <c r="BE21" s="158"/>
      <c r="BF21" s="158"/>
      <c r="BG21" s="158"/>
      <c r="BH21" s="158"/>
      <c r="BI21" s="159"/>
      <c r="BJ21" s="224"/>
      <c r="BK21" s="225"/>
      <c r="BL21" s="228" t="s">
        <v>54</v>
      </c>
      <c r="BM21" s="228"/>
      <c r="BN21" s="228"/>
      <c r="BO21" s="229"/>
      <c r="BP21" s="195"/>
      <c r="BQ21" s="196"/>
      <c r="BR21" s="196"/>
      <c r="BS21" s="196"/>
      <c r="BT21" s="196"/>
      <c r="BU21" s="196"/>
      <c r="BV21" s="196"/>
      <c r="BW21" s="196"/>
      <c r="BX21" s="196"/>
      <c r="BY21" s="196"/>
      <c r="BZ21" s="196"/>
      <c r="CA21" s="196"/>
      <c r="CB21" s="184"/>
      <c r="CC21" s="184"/>
      <c r="CD21" s="184"/>
      <c r="CE21" s="184"/>
      <c r="CF21" s="184"/>
      <c r="CG21" s="187"/>
      <c r="CH21" s="49"/>
    </row>
    <row r="22" spans="1:86" ht="9.75" customHeight="1">
      <c r="A22" s="30">
        <v>19</v>
      </c>
      <c r="B22" s="233" t="s">
        <v>60</v>
      </c>
      <c r="C22" s="182"/>
      <c r="D22" s="182"/>
      <c r="E22" s="182"/>
      <c r="F22" s="182"/>
      <c r="G22" s="183"/>
      <c r="H22" s="186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72"/>
      <c r="U22" s="172"/>
      <c r="V22" s="172"/>
      <c r="W22" s="172"/>
      <c r="X22" s="172"/>
      <c r="Y22" s="172"/>
      <c r="Z22" s="184"/>
      <c r="AA22" s="184"/>
      <c r="AB22" s="184"/>
      <c r="AC22" s="184"/>
      <c r="AD22" s="184"/>
      <c r="AE22" s="185"/>
      <c r="AF22" s="186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72"/>
      <c r="AS22" s="172"/>
      <c r="AT22" s="172"/>
      <c r="AU22" s="172"/>
      <c r="AV22" s="172"/>
      <c r="AW22" s="172"/>
      <c r="AX22" s="184"/>
      <c r="AY22" s="184"/>
      <c r="AZ22" s="184"/>
      <c r="BA22" s="184"/>
      <c r="BB22" s="184"/>
      <c r="BC22" s="187"/>
      <c r="BD22" s="157"/>
      <c r="BE22" s="158"/>
      <c r="BF22" s="158"/>
      <c r="BG22" s="158"/>
      <c r="BH22" s="158"/>
      <c r="BI22" s="159"/>
      <c r="BJ22" s="224"/>
      <c r="BK22" s="225"/>
      <c r="BL22" s="228" t="s">
        <v>47</v>
      </c>
      <c r="BM22" s="228"/>
      <c r="BN22" s="228"/>
      <c r="BO22" s="229"/>
      <c r="BP22" s="195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  <c r="CB22" s="184"/>
      <c r="CC22" s="184"/>
      <c r="CD22" s="184"/>
      <c r="CE22" s="184"/>
      <c r="CF22" s="184"/>
      <c r="CG22" s="187"/>
      <c r="CH22" s="49"/>
    </row>
    <row r="23" spans="1:86" ht="9.75" customHeight="1">
      <c r="A23" s="30">
        <v>20</v>
      </c>
      <c r="B23" s="52"/>
      <c r="C23" s="182" t="s">
        <v>57</v>
      </c>
      <c r="D23" s="182"/>
      <c r="E23" s="182"/>
      <c r="F23" s="182"/>
      <c r="G23" s="183"/>
      <c r="H23" s="186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72"/>
      <c r="U23" s="172"/>
      <c r="V23" s="172"/>
      <c r="W23" s="172"/>
      <c r="X23" s="172"/>
      <c r="Y23" s="172"/>
      <c r="Z23" s="184"/>
      <c r="AA23" s="184"/>
      <c r="AB23" s="184"/>
      <c r="AC23" s="184"/>
      <c r="AD23" s="184"/>
      <c r="AE23" s="185"/>
      <c r="AF23" s="186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72"/>
      <c r="AS23" s="172"/>
      <c r="AT23" s="172"/>
      <c r="AU23" s="172"/>
      <c r="AV23" s="172"/>
      <c r="AW23" s="172"/>
      <c r="AX23" s="184"/>
      <c r="AY23" s="184"/>
      <c r="AZ23" s="184"/>
      <c r="BA23" s="184"/>
      <c r="BB23" s="184"/>
      <c r="BC23" s="187"/>
      <c r="BD23" s="157"/>
      <c r="BE23" s="158"/>
      <c r="BF23" s="158"/>
      <c r="BG23" s="158"/>
      <c r="BH23" s="158"/>
      <c r="BI23" s="159"/>
      <c r="BJ23" s="236" t="s">
        <v>153</v>
      </c>
      <c r="BK23" s="237"/>
      <c r="BL23" s="228" t="s">
        <v>51</v>
      </c>
      <c r="BM23" s="228"/>
      <c r="BN23" s="228"/>
      <c r="BO23" s="229"/>
      <c r="BP23" s="195"/>
      <c r="BQ23" s="196"/>
      <c r="BR23" s="196"/>
      <c r="BS23" s="196"/>
      <c r="BT23" s="196"/>
      <c r="BU23" s="196"/>
      <c r="BV23" s="196"/>
      <c r="BW23" s="196"/>
      <c r="BX23" s="196"/>
      <c r="BY23" s="196"/>
      <c r="BZ23" s="196"/>
      <c r="CA23" s="196"/>
      <c r="CB23" s="184"/>
      <c r="CC23" s="184"/>
      <c r="CD23" s="184"/>
      <c r="CE23" s="184"/>
      <c r="CF23" s="184"/>
      <c r="CG23" s="187"/>
      <c r="CH23" s="49"/>
    </row>
    <row r="24" spans="1:86" ht="9.75" customHeight="1">
      <c r="A24" s="30">
        <v>21</v>
      </c>
      <c r="B24" s="53"/>
      <c r="C24" s="182" t="s">
        <v>55</v>
      </c>
      <c r="D24" s="182"/>
      <c r="E24" s="182"/>
      <c r="F24" s="182"/>
      <c r="G24" s="183"/>
      <c r="H24" s="234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172"/>
      <c r="U24" s="172"/>
      <c r="V24" s="172"/>
      <c r="W24" s="172"/>
      <c r="X24" s="172"/>
      <c r="Y24" s="172"/>
      <c r="Z24" s="184"/>
      <c r="AA24" s="184"/>
      <c r="AB24" s="184"/>
      <c r="AC24" s="184"/>
      <c r="AD24" s="184"/>
      <c r="AE24" s="185"/>
      <c r="AF24" s="186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72"/>
      <c r="AS24" s="172"/>
      <c r="AT24" s="172"/>
      <c r="AU24" s="172"/>
      <c r="AV24" s="172"/>
      <c r="AW24" s="172"/>
      <c r="AX24" s="184"/>
      <c r="AY24" s="184"/>
      <c r="AZ24" s="184"/>
      <c r="BA24" s="184"/>
      <c r="BB24" s="184"/>
      <c r="BC24" s="187"/>
      <c r="BD24" s="157"/>
      <c r="BE24" s="158"/>
      <c r="BF24" s="158"/>
      <c r="BG24" s="158"/>
      <c r="BH24" s="158"/>
      <c r="BI24" s="159"/>
      <c r="BJ24" s="236"/>
      <c r="BK24" s="237"/>
      <c r="BL24" s="182" t="s">
        <v>49</v>
      </c>
      <c r="BM24" s="182"/>
      <c r="BN24" s="182"/>
      <c r="BO24" s="183"/>
      <c r="BP24" s="195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84"/>
      <c r="CC24" s="184"/>
      <c r="CD24" s="184"/>
      <c r="CE24" s="184"/>
      <c r="CF24" s="184"/>
      <c r="CG24" s="187"/>
      <c r="CH24" s="49"/>
    </row>
    <row r="25" spans="1:86" ht="9.75" customHeight="1">
      <c r="A25" s="30">
        <v>22</v>
      </c>
      <c r="B25" s="240" t="s">
        <v>53</v>
      </c>
      <c r="C25" s="182"/>
      <c r="D25" s="182"/>
      <c r="E25" s="182"/>
      <c r="F25" s="182"/>
      <c r="G25" s="183"/>
      <c r="H25" s="186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5"/>
      <c r="AF25" s="186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7"/>
      <c r="BD25" s="157"/>
      <c r="BE25" s="158"/>
      <c r="BF25" s="158"/>
      <c r="BG25" s="158"/>
      <c r="BH25" s="158"/>
      <c r="BI25" s="159"/>
      <c r="BJ25" s="238"/>
      <c r="BK25" s="239"/>
      <c r="BL25" s="242" t="s">
        <v>47</v>
      </c>
      <c r="BM25" s="242"/>
      <c r="BN25" s="242"/>
      <c r="BO25" s="243"/>
      <c r="BP25" s="244"/>
      <c r="BQ25" s="245"/>
      <c r="BR25" s="245"/>
      <c r="BS25" s="245"/>
      <c r="BT25" s="245"/>
      <c r="BU25" s="245"/>
      <c r="BV25" s="245"/>
      <c r="BW25" s="245"/>
      <c r="BX25" s="245"/>
      <c r="BY25" s="245"/>
      <c r="BZ25" s="245"/>
      <c r="CA25" s="245"/>
      <c r="CB25" s="246"/>
      <c r="CC25" s="246"/>
      <c r="CD25" s="246"/>
      <c r="CE25" s="246"/>
      <c r="CF25" s="246"/>
      <c r="CG25" s="247"/>
      <c r="CH25" s="49"/>
    </row>
    <row r="26" spans="1:86" ht="9.75" customHeight="1">
      <c r="A26" s="30">
        <v>23</v>
      </c>
      <c r="B26" s="240" t="s">
        <v>52</v>
      </c>
      <c r="C26" s="182"/>
      <c r="D26" s="182"/>
      <c r="E26" s="182"/>
      <c r="F26" s="182"/>
      <c r="G26" s="183"/>
      <c r="H26" s="241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84"/>
      <c r="AA26" s="184"/>
      <c r="AB26" s="184"/>
      <c r="AC26" s="184"/>
      <c r="AD26" s="184"/>
      <c r="AE26" s="185"/>
      <c r="AF26" s="241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84"/>
      <c r="AY26" s="184"/>
      <c r="AZ26" s="184"/>
      <c r="BA26" s="184"/>
      <c r="BB26" s="184"/>
      <c r="BC26" s="187"/>
      <c r="BD26" s="157"/>
      <c r="BE26" s="158"/>
      <c r="BF26" s="158"/>
      <c r="BG26" s="158"/>
      <c r="BH26" s="158"/>
      <c r="BI26" s="159"/>
      <c r="BJ26" s="221"/>
      <c r="BK26" s="220"/>
      <c r="BL26" s="220"/>
      <c r="BM26" s="220"/>
      <c r="BN26" s="220"/>
      <c r="BO26" s="248"/>
      <c r="BP26" s="252" t="s">
        <v>183</v>
      </c>
      <c r="BQ26" s="253"/>
      <c r="BR26" s="253"/>
      <c r="BS26" s="253"/>
      <c r="BT26" s="253"/>
      <c r="BU26" s="253"/>
      <c r="BV26" s="253"/>
      <c r="BW26" s="253"/>
      <c r="BX26" s="253"/>
      <c r="BY26" s="253"/>
      <c r="BZ26" s="253"/>
      <c r="CA26" s="253"/>
      <c r="CB26" s="253"/>
      <c r="CC26" s="253"/>
      <c r="CD26" s="253"/>
      <c r="CE26" s="253"/>
      <c r="CF26" s="253"/>
      <c r="CG26" s="254"/>
      <c r="CH26" s="49"/>
    </row>
    <row r="27" spans="1:86" ht="9.75" customHeight="1">
      <c r="A27" s="30">
        <v>24</v>
      </c>
      <c r="B27" s="240" t="s">
        <v>50</v>
      </c>
      <c r="C27" s="182"/>
      <c r="D27" s="182"/>
      <c r="E27" s="182"/>
      <c r="F27" s="182"/>
      <c r="G27" s="183"/>
      <c r="H27" s="241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84"/>
      <c r="AA27" s="184"/>
      <c r="AB27" s="184"/>
      <c r="AC27" s="184"/>
      <c r="AD27" s="184"/>
      <c r="AE27" s="185"/>
      <c r="AF27" s="241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84"/>
      <c r="AY27" s="184"/>
      <c r="AZ27" s="184"/>
      <c r="BA27" s="184"/>
      <c r="BB27" s="184"/>
      <c r="BC27" s="187"/>
      <c r="BD27" s="157"/>
      <c r="BE27" s="158"/>
      <c r="BF27" s="158"/>
      <c r="BG27" s="158"/>
      <c r="BH27" s="158"/>
      <c r="BI27" s="159"/>
      <c r="BJ27" s="249"/>
      <c r="BK27" s="250"/>
      <c r="BL27" s="250"/>
      <c r="BM27" s="250"/>
      <c r="BN27" s="250"/>
      <c r="BO27" s="251"/>
      <c r="BP27" s="128" t="s">
        <v>44</v>
      </c>
      <c r="BQ27" s="126"/>
      <c r="BR27" s="126"/>
      <c r="BS27" s="126"/>
      <c r="BT27" s="126"/>
      <c r="BU27" s="126"/>
      <c r="BV27" s="126" t="s">
        <v>43</v>
      </c>
      <c r="BW27" s="126"/>
      <c r="BX27" s="126"/>
      <c r="BY27" s="126"/>
      <c r="BZ27" s="126"/>
      <c r="CA27" s="126"/>
      <c r="CB27" s="126" t="s">
        <v>1</v>
      </c>
      <c r="CC27" s="126"/>
      <c r="CD27" s="126"/>
      <c r="CE27" s="126"/>
      <c r="CF27" s="126"/>
      <c r="CG27" s="141"/>
      <c r="CH27" s="49"/>
    </row>
    <row r="28" spans="1:86" ht="9.75" customHeight="1">
      <c r="A28" s="30">
        <v>25</v>
      </c>
      <c r="B28" s="240" t="s">
        <v>48</v>
      </c>
      <c r="C28" s="182"/>
      <c r="D28" s="182"/>
      <c r="E28" s="182"/>
      <c r="F28" s="182"/>
      <c r="G28" s="183"/>
      <c r="H28" s="241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84"/>
      <c r="AA28" s="184"/>
      <c r="AB28" s="184"/>
      <c r="AC28" s="184"/>
      <c r="AD28" s="184"/>
      <c r="AE28" s="185"/>
      <c r="AF28" s="241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84"/>
      <c r="AY28" s="184"/>
      <c r="AZ28" s="184"/>
      <c r="BA28" s="184"/>
      <c r="BB28" s="184"/>
      <c r="BC28" s="187"/>
      <c r="BD28" s="157"/>
      <c r="BE28" s="158"/>
      <c r="BF28" s="158"/>
      <c r="BG28" s="158"/>
      <c r="BH28" s="158"/>
      <c r="BI28" s="159"/>
      <c r="BJ28" s="255" t="s">
        <v>41</v>
      </c>
      <c r="BK28" s="256"/>
      <c r="BL28" s="256"/>
      <c r="BM28" s="256"/>
      <c r="BN28" s="256"/>
      <c r="BO28" s="257"/>
      <c r="BP28" s="176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98"/>
      <c r="CH28" s="49"/>
    </row>
    <row r="29" spans="1:86" ht="9.75" customHeight="1">
      <c r="A29" s="30">
        <v>26</v>
      </c>
      <c r="B29" s="240" t="s">
        <v>46</v>
      </c>
      <c r="C29" s="182"/>
      <c r="D29" s="182"/>
      <c r="E29" s="182"/>
      <c r="F29" s="182"/>
      <c r="G29" s="183"/>
      <c r="H29" s="241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84"/>
      <c r="AA29" s="184"/>
      <c r="AB29" s="184"/>
      <c r="AC29" s="184"/>
      <c r="AD29" s="184"/>
      <c r="AE29" s="185"/>
      <c r="AF29" s="241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84"/>
      <c r="AY29" s="184"/>
      <c r="AZ29" s="184"/>
      <c r="BA29" s="184"/>
      <c r="BB29" s="184"/>
      <c r="BC29" s="187"/>
      <c r="BD29" s="157"/>
      <c r="BE29" s="158"/>
      <c r="BF29" s="158"/>
      <c r="BG29" s="158"/>
      <c r="BH29" s="158"/>
      <c r="BI29" s="159"/>
      <c r="BJ29" s="258" t="s">
        <v>39</v>
      </c>
      <c r="BK29" s="259"/>
      <c r="BL29" s="259"/>
      <c r="BM29" s="259"/>
      <c r="BN29" s="259"/>
      <c r="BO29" s="260"/>
      <c r="BP29" s="186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7"/>
      <c r="CH29" s="49"/>
    </row>
    <row r="30" spans="1:86" ht="9.75" customHeight="1" thickBot="1">
      <c r="A30" s="30">
        <v>27</v>
      </c>
      <c r="B30" s="264" t="s">
        <v>45</v>
      </c>
      <c r="C30" s="203"/>
      <c r="D30" s="203"/>
      <c r="E30" s="203"/>
      <c r="F30" s="203"/>
      <c r="G30" s="204"/>
      <c r="H30" s="241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84"/>
      <c r="AA30" s="184"/>
      <c r="AB30" s="184"/>
      <c r="AC30" s="184"/>
      <c r="AD30" s="184"/>
      <c r="AE30" s="185"/>
      <c r="AF30" s="241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84"/>
      <c r="AY30" s="184"/>
      <c r="AZ30" s="184"/>
      <c r="BA30" s="184"/>
      <c r="BB30" s="184"/>
      <c r="BC30" s="187"/>
      <c r="BD30" s="157"/>
      <c r="BE30" s="158"/>
      <c r="BF30" s="158"/>
      <c r="BG30" s="158"/>
      <c r="BH30" s="158"/>
      <c r="BI30" s="159"/>
      <c r="BJ30" s="262" t="s">
        <v>37</v>
      </c>
      <c r="BK30" s="263"/>
      <c r="BL30" s="263"/>
      <c r="BM30" s="263"/>
      <c r="BN30" s="263"/>
      <c r="BO30" s="263"/>
      <c r="BP30" s="213"/>
      <c r="BQ30" s="208"/>
      <c r="BR30" s="208"/>
      <c r="BS30" s="208"/>
      <c r="BT30" s="208"/>
      <c r="BU30" s="208"/>
      <c r="BV30" s="208"/>
      <c r="BW30" s="208"/>
      <c r="BX30" s="208"/>
      <c r="BY30" s="208"/>
      <c r="BZ30" s="208"/>
      <c r="CA30" s="208"/>
      <c r="CB30" s="208"/>
      <c r="CC30" s="208"/>
      <c r="CD30" s="208"/>
      <c r="CE30" s="208"/>
      <c r="CF30" s="208"/>
      <c r="CG30" s="209"/>
      <c r="CH30" s="49"/>
    </row>
    <row r="31" spans="1:86" ht="9.75" customHeight="1">
      <c r="A31" s="30">
        <v>28</v>
      </c>
      <c r="B31" s="240" t="s">
        <v>42</v>
      </c>
      <c r="C31" s="182"/>
      <c r="D31" s="182"/>
      <c r="E31" s="182"/>
      <c r="F31" s="182"/>
      <c r="G31" s="183"/>
      <c r="H31" s="241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84"/>
      <c r="AA31" s="184"/>
      <c r="AB31" s="184"/>
      <c r="AC31" s="184"/>
      <c r="AD31" s="184"/>
      <c r="AE31" s="185"/>
      <c r="AF31" s="241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84"/>
      <c r="AY31" s="184"/>
      <c r="AZ31" s="184"/>
      <c r="BA31" s="184"/>
      <c r="BB31" s="184"/>
      <c r="BC31" s="187"/>
      <c r="BD31" s="157"/>
      <c r="BE31" s="158"/>
      <c r="BF31" s="158"/>
      <c r="BG31" s="158"/>
      <c r="BH31" s="158"/>
      <c r="BI31" s="261"/>
      <c r="BJ31" s="47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54"/>
      <c r="CH31" s="49"/>
    </row>
    <row r="32" spans="1:86" ht="9.75" customHeight="1">
      <c r="A32" s="30">
        <v>29</v>
      </c>
      <c r="B32" s="240" t="s">
        <v>40</v>
      </c>
      <c r="C32" s="182"/>
      <c r="D32" s="182"/>
      <c r="E32" s="182"/>
      <c r="F32" s="182"/>
      <c r="G32" s="183"/>
      <c r="H32" s="241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84"/>
      <c r="AA32" s="184"/>
      <c r="AB32" s="184"/>
      <c r="AC32" s="184"/>
      <c r="AD32" s="184"/>
      <c r="AE32" s="185"/>
      <c r="AF32" s="241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84"/>
      <c r="AY32" s="184"/>
      <c r="AZ32" s="184"/>
      <c r="BA32" s="184"/>
      <c r="BB32" s="184"/>
      <c r="BC32" s="187"/>
      <c r="BD32" s="157"/>
      <c r="BE32" s="158"/>
      <c r="BF32" s="158"/>
      <c r="BG32" s="158"/>
      <c r="BH32" s="158"/>
      <c r="BI32" s="261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8"/>
      <c r="CH32" s="49"/>
    </row>
    <row r="33" spans="1:86" ht="9.75" customHeight="1" thickBot="1">
      <c r="A33" s="30">
        <v>30</v>
      </c>
      <c r="B33" s="273" t="s">
        <v>38</v>
      </c>
      <c r="C33" s="274"/>
      <c r="D33" s="274"/>
      <c r="E33" s="274"/>
      <c r="F33" s="274"/>
      <c r="G33" s="275"/>
      <c r="H33" s="276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08"/>
      <c r="AA33" s="208"/>
      <c r="AB33" s="208"/>
      <c r="AC33" s="208"/>
      <c r="AD33" s="208"/>
      <c r="AE33" s="277"/>
      <c r="AF33" s="276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08"/>
      <c r="AY33" s="208"/>
      <c r="AZ33" s="208"/>
      <c r="BA33" s="208"/>
      <c r="BB33" s="208"/>
      <c r="BC33" s="209"/>
      <c r="BD33" s="266"/>
      <c r="BE33" s="267"/>
      <c r="BF33" s="267"/>
      <c r="BG33" s="267"/>
      <c r="BH33" s="267"/>
      <c r="BI33" s="268"/>
      <c r="BJ33" s="55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8"/>
      <c r="CH33" s="49"/>
    </row>
    <row r="34" spans="1:86" ht="9.75" customHeight="1">
      <c r="A34" s="30">
        <v>31</v>
      </c>
      <c r="B34" s="269" t="s">
        <v>287</v>
      </c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  <c r="AB34" s="270"/>
      <c r="AC34" s="270"/>
      <c r="AD34" s="270"/>
      <c r="AE34" s="271"/>
      <c r="AF34" s="56" t="s">
        <v>288</v>
      </c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8"/>
      <c r="BJ34" s="272" t="s">
        <v>289</v>
      </c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8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48"/>
      <c r="CH34" s="49"/>
    </row>
    <row r="35" spans="1:86" ht="9.75" customHeight="1">
      <c r="A35" s="30">
        <v>32</v>
      </c>
      <c r="B35" s="389"/>
      <c r="C35" s="390"/>
      <c r="D35" s="390"/>
      <c r="E35" s="390"/>
      <c r="F35" s="390"/>
      <c r="G35" s="391"/>
      <c r="H35" s="152" t="s">
        <v>154</v>
      </c>
      <c r="I35" s="152"/>
      <c r="J35" s="152"/>
      <c r="K35" s="152"/>
      <c r="L35" s="152"/>
      <c r="M35" s="153"/>
      <c r="N35" s="397" t="s">
        <v>36</v>
      </c>
      <c r="O35" s="397"/>
      <c r="P35" s="397"/>
      <c r="Q35" s="397"/>
      <c r="R35" s="397"/>
      <c r="S35" s="397"/>
      <c r="T35" s="399" t="s">
        <v>1</v>
      </c>
      <c r="U35" s="399"/>
      <c r="V35" s="399"/>
      <c r="W35" s="399"/>
      <c r="X35" s="399"/>
      <c r="Y35" s="400"/>
      <c r="Z35" s="403" t="s">
        <v>179</v>
      </c>
      <c r="AA35" s="403"/>
      <c r="AB35" s="403"/>
      <c r="AC35" s="403"/>
      <c r="AD35" s="403"/>
      <c r="AE35" s="404"/>
      <c r="AF35" s="221"/>
      <c r="AG35" s="220"/>
      <c r="AH35" s="220"/>
      <c r="AI35" s="220"/>
      <c r="AJ35" s="220"/>
      <c r="AK35" s="220"/>
      <c r="AL35" s="293" t="s">
        <v>32</v>
      </c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295"/>
      <c r="AX35" s="294" t="s">
        <v>35</v>
      </c>
      <c r="AY35" s="294"/>
      <c r="AZ35" s="294"/>
      <c r="BA35" s="294"/>
      <c r="BB35" s="294"/>
      <c r="BC35" s="294"/>
      <c r="BD35" s="294"/>
      <c r="BE35" s="294"/>
      <c r="BF35" s="294"/>
      <c r="BG35" s="294"/>
      <c r="BH35" s="294"/>
      <c r="BI35" s="296"/>
      <c r="BJ35" s="120"/>
      <c r="BK35" s="121"/>
      <c r="BL35" s="121"/>
      <c r="BM35" s="121"/>
      <c r="BN35" s="121"/>
      <c r="BO35" s="122"/>
      <c r="BP35" s="140" t="s">
        <v>87</v>
      </c>
      <c r="BQ35" s="155"/>
      <c r="BR35" s="155"/>
      <c r="BS35" s="155"/>
      <c r="BT35" s="155"/>
      <c r="BU35" s="156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48"/>
      <c r="CH35" s="49"/>
    </row>
    <row r="36" spans="1:86" ht="9.75" customHeight="1">
      <c r="A36" s="30">
        <v>33</v>
      </c>
      <c r="B36" s="392"/>
      <c r="C36" s="393"/>
      <c r="D36" s="393"/>
      <c r="E36" s="393"/>
      <c r="F36" s="393"/>
      <c r="G36" s="394"/>
      <c r="H36" s="395"/>
      <c r="I36" s="395"/>
      <c r="J36" s="395"/>
      <c r="K36" s="395"/>
      <c r="L36" s="395"/>
      <c r="M36" s="396"/>
      <c r="N36" s="398"/>
      <c r="O36" s="398"/>
      <c r="P36" s="398"/>
      <c r="Q36" s="398"/>
      <c r="R36" s="398"/>
      <c r="S36" s="398"/>
      <c r="T36" s="401"/>
      <c r="U36" s="401"/>
      <c r="V36" s="401"/>
      <c r="W36" s="401"/>
      <c r="X36" s="401"/>
      <c r="Y36" s="402"/>
      <c r="Z36" s="405"/>
      <c r="AA36" s="405"/>
      <c r="AB36" s="405"/>
      <c r="AC36" s="405"/>
      <c r="AD36" s="405"/>
      <c r="AE36" s="406"/>
      <c r="AF36" s="249"/>
      <c r="AG36" s="250"/>
      <c r="AH36" s="250"/>
      <c r="AI36" s="250"/>
      <c r="AJ36" s="250"/>
      <c r="AK36" s="250"/>
      <c r="AL36" s="292" t="s">
        <v>6</v>
      </c>
      <c r="AM36" s="285"/>
      <c r="AN36" s="285"/>
      <c r="AO36" s="285"/>
      <c r="AP36" s="285"/>
      <c r="AQ36" s="285"/>
      <c r="AR36" s="285" t="s">
        <v>179</v>
      </c>
      <c r="AS36" s="285"/>
      <c r="AT36" s="285"/>
      <c r="AU36" s="285"/>
      <c r="AV36" s="285"/>
      <c r="AW36" s="286"/>
      <c r="AX36" s="287" t="s">
        <v>6</v>
      </c>
      <c r="AY36" s="285"/>
      <c r="AZ36" s="285"/>
      <c r="BA36" s="285"/>
      <c r="BB36" s="285"/>
      <c r="BC36" s="285"/>
      <c r="BD36" s="285" t="s">
        <v>179</v>
      </c>
      <c r="BE36" s="285"/>
      <c r="BF36" s="285"/>
      <c r="BG36" s="285"/>
      <c r="BH36" s="285"/>
      <c r="BI36" s="288"/>
      <c r="BJ36" s="255" t="s">
        <v>73</v>
      </c>
      <c r="BK36" s="256"/>
      <c r="BL36" s="256"/>
      <c r="BM36" s="256"/>
      <c r="BN36" s="256"/>
      <c r="BO36" s="257"/>
      <c r="BP36" s="289"/>
      <c r="BQ36" s="290"/>
      <c r="BR36" s="290"/>
      <c r="BS36" s="290"/>
      <c r="BT36" s="290"/>
      <c r="BU36" s="291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48"/>
    </row>
    <row r="37" spans="1:86" ht="9.75" customHeight="1">
      <c r="A37" s="30">
        <v>34</v>
      </c>
      <c r="B37" s="358" t="s">
        <v>34</v>
      </c>
      <c r="C37" s="407" t="s">
        <v>33</v>
      </c>
      <c r="D37" s="408"/>
      <c r="E37" s="408"/>
      <c r="F37" s="408"/>
      <c r="G37" s="408"/>
      <c r="H37" s="298"/>
      <c r="I37" s="299"/>
      <c r="J37" s="299"/>
      <c r="K37" s="299"/>
      <c r="L37" s="299"/>
      <c r="M37" s="300"/>
      <c r="N37" s="197"/>
      <c r="O37" s="197"/>
      <c r="P37" s="197"/>
      <c r="Q37" s="197"/>
      <c r="R37" s="197"/>
      <c r="S37" s="197"/>
      <c r="T37" s="177"/>
      <c r="U37" s="177"/>
      <c r="V37" s="177"/>
      <c r="W37" s="177"/>
      <c r="X37" s="177"/>
      <c r="Y37" s="178"/>
      <c r="Z37" s="360"/>
      <c r="AA37" s="361"/>
      <c r="AB37" s="361"/>
      <c r="AC37" s="361"/>
      <c r="AD37" s="361"/>
      <c r="AE37" s="362"/>
      <c r="AF37" s="308" t="s">
        <v>181</v>
      </c>
      <c r="AG37" s="309"/>
      <c r="AH37" s="309"/>
      <c r="AI37" s="309"/>
      <c r="AJ37" s="309"/>
      <c r="AK37" s="310"/>
      <c r="AL37" s="176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8"/>
      <c r="AX37" s="297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3"/>
      <c r="BJ37" s="258" t="s">
        <v>71</v>
      </c>
      <c r="BK37" s="259"/>
      <c r="BL37" s="259"/>
      <c r="BM37" s="259"/>
      <c r="BN37" s="259"/>
      <c r="BO37" s="260"/>
      <c r="BP37" s="282"/>
      <c r="BQ37" s="283"/>
      <c r="BR37" s="283"/>
      <c r="BS37" s="283"/>
      <c r="BT37" s="283"/>
      <c r="BU37" s="284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48"/>
      <c r="CH37" s="49"/>
    </row>
    <row r="38" spans="1:86" ht="9.75" customHeight="1" thickBot="1">
      <c r="A38" s="30">
        <v>35</v>
      </c>
      <c r="B38" s="359"/>
      <c r="C38" s="301" t="s">
        <v>31</v>
      </c>
      <c r="D38" s="302"/>
      <c r="E38" s="302"/>
      <c r="F38" s="302"/>
      <c r="G38" s="302"/>
      <c r="H38" s="282"/>
      <c r="I38" s="283"/>
      <c r="J38" s="283"/>
      <c r="K38" s="283"/>
      <c r="L38" s="283"/>
      <c r="M38" s="303"/>
      <c r="N38" s="196"/>
      <c r="O38" s="196"/>
      <c r="P38" s="196"/>
      <c r="Q38" s="196"/>
      <c r="R38" s="196"/>
      <c r="S38" s="196"/>
      <c r="T38" s="184"/>
      <c r="U38" s="184"/>
      <c r="V38" s="184"/>
      <c r="W38" s="184"/>
      <c r="X38" s="184"/>
      <c r="Y38" s="185"/>
      <c r="Z38" s="304"/>
      <c r="AA38" s="305"/>
      <c r="AB38" s="305"/>
      <c r="AC38" s="305"/>
      <c r="AD38" s="305"/>
      <c r="AE38" s="306"/>
      <c r="AF38" s="59"/>
      <c r="AG38" s="311" t="s">
        <v>30</v>
      </c>
      <c r="AH38" s="311"/>
      <c r="AI38" s="311"/>
      <c r="AJ38" s="311"/>
      <c r="AK38" s="301"/>
      <c r="AL38" s="186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5"/>
      <c r="AX38" s="186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7"/>
      <c r="BJ38" s="278" t="s">
        <v>1</v>
      </c>
      <c r="BK38" s="279"/>
      <c r="BL38" s="279"/>
      <c r="BM38" s="279"/>
      <c r="BN38" s="279"/>
      <c r="BO38" s="279"/>
      <c r="BP38" s="280"/>
      <c r="BQ38" s="280"/>
      <c r="BR38" s="280"/>
      <c r="BS38" s="280"/>
      <c r="BT38" s="280"/>
      <c r="BU38" s="281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8"/>
      <c r="CH38" s="49"/>
    </row>
    <row r="39" spans="1:86" ht="9.75" customHeight="1">
      <c r="A39" s="30">
        <v>36</v>
      </c>
      <c r="B39" s="359"/>
      <c r="C39" s="301" t="s">
        <v>29</v>
      </c>
      <c r="D39" s="302"/>
      <c r="E39" s="302"/>
      <c r="F39" s="302"/>
      <c r="G39" s="302"/>
      <c r="H39" s="282"/>
      <c r="I39" s="283"/>
      <c r="J39" s="283"/>
      <c r="K39" s="283"/>
      <c r="L39" s="283"/>
      <c r="M39" s="303"/>
      <c r="N39" s="196"/>
      <c r="O39" s="196"/>
      <c r="P39" s="196"/>
      <c r="Q39" s="196"/>
      <c r="R39" s="196"/>
      <c r="S39" s="196"/>
      <c r="T39" s="184"/>
      <c r="U39" s="184"/>
      <c r="V39" s="184"/>
      <c r="W39" s="184"/>
      <c r="X39" s="184"/>
      <c r="Y39" s="185"/>
      <c r="Z39" s="304"/>
      <c r="AA39" s="305"/>
      <c r="AB39" s="305"/>
      <c r="AC39" s="305"/>
      <c r="AD39" s="305"/>
      <c r="AE39" s="306"/>
      <c r="AF39" s="60"/>
      <c r="AG39" s="311" t="s">
        <v>28</v>
      </c>
      <c r="AH39" s="311"/>
      <c r="AI39" s="311"/>
      <c r="AJ39" s="311"/>
      <c r="AK39" s="301"/>
      <c r="AL39" s="186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5"/>
      <c r="AX39" s="325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7"/>
      <c r="BJ39" s="216" t="s">
        <v>290</v>
      </c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8"/>
      <c r="CB39" s="47"/>
      <c r="CC39" s="47"/>
      <c r="CD39" s="47"/>
      <c r="CE39" s="47"/>
      <c r="CF39" s="47"/>
      <c r="CG39" s="48"/>
      <c r="CH39" s="49"/>
    </row>
    <row r="40" spans="1:86" ht="9.75" customHeight="1">
      <c r="A40" s="30">
        <v>37</v>
      </c>
      <c r="B40" s="359"/>
      <c r="C40" s="301" t="s">
        <v>27</v>
      </c>
      <c r="D40" s="302"/>
      <c r="E40" s="302"/>
      <c r="F40" s="302"/>
      <c r="G40" s="302"/>
      <c r="H40" s="282"/>
      <c r="I40" s="283"/>
      <c r="J40" s="283"/>
      <c r="K40" s="283"/>
      <c r="L40" s="283"/>
      <c r="M40" s="303"/>
      <c r="N40" s="196"/>
      <c r="O40" s="196"/>
      <c r="P40" s="196"/>
      <c r="Q40" s="196"/>
      <c r="R40" s="196"/>
      <c r="S40" s="196"/>
      <c r="T40" s="184"/>
      <c r="U40" s="184"/>
      <c r="V40" s="184"/>
      <c r="W40" s="184"/>
      <c r="X40" s="184"/>
      <c r="Y40" s="185"/>
      <c r="Z40" s="304"/>
      <c r="AA40" s="305"/>
      <c r="AB40" s="305"/>
      <c r="AC40" s="305"/>
      <c r="AD40" s="305"/>
      <c r="AE40" s="306"/>
      <c r="AF40" s="334" t="s">
        <v>26</v>
      </c>
      <c r="AG40" s="183" t="s">
        <v>25</v>
      </c>
      <c r="AH40" s="307"/>
      <c r="AI40" s="307"/>
      <c r="AJ40" s="307"/>
      <c r="AK40" s="307"/>
      <c r="AL40" s="186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314"/>
      <c r="AX40" s="317"/>
      <c r="AY40" s="318"/>
      <c r="AZ40" s="318"/>
      <c r="BA40" s="318"/>
      <c r="BB40" s="318"/>
      <c r="BC40" s="319"/>
      <c r="BD40" s="320"/>
      <c r="BE40" s="318"/>
      <c r="BF40" s="318"/>
      <c r="BG40" s="318"/>
      <c r="BH40" s="318"/>
      <c r="BI40" s="321"/>
      <c r="BJ40" s="249"/>
      <c r="BK40" s="250"/>
      <c r="BL40" s="250"/>
      <c r="BM40" s="250"/>
      <c r="BN40" s="250"/>
      <c r="BO40" s="251"/>
      <c r="BP40" s="322" t="s">
        <v>184</v>
      </c>
      <c r="BQ40" s="322"/>
      <c r="BR40" s="322"/>
      <c r="BS40" s="322"/>
      <c r="BT40" s="322"/>
      <c r="BU40" s="323"/>
      <c r="BV40" s="139" t="s">
        <v>87</v>
      </c>
      <c r="BW40" s="139"/>
      <c r="BX40" s="139"/>
      <c r="BY40" s="139"/>
      <c r="BZ40" s="139"/>
      <c r="CA40" s="324"/>
      <c r="CB40" s="47"/>
      <c r="CC40" s="47"/>
      <c r="CD40" s="47"/>
      <c r="CE40" s="47"/>
      <c r="CF40" s="47"/>
      <c r="CG40" s="48"/>
      <c r="CH40" s="49"/>
    </row>
    <row r="41" spans="1:86" ht="9.75" customHeight="1">
      <c r="A41" s="30">
        <v>38</v>
      </c>
      <c r="B41" s="359"/>
      <c r="C41" s="301" t="s">
        <v>132</v>
      </c>
      <c r="D41" s="302"/>
      <c r="E41" s="302"/>
      <c r="F41" s="302"/>
      <c r="G41" s="302"/>
      <c r="H41" s="282"/>
      <c r="I41" s="283"/>
      <c r="J41" s="283"/>
      <c r="K41" s="283"/>
      <c r="L41" s="283"/>
      <c r="M41" s="303"/>
      <c r="N41" s="196"/>
      <c r="O41" s="196"/>
      <c r="P41" s="196"/>
      <c r="Q41" s="196"/>
      <c r="R41" s="196"/>
      <c r="S41" s="196"/>
      <c r="T41" s="184"/>
      <c r="U41" s="184"/>
      <c r="V41" s="184"/>
      <c r="W41" s="184"/>
      <c r="X41" s="184"/>
      <c r="Y41" s="185"/>
      <c r="Z41" s="304"/>
      <c r="AA41" s="305"/>
      <c r="AB41" s="305"/>
      <c r="AC41" s="305"/>
      <c r="AD41" s="305"/>
      <c r="AE41" s="306"/>
      <c r="AF41" s="334"/>
      <c r="AG41" s="183" t="s">
        <v>24</v>
      </c>
      <c r="AH41" s="307"/>
      <c r="AI41" s="307"/>
      <c r="AJ41" s="307"/>
      <c r="AK41" s="307"/>
      <c r="AL41" s="186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314"/>
      <c r="AX41" s="317"/>
      <c r="AY41" s="318"/>
      <c r="AZ41" s="318"/>
      <c r="BA41" s="318"/>
      <c r="BB41" s="318"/>
      <c r="BC41" s="319"/>
      <c r="BD41" s="320"/>
      <c r="BE41" s="318"/>
      <c r="BF41" s="318"/>
      <c r="BG41" s="318"/>
      <c r="BH41" s="318"/>
      <c r="BI41" s="321"/>
      <c r="BJ41" s="414" t="s">
        <v>1</v>
      </c>
      <c r="BK41" s="415"/>
      <c r="BL41" s="415"/>
      <c r="BM41" s="415"/>
      <c r="BN41" s="415"/>
      <c r="BO41" s="416"/>
      <c r="BP41" s="328"/>
      <c r="BQ41" s="329"/>
      <c r="BR41" s="329"/>
      <c r="BS41" s="329"/>
      <c r="BT41" s="329"/>
      <c r="BU41" s="329"/>
      <c r="BV41" s="330"/>
      <c r="BW41" s="331"/>
      <c r="BX41" s="331"/>
      <c r="BY41" s="331"/>
      <c r="BZ41" s="331"/>
      <c r="CA41" s="332"/>
      <c r="CB41" s="47"/>
      <c r="CC41" s="47"/>
      <c r="CD41" s="47"/>
      <c r="CE41" s="47"/>
      <c r="CF41" s="47"/>
      <c r="CG41" s="48"/>
      <c r="CH41" s="49"/>
    </row>
    <row r="42" spans="1:86" ht="9.75" customHeight="1">
      <c r="A42" s="30">
        <v>39</v>
      </c>
      <c r="B42" s="359"/>
      <c r="C42" s="301" t="s">
        <v>126</v>
      </c>
      <c r="D42" s="302"/>
      <c r="E42" s="302"/>
      <c r="F42" s="302"/>
      <c r="G42" s="302"/>
      <c r="H42" s="282"/>
      <c r="I42" s="283"/>
      <c r="J42" s="283"/>
      <c r="K42" s="283"/>
      <c r="L42" s="283"/>
      <c r="M42" s="303"/>
      <c r="N42" s="196"/>
      <c r="O42" s="196"/>
      <c r="P42" s="196"/>
      <c r="Q42" s="196"/>
      <c r="R42" s="196"/>
      <c r="S42" s="196"/>
      <c r="T42" s="184"/>
      <c r="U42" s="184"/>
      <c r="V42" s="184"/>
      <c r="W42" s="184"/>
      <c r="X42" s="184"/>
      <c r="Y42" s="185"/>
      <c r="Z42" s="304"/>
      <c r="AA42" s="305"/>
      <c r="AB42" s="305"/>
      <c r="AC42" s="305"/>
      <c r="AD42" s="305"/>
      <c r="AE42" s="306"/>
      <c r="AF42" s="334"/>
      <c r="AG42" s="333" t="s">
        <v>23</v>
      </c>
      <c r="AH42" s="307"/>
      <c r="AI42" s="307"/>
      <c r="AJ42" s="307"/>
      <c r="AK42" s="307"/>
      <c r="AL42" s="186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314"/>
      <c r="AX42" s="317"/>
      <c r="AY42" s="318"/>
      <c r="AZ42" s="318"/>
      <c r="BA42" s="318"/>
      <c r="BB42" s="318"/>
      <c r="BC42" s="319"/>
      <c r="BD42" s="320"/>
      <c r="BE42" s="318"/>
      <c r="BF42" s="318"/>
      <c r="BG42" s="318"/>
      <c r="BH42" s="318"/>
      <c r="BI42" s="321"/>
      <c r="BJ42" s="52"/>
      <c r="BK42" s="183" t="s">
        <v>98</v>
      </c>
      <c r="BL42" s="307"/>
      <c r="BM42" s="307"/>
      <c r="BN42" s="307"/>
      <c r="BO42" s="336"/>
      <c r="BP42" s="315"/>
      <c r="BQ42" s="315"/>
      <c r="BR42" s="315"/>
      <c r="BS42" s="315"/>
      <c r="BT42" s="315"/>
      <c r="BU42" s="316"/>
      <c r="BV42" s="312"/>
      <c r="BW42" s="312"/>
      <c r="BX42" s="312"/>
      <c r="BY42" s="312"/>
      <c r="BZ42" s="312"/>
      <c r="CA42" s="313"/>
      <c r="CB42" s="47"/>
      <c r="CC42" s="47"/>
      <c r="CD42" s="47"/>
      <c r="CE42" s="47"/>
      <c r="CF42" s="47"/>
      <c r="CG42" s="48"/>
      <c r="CH42" s="49"/>
    </row>
    <row r="43" spans="1:86" ht="9.75" customHeight="1">
      <c r="A43" s="30">
        <v>40</v>
      </c>
      <c r="B43" s="359"/>
      <c r="C43" s="301" t="s">
        <v>22</v>
      </c>
      <c r="D43" s="302"/>
      <c r="E43" s="302"/>
      <c r="F43" s="302"/>
      <c r="G43" s="302"/>
      <c r="H43" s="282"/>
      <c r="I43" s="283"/>
      <c r="J43" s="283"/>
      <c r="K43" s="283"/>
      <c r="L43" s="283"/>
      <c r="M43" s="303"/>
      <c r="N43" s="196"/>
      <c r="O43" s="196"/>
      <c r="P43" s="196"/>
      <c r="Q43" s="196"/>
      <c r="R43" s="196"/>
      <c r="S43" s="196"/>
      <c r="T43" s="184"/>
      <c r="U43" s="184"/>
      <c r="V43" s="184"/>
      <c r="W43" s="184"/>
      <c r="X43" s="184"/>
      <c r="Y43" s="185"/>
      <c r="Z43" s="304"/>
      <c r="AA43" s="305"/>
      <c r="AB43" s="305"/>
      <c r="AC43" s="305"/>
      <c r="AD43" s="305"/>
      <c r="AE43" s="306"/>
      <c r="AF43" s="334"/>
      <c r="AG43" s="61"/>
      <c r="AH43" s="230" t="s">
        <v>21</v>
      </c>
      <c r="AI43" s="231"/>
      <c r="AJ43" s="231"/>
      <c r="AK43" s="232"/>
      <c r="AL43" s="195"/>
      <c r="AM43" s="196"/>
      <c r="AN43" s="196"/>
      <c r="AO43" s="196"/>
      <c r="AP43" s="196"/>
      <c r="AQ43" s="196"/>
      <c r="AR43" s="184"/>
      <c r="AS43" s="184"/>
      <c r="AT43" s="184"/>
      <c r="AU43" s="184"/>
      <c r="AV43" s="184"/>
      <c r="AW43" s="314"/>
      <c r="AX43" s="317"/>
      <c r="AY43" s="318"/>
      <c r="AZ43" s="318"/>
      <c r="BA43" s="318"/>
      <c r="BB43" s="318"/>
      <c r="BC43" s="319"/>
      <c r="BD43" s="320"/>
      <c r="BE43" s="318"/>
      <c r="BF43" s="318"/>
      <c r="BG43" s="318"/>
      <c r="BH43" s="318"/>
      <c r="BI43" s="321"/>
      <c r="BJ43" s="52"/>
      <c r="BK43" s="183" t="s">
        <v>95</v>
      </c>
      <c r="BL43" s="307"/>
      <c r="BM43" s="307"/>
      <c r="BN43" s="307"/>
      <c r="BO43" s="336"/>
      <c r="BP43" s="315"/>
      <c r="BQ43" s="315"/>
      <c r="BR43" s="315"/>
      <c r="BS43" s="315"/>
      <c r="BT43" s="315"/>
      <c r="BU43" s="316"/>
      <c r="BV43" s="312"/>
      <c r="BW43" s="312"/>
      <c r="BX43" s="312"/>
      <c r="BY43" s="312"/>
      <c r="BZ43" s="312"/>
      <c r="CA43" s="313"/>
      <c r="CB43" s="47"/>
      <c r="CC43" s="47"/>
      <c r="CD43" s="47"/>
      <c r="CE43" s="47"/>
      <c r="CF43" s="47"/>
      <c r="CG43" s="48"/>
      <c r="CH43" s="49"/>
    </row>
    <row r="44" spans="1:86" ht="9.75" customHeight="1">
      <c r="A44" s="30">
        <v>41</v>
      </c>
      <c r="B44" s="359"/>
      <c r="C44" s="301" t="s">
        <v>125</v>
      </c>
      <c r="D44" s="302"/>
      <c r="E44" s="302"/>
      <c r="F44" s="302"/>
      <c r="G44" s="302"/>
      <c r="H44" s="282"/>
      <c r="I44" s="283"/>
      <c r="J44" s="283"/>
      <c r="K44" s="283"/>
      <c r="L44" s="283"/>
      <c r="M44" s="303"/>
      <c r="N44" s="196"/>
      <c r="O44" s="196"/>
      <c r="P44" s="196"/>
      <c r="Q44" s="196"/>
      <c r="R44" s="196"/>
      <c r="S44" s="196"/>
      <c r="T44" s="184"/>
      <c r="U44" s="184"/>
      <c r="V44" s="184"/>
      <c r="W44" s="184"/>
      <c r="X44" s="184"/>
      <c r="Y44" s="185"/>
      <c r="Z44" s="304"/>
      <c r="AA44" s="305"/>
      <c r="AB44" s="305"/>
      <c r="AC44" s="305"/>
      <c r="AD44" s="305"/>
      <c r="AE44" s="306"/>
      <c r="AF44" s="334"/>
      <c r="AG44" s="61"/>
      <c r="AH44" s="230" t="s">
        <v>20</v>
      </c>
      <c r="AI44" s="231"/>
      <c r="AJ44" s="231"/>
      <c r="AK44" s="232"/>
      <c r="AL44" s="195"/>
      <c r="AM44" s="196"/>
      <c r="AN44" s="196"/>
      <c r="AO44" s="196"/>
      <c r="AP44" s="196"/>
      <c r="AQ44" s="196"/>
      <c r="AR44" s="184"/>
      <c r="AS44" s="184"/>
      <c r="AT44" s="184"/>
      <c r="AU44" s="184"/>
      <c r="AV44" s="184"/>
      <c r="AW44" s="314"/>
      <c r="AX44" s="317"/>
      <c r="AY44" s="318"/>
      <c r="AZ44" s="318"/>
      <c r="BA44" s="318"/>
      <c r="BB44" s="318"/>
      <c r="BC44" s="319"/>
      <c r="BD44" s="320"/>
      <c r="BE44" s="318"/>
      <c r="BF44" s="318"/>
      <c r="BG44" s="318"/>
      <c r="BH44" s="318"/>
      <c r="BI44" s="321"/>
      <c r="BJ44" s="52"/>
      <c r="BK44" s="183" t="s">
        <v>102</v>
      </c>
      <c r="BL44" s="307"/>
      <c r="BM44" s="307"/>
      <c r="BN44" s="307"/>
      <c r="BO44" s="336"/>
      <c r="BP44" s="315"/>
      <c r="BQ44" s="315"/>
      <c r="BR44" s="315"/>
      <c r="BS44" s="315"/>
      <c r="BT44" s="315"/>
      <c r="BU44" s="316"/>
      <c r="BV44" s="312"/>
      <c r="BW44" s="312"/>
      <c r="BX44" s="312"/>
      <c r="BY44" s="312"/>
      <c r="BZ44" s="312"/>
      <c r="CA44" s="313"/>
      <c r="CB44" s="47"/>
      <c r="CC44" s="47"/>
      <c r="CD44" s="47"/>
      <c r="CE44" s="47"/>
      <c r="CF44" s="47"/>
      <c r="CG44" s="48"/>
      <c r="CH44" s="49"/>
    </row>
    <row r="45" spans="1:86" ht="9.75" customHeight="1">
      <c r="A45" s="30">
        <v>42</v>
      </c>
      <c r="B45" s="359"/>
      <c r="C45" s="301" t="s">
        <v>155</v>
      </c>
      <c r="D45" s="302"/>
      <c r="E45" s="302"/>
      <c r="F45" s="302"/>
      <c r="G45" s="302"/>
      <c r="H45" s="282"/>
      <c r="I45" s="283"/>
      <c r="J45" s="283"/>
      <c r="K45" s="283"/>
      <c r="L45" s="283"/>
      <c r="M45" s="303"/>
      <c r="N45" s="196"/>
      <c r="O45" s="196"/>
      <c r="P45" s="196"/>
      <c r="Q45" s="196"/>
      <c r="R45" s="196"/>
      <c r="S45" s="196"/>
      <c r="T45" s="184"/>
      <c r="U45" s="184"/>
      <c r="V45" s="184"/>
      <c r="W45" s="184"/>
      <c r="X45" s="184"/>
      <c r="Y45" s="185"/>
      <c r="Z45" s="304"/>
      <c r="AA45" s="305"/>
      <c r="AB45" s="305"/>
      <c r="AC45" s="305"/>
      <c r="AD45" s="305"/>
      <c r="AE45" s="306"/>
      <c r="AF45" s="334"/>
      <c r="AG45" s="61"/>
      <c r="AH45" s="183" t="s">
        <v>18</v>
      </c>
      <c r="AI45" s="307"/>
      <c r="AJ45" s="307"/>
      <c r="AK45" s="307"/>
      <c r="AL45" s="195"/>
      <c r="AM45" s="196"/>
      <c r="AN45" s="196"/>
      <c r="AO45" s="196"/>
      <c r="AP45" s="196"/>
      <c r="AQ45" s="196"/>
      <c r="AR45" s="184"/>
      <c r="AS45" s="184"/>
      <c r="AT45" s="184"/>
      <c r="AU45" s="184"/>
      <c r="AV45" s="184"/>
      <c r="AW45" s="314"/>
      <c r="AX45" s="317"/>
      <c r="AY45" s="318"/>
      <c r="AZ45" s="318"/>
      <c r="BA45" s="318"/>
      <c r="BB45" s="318"/>
      <c r="BC45" s="319"/>
      <c r="BD45" s="320"/>
      <c r="BE45" s="318"/>
      <c r="BF45" s="318"/>
      <c r="BG45" s="318"/>
      <c r="BH45" s="318"/>
      <c r="BI45" s="321"/>
      <c r="BJ45" s="52"/>
      <c r="BK45" s="183" t="s">
        <v>100</v>
      </c>
      <c r="BL45" s="307"/>
      <c r="BM45" s="307"/>
      <c r="BN45" s="307"/>
      <c r="BO45" s="336"/>
      <c r="BP45" s="315"/>
      <c r="BQ45" s="315"/>
      <c r="BR45" s="315"/>
      <c r="BS45" s="315"/>
      <c r="BT45" s="315"/>
      <c r="BU45" s="316"/>
      <c r="BV45" s="312"/>
      <c r="BW45" s="312"/>
      <c r="BX45" s="312"/>
      <c r="BY45" s="312"/>
      <c r="BZ45" s="312"/>
      <c r="CA45" s="313"/>
      <c r="CB45" s="47"/>
      <c r="CC45" s="47"/>
      <c r="CD45" s="47"/>
      <c r="CE45" s="47"/>
      <c r="CF45" s="47"/>
      <c r="CG45" s="48"/>
      <c r="CH45" s="49"/>
    </row>
    <row r="46" spans="1:86" ht="9.75" customHeight="1" thickBot="1">
      <c r="A46" s="30">
        <v>43</v>
      </c>
      <c r="B46" s="359"/>
      <c r="C46" s="301" t="s">
        <v>19</v>
      </c>
      <c r="D46" s="302"/>
      <c r="E46" s="302"/>
      <c r="F46" s="302"/>
      <c r="G46" s="302"/>
      <c r="H46" s="282"/>
      <c r="I46" s="283"/>
      <c r="J46" s="283"/>
      <c r="K46" s="283"/>
      <c r="L46" s="283"/>
      <c r="M46" s="303"/>
      <c r="N46" s="196"/>
      <c r="O46" s="196"/>
      <c r="P46" s="196"/>
      <c r="Q46" s="196"/>
      <c r="R46" s="196"/>
      <c r="S46" s="196"/>
      <c r="T46" s="184"/>
      <c r="U46" s="184"/>
      <c r="V46" s="184"/>
      <c r="W46" s="184"/>
      <c r="X46" s="184"/>
      <c r="Y46" s="185"/>
      <c r="Z46" s="304"/>
      <c r="AA46" s="305"/>
      <c r="AB46" s="305"/>
      <c r="AC46" s="305"/>
      <c r="AD46" s="305"/>
      <c r="AE46" s="306"/>
      <c r="AF46" s="335"/>
      <c r="AG46" s="62"/>
      <c r="AH46" s="274" t="s">
        <v>274</v>
      </c>
      <c r="AI46" s="274"/>
      <c r="AJ46" s="274"/>
      <c r="AK46" s="347"/>
      <c r="AL46" s="348"/>
      <c r="AM46" s="349"/>
      <c r="AN46" s="349"/>
      <c r="AO46" s="349"/>
      <c r="AP46" s="349"/>
      <c r="AQ46" s="349"/>
      <c r="AR46" s="208"/>
      <c r="AS46" s="208"/>
      <c r="AT46" s="208"/>
      <c r="AU46" s="208"/>
      <c r="AV46" s="208"/>
      <c r="AW46" s="345"/>
      <c r="AX46" s="418"/>
      <c r="AY46" s="419"/>
      <c r="AZ46" s="419"/>
      <c r="BA46" s="419"/>
      <c r="BB46" s="419"/>
      <c r="BC46" s="420"/>
      <c r="BD46" s="421"/>
      <c r="BE46" s="419"/>
      <c r="BF46" s="419"/>
      <c r="BG46" s="419"/>
      <c r="BH46" s="419"/>
      <c r="BI46" s="422"/>
      <c r="BJ46" s="63"/>
      <c r="BK46" s="275" t="s">
        <v>140</v>
      </c>
      <c r="BL46" s="279"/>
      <c r="BM46" s="279"/>
      <c r="BN46" s="279"/>
      <c r="BO46" s="346"/>
      <c r="BP46" s="340"/>
      <c r="BQ46" s="340"/>
      <c r="BR46" s="340"/>
      <c r="BS46" s="340"/>
      <c r="BT46" s="340"/>
      <c r="BU46" s="341"/>
      <c r="BV46" s="342"/>
      <c r="BW46" s="342"/>
      <c r="BX46" s="342"/>
      <c r="BY46" s="342"/>
      <c r="BZ46" s="342"/>
      <c r="CA46" s="343"/>
      <c r="CB46" s="47"/>
      <c r="CC46" s="47"/>
      <c r="CD46" s="47"/>
      <c r="CE46" s="47"/>
      <c r="CF46" s="47"/>
      <c r="CG46" s="48"/>
      <c r="CH46" s="49"/>
    </row>
    <row r="47" spans="1:86" ht="9.75" customHeight="1">
      <c r="A47" s="30">
        <v>44</v>
      </c>
      <c r="B47" s="359"/>
      <c r="C47" s="301" t="s">
        <v>17</v>
      </c>
      <c r="D47" s="302"/>
      <c r="E47" s="302"/>
      <c r="F47" s="302"/>
      <c r="G47" s="302"/>
      <c r="H47" s="282"/>
      <c r="I47" s="283"/>
      <c r="J47" s="283"/>
      <c r="K47" s="283"/>
      <c r="L47" s="283"/>
      <c r="M47" s="303"/>
      <c r="N47" s="196"/>
      <c r="O47" s="196"/>
      <c r="P47" s="196"/>
      <c r="Q47" s="196"/>
      <c r="R47" s="196"/>
      <c r="S47" s="196"/>
      <c r="T47" s="184"/>
      <c r="U47" s="184"/>
      <c r="V47" s="184"/>
      <c r="W47" s="184"/>
      <c r="X47" s="184"/>
      <c r="Y47" s="185"/>
      <c r="Z47" s="304"/>
      <c r="AA47" s="305"/>
      <c r="AB47" s="305"/>
      <c r="AC47" s="305"/>
      <c r="AD47" s="305"/>
      <c r="AE47" s="344"/>
      <c r="AF47" s="64" t="s">
        <v>291</v>
      </c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6"/>
      <c r="BJ47" s="179" t="s">
        <v>269</v>
      </c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1"/>
      <c r="CH47" s="49"/>
    </row>
    <row r="48" spans="1:86" ht="9.75" customHeight="1">
      <c r="A48" s="30">
        <v>45</v>
      </c>
      <c r="B48" s="359"/>
      <c r="C48" s="301" t="s">
        <v>15</v>
      </c>
      <c r="D48" s="302"/>
      <c r="E48" s="302"/>
      <c r="F48" s="302"/>
      <c r="G48" s="302"/>
      <c r="H48" s="282"/>
      <c r="I48" s="283"/>
      <c r="J48" s="283"/>
      <c r="K48" s="283"/>
      <c r="L48" s="283"/>
      <c r="M48" s="303"/>
      <c r="N48" s="196"/>
      <c r="O48" s="196"/>
      <c r="P48" s="196"/>
      <c r="Q48" s="196"/>
      <c r="R48" s="196"/>
      <c r="S48" s="196"/>
      <c r="T48" s="184"/>
      <c r="U48" s="184"/>
      <c r="V48" s="184"/>
      <c r="W48" s="184"/>
      <c r="X48" s="184"/>
      <c r="Y48" s="185"/>
      <c r="Z48" s="304"/>
      <c r="AA48" s="305"/>
      <c r="AB48" s="305"/>
      <c r="AC48" s="305"/>
      <c r="AD48" s="305"/>
      <c r="AE48" s="344"/>
      <c r="AF48" s="350"/>
      <c r="AG48" s="220"/>
      <c r="AH48" s="220"/>
      <c r="AI48" s="220"/>
      <c r="AJ48" s="220"/>
      <c r="AK48" s="220"/>
      <c r="AL48" s="411" t="s">
        <v>194</v>
      </c>
      <c r="AM48" s="412"/>
      <c r="AN48" s="412"/>
      <c r="AO48" s="412"/>
      <c r="AP48" s="412"/>
      <c r="AQ48" s="412"/>
      <c r="AR48" s="412"/>
      <c r="AS48" s="412"/>
      <c r="AT48" s="412"/>
      <c r="AU48" s="412"/>
      <c r="AV48" s="412"/>
      <c r="AW48" s="413"/>
      <c r="AX48" s="143" t="s">
        <v>185</v>
      </c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5"/>
      <c r="BJ48" s="409" t="s">
        <v>196</v>
      </c>
      <c r="BK48" s="338"/>
      <c r="BL48" s="338"/>
      <c r="BM48" s="338"/>
      <c r="BN48" s="338"/>
      <c r="BO48" s="338"/>
      <c r="BP48" s="337" t="s">
        <v>188</v>
      </c>
      <c r="BQ48" s="338"/>
      <c r="BR48" s="338"/>
      <c r="BS48" s="338"/>
      <c r="BT48" s="338"/>
      <c r="BU48" s="410"/>
      <c r="BV48" s="337" t="s">
        <v>197</v>
      </c>
      <c r="BW48" s="338"/>
      <c r="BX48" s="338"/>
      <c r="BY48" s="338"/>
      <c r="BZ48" s="338"/>
      <c r="CA48" s="338"/>
      <c r="CB48" s="337" t="s">
        <v>188</v>
      </c>
      <c r="CC48" s="338"/>
      <c r="CD48" s="338"/>
      <c r="CE48" s="338"/>
      <c r="CF48" s="338"/>
      <c r="CG48" s="339"/>
      <c r="CH48" s="49"/>
    </row>
    <row r="49" spans="1:86" ht="9.75" customHeight="1">
      <c r="A49" s="30">
        <v>46</v>
      </c>
      <c r="B49" s="359"/>
      <c r="C49" s="301" t="s">
        <v>14</v>
      </c>
      <c r="D49" s="302"/>
      <c r="E49" s="302"/>
      <c r="F49" s="302"/>
      <c r="G49" s="302"/>
      <c r="H49" s="282"/>
      <c r="I49" s="283"/>
      <c r="J49" s="283"/>
      <c r="K49" s="283"/>
      <c r="L49" s="283"/>
      <c r="M49" s="303"/>
      <c r="N49" s="196"/>
      <c r="O49" s="196"/>
      <c r="P49" s="196"/>
      <c r="Q49" s="196"/>
      <c r="R49" s="196"/>
      <c r="S49" s="196"/>
      <c r="T49" s="184"/>
      <c r="U49" s="184"/>
      <c r="V49" s="184"/>
      <c r="W49" s="184"/>
      <c r="X49" s="184"/>
      <c r="Y49" s="185"/>
      <c r="Z49" s="304"/>
      <c r="AA49" s="305"/>
      <c r="AB49" s="305"/>
      <c r="AC49" s="305"/>
      <c r="AD49" s="305"/>
      <c r="AE49" s="344"/>
      <c r="AF49" s="249"/>
      <c r="AG49" s="250"/>
      <c r="AH49" s="250"/>
      <c r="AI49" s="250"/>
      <c r="AJ49" s="250"/>
      <c r="AK49" s="250"/>
      <c r="AL49" s="128" t="s">
        <v>11</v>
      </c>
      <c r="AM49" s="126"/>
      <c r="AN49" s="126"/>
      <c r="AO49" s="126"/>
      <c r="AP49" s="126"/>
      <c r="AQ49" s="126"/>
      <c r="AR49" s="126" t="s">
        <v>10</v>
      </c>
      <c r="AS49" s="126"/>
      <c r="AT49" s="126"/>
      <c r="AU49" s="126"/>
      <c r="AV49" s="126"/>
      <c r="AW49" s="127"/>
      <c r="AX49" s="128" t="s">
        <v>11</v>
      </c>
      <c r="AY49" s="126"/>
      <c r="AZ49" s="126"/>
      <c r="BA49" s="126"/>
      <c r="BB49" s="126"/>
      <c r="BC49" s="126"/>
      <c r="BD49" s="126" t="s">
        <v>10</v>
      </c>
      <c r="BE49" s="126"/>
      <c r="BF49" s="126"/>
      <c r="BG49" s="126"/>
      <c r="BH49" s="126"/>
      <c r="BI49" s="141"/>
      <c r="BJ49" s="435" t="s">
        <v>161</v>
      </c>
      <c r="BK49" s="436"/>
      <c r="BL49" s="436"/>
      <c r="BM49" s="436"/>
      <c r="BN49" s="437"/>
      <c r="BO49" s="67" t="s">
        <v>189</v>
      </c>
      <c r="BP49" s="423"/>
      <c r="BQ49" s="424"/>
      <c r="BR49" s="424"/>
      <c r="BS49" s="424"/>
      <c r="BT49" s="424"/>
      <c r="BU49" s="430"/>
      <c r="BV49" s="439" t="s">
        <v>162</v>
      </c>
      <c r="BW49" s="436"/>
      <c r="BX49" s="436"/>
      <c r="BY49" s="436"/>
      <c r="BZ49" s="437"/>
      <c r="CA49" s="67" t="s">
        <v>189</v>
      </c>
      <c r="CB49" s="423"/>
      <c r="CC49" s="424"/>
      <c r="CD49" s="424"/>
      <c r="CE49" s="424"/>
      <c r="CF49" s="424"/>
      <c r="CG49" s="425"/>
      <c r="CH49" s="49"/>
    </row>
    <row r="50" spans="1:86" ht="9.75" customHeight="1">
      <c r="A50" s="30">
        <v>47</v>
      </c>
      <c r="B50" s="359"/>
      <c r="C50" s="301" t="s">
        <v>12</v>
      </c>
      <c r="D50" s="302"/>
      <c r="E50" s="302"/>
      <c r="F50" s="302"/>
      <c r="G50" s="302"/>
      <c r="H50" s="282"/>
      <c r="I50" s="283"/>
      <c r="J50" s="283"/>
      <c r="K50" s="283"/>
      <c r="L50" s="283"/>
      <c r="M50" s="303"/>
      <c r="N50" s="172"/>
      <c r="O50" s="172"/>
      <c r="P50" s="172"/>
      <c r="Q50" s="172"/>
      <c r="R50" s="172"/>
      <c r="S50" s="172"/>
      <c r="T50" s="184"/>
      <c r="U50" s="184"/>
      <c r="V50" s="184"/>
      <c r="W50" s="184"/>
      <c r="X50" s="184"/>
      <c r="Y50" s="185"/>
      <c r="Z50" s="304"/>
      <c r="AA50" s="305"/>
      <c r="AB50" s="305"/>
      <c r="AC50" s="305"/>
      <c r="AD50" s="305"/>
      <c r="AE50" s="344"/>
      <c r="AF50" s="384" t="s">
        <v>9</v>
      </c>
      <c r="AG50" s="175" t="s">
        <v>160</v>
      </c>
      <c r="AH50" s="352"/>
      <c r="AI50" s="352"/>
      <c r="AJ50" s="352"/>
      <c r="AK50" s="352"/>
      <c r="AL50" s="176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351"/>
      <c r="AX50" s="176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98"/>
      <c r="BJ50" s="433" t="s">
        <v>162</v>
      </c>
      <c r="BK50" s="302"/>
      <c r="BL50" s="302"/>
      <c r="BM50" s="302"/>
      <c r="BN50" s="434"/>
      <c r="BO50" s="68" t="s">
        <v>189</v>
      </c>
      <c r="BP50" s="380"/>
      <c r="BQ50" s="381"/>
      <c r="BR50" s="381"/>
      <c r="BS50" s="381"/>
      <c r="BT50" s="381"/>
      <c r="BU50" s="429"/>
      <c r="BV50" s="366" t="s">
        <v>132</v>
      </c>
      <c r="BW50" s="302"/>
      <c r="BX50" s="302"/>
      <c r="BY50" s="302"/>
      <c r="BZ50" s="434"/>
      <c r="CA50" s="68" t="s">
        <v>189</v>
      </c>
      <c r="CB50" s="380"/>
      <c r="CC50" s="381"/>
      <c r="CD50" s="381"/>
      <c r="CE50" s="381"/>
      <c r="CF50" s="381"/>
      <c r="CG50" s="382"/>
      <c r="CH50" s="49"/>
    </row>
    <row r="51" spans="1:86" ht="9.75" customHeight="1">
      <c r="A51" s="30">
        <v>48</v>
      </c>
      <c r="B51" s="355" t="s">
        <v>1</v>
      </c>
      <c r="C51" s="356"/>
      <c r="D51" s="356"/>
      <c r="E51" s="356"/>
      <c r="F51" s="356"/>
      <c r="G51" s="357"/>
      <c r="H51" s="344"/>
      <c r="I51" s="353"/>
      <c r="J51" s="353"/>
      <c r="K51" s="353"/>
      <c r="L51" s="353"/>
      <c r="M51" s="35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5"/>
      <c r="Z51" s="304"/>
      <c r="AA51" s="305"/>
      <c r="AB51" s="305"/>
      <c r="AC51" s="305"/>
      <c r="AD51" s="305"/>
      <c r="AE51" s="344"/>
      <c r="AF51" s="385"/>
      <c r="AG51" s="183" t="s">
        <v>159</v>
      </c>
      <c r="AH51" s="307"/>
      <c r="AI51" s="307"/>
      <c r="AJ51" s="307"/>
      <c r="AK51" s="307"/>
      <c r="AL51" s="186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314"/>
      <c r="AX51" s="186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7"/>
      <c r="BJ51" s="433" t="s">
        <v>132</v>
      </c>
      <c r="BK51" s="302"/>
      <c r="BL51" s="302"/>
      <c r="BM51" s="302"/>
      <c r="BN51" s="434"/>
      <c r="BO51" s="68" t="s">
        <v>189</v>
      </c>
      <c r="BP51" s="380"/>
      <c r="BQ51" s="381"/>
      <c r="BR51" s="381"/>
      <c r="BS51" s="381"/>
      <c r="BT51" s="381"/>
      <c r="BU51" s="429"/>
      <c r="BV51" s="366" t="s">
        <v>17</v>
      </c>
      <c r="BW51" s="302"/>
      <c r="BX51" s="302"/>
      <c r="BY51" s="302"/>
      <c r="BZ51" s="434"/>
      <c r="CA51" s="68" t="s">
        <v>189</v>
      </c>
      <c r="CB51" s="380"/>
      <c r="CC51" s="381"/>
      <c r="CD51" s="381"/>
      <c r="CE51" s="381"/>
      <c r="CF51" s="381"/>
      <c r="CG51" s="382"/>
      <c r="CH51" s="49"/>
    </row>
    <row r="52" spans="1:86" ht="9.75" customHeight="1">
      <c r="A52" s="30">
        <v>49</v>
      </c>
      <c r="B52" s="383" t="s">
        <v>8</v>
      </c>
      <c r="C52" s="365"/>
      <c r="D52" s="365"/>
      <c r="E52" s="365"/>
      <c r="F52" s="365"/>
      <c r="G52" s="366"/>
      <c r="H52" s="282"/>
      <c r="I52" s="283"/>
      <c r="J52" s="283"/>
      <c r="K52" s="283"/>
      <c r="L52" s="283"/>
      <c r="M52" s="303"/>
      <c r="N52" s="165"/>
      <c r="O52" s="165"/>
      <c r="P52" s="165"/>
      <c r="Q52" s="165"/>
      <c r="R52" s="165"/>
      <c r="S52" s="165"/>
      <c r="T52" s="184"/>
      <c r="U52" s="184"/>
      <c r="V52" s="184"/>
      <c r="W52" s="184"/>
      <c r="X52" s="184"/>
      <c r="Y52" s="185"/>
      <c r="Z52" s="304"/>
      <c r="AA52" s="305"/>
      <c r="AB52" s="305"/>
      <c r="AC52" s="305"/>
      <c r="AD52" s="305"/>
      <c r="AE52" s="344"/>
      <c r="AF52" s="385"/>
      <c r="AG52" s="183" t="s">
        <v>1</v>
      </c>
      <c r="AH52" s="307"/>
      <c r="AI52" s="307"/>
      <c r="AJ52" s="307"/>
      <c r="AK52" s="336"/>
      <c r="AL52" s="186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314"/>
      <c r="AX52" s="186"/>
      <c r="AY52" s="184"/>
      <c r="AZ52" s="184"/>
      <c r="BA52" s="184"/>
      <c r="BB52" s="184"/>
      <c r="BC52" s="184"/>
      <c r="BD52" s="184"/>
      <c r="BE52" s="184"/>
      <c r="BF52" s="184"/>
      <c r="BG52" s="184"/>
      <c r="BH52" s="184"/>
      <c r="BI52" s="187"/>
      <c r="BJ52" s="433" t="s">
        <v>17</v>
      </c>
      <c r="BK52" s="302"/>
      <c r="BL52" s="302"/>
      <c r="BM52" s="302"/>
      <c r="BN52" s="434"/>
      <c r="BO52" s="68" t="s">
        <v>189</v>
      </c>
      <c r="BP52" s="380"/>
      <c r="BQ52" s="381"/>
      <c r="BR52" s="381"/>
      <c r="BS52" s="381"/>
      <c r="BT52" s="381"/>
      <c r="BU52" s="429"/>
      <c r="BV52" s="366" t="s">
        <v>93</v>
      </c>
      <c r="BW52" s="302"/>
      <c r="BX52" s="302"/>
      <c r="BY52" s="302"/>
      <c r="BZ52" s="434"/>
      <c r="CA52" s="68" t="s">
        <v>189</v>
      </c>
      <c r="CB52" s="380"/>
      <c r="CC52" s="381"/>
      <c r="CD52" s="381"/>
      <c r="CE52" s="381"/>
      <c r="CF52" s="381"/>
      <c r="CG52" s="382"/>
      <c r="CH52" s="49"/>
    </row>
    <row r="53" spans="1:86" ht="9.75" customHeight="1" thickBot="1">
      <c r="A53" s="30">
        <v>50</v>
      </c>
      <c r="B53" s="364" t="s">
        <v>7</v>
      </c>
      <c r="C53" s="365"/>
      <c r="D53" s="365"/>
      <c r="E53" s="365"/>
      <c r="F53" s="365"/>
      <c r="G53" s="366"/>
      <c r="H53" s="344"/>
      <c r="I53" s="353"/>
      <c r="J53" s="353"/>
      <c r="K53" s="353"/>
      <c r="L53" s="353"/>
      <c r="M53" s="35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5"/>
      <c r="Z53" s="367"/>
      <c r="AA53" s="368"/>
      <c r="AB53" s="368"/>
      <c r="AC53" s="368"/>
      <c r="AD53" s="368"/>
      <c r="AE53" s="369"/>
      <c r="AF53" s="379" t="s">
        <v>5</v>
      </c>
      <c r="AG53" s="307"/>
      <c r="AH53" s="307"/>
      <c r="AI53" s="307"/>
      <c r="AJ53" s="307"/>
      <c r="AK53" s="307"/>
      <c r="AL53" s="325"/>
      <c r="AM53" s="326"/>
      <c r="AN53" s="326"/>
      <c r="AO53" s="326"/>
      <c r="AP53" s="326"/>
      <c r="AQ53" s="326"/>
      <c r="AR53" s="326"/>
      <c r="AS53" s="326"/>
      <c r="AT53" s="326"/>
      <c r="AU53" s="326"/>
      <c r="AV53" s="326"/>
      <c r="AW53" s="386"/>
      <c r="AX53" s="325"/>
      <c r="AY53" s="326"/>
      <c r="AZ53" s="326"/>
      <c r="BA53" s="326"/>
      <c r="BB53" s="326"/>
      <c r="BC53" s="326"/>
      <c r="BD53" s="326"/>
      <c r="BE53" s="326"/>
      <c r="BF53" s="326"/>
      <c r="BG53" s="326"/>
      <c r="BH53" s="326"/>
      <c r="BI53" s="327"/>
      <c r="BJ53" s="433" t="s">
        <v>163</v>
      </c>
      <c r="BK53" s="302"/>
      <c r="BL53" s="302"/>
      <c r="BM53" s="302"/>
      <c r="BN53" s="434"/>
      <c r="BO53" s="68" t="s">
        <v>189</v>
      </c>
      <c r="BP53" s="380"/>
      <c r="BQ53" s="381"/>
      <c r="BR53" s="381"/>
      <c r="BS53" s="381"/>
      <c r="BT53" s="381"/>
      <c r="BU53" s="429"/>
      <c r="BV53" s="438" t="s">
        <v>88</v>
      </c>
      <c r="BW53" s="371"/>
      <c r="BX53" s="371"/>
      <c r="BY53" s="371"/>
      <c r="BZ53" s="432"/>
      <c r="CA53" s="69" t="s">
        <v>190</v>
      </c>
      <c r="CB53" s="426"/>
      <c r="CC53" s="427"/>
      <c r="CD53" s="427"/>
      <c r="CE53" s="427"/>
      <c r="CF53" s="427"/>
      <c r="CG53" s="428"/>
      <c r="CH53" s="49"/>
    </row>
    <row r="54" spans="1:86" ht="9.75" customHeight="1" thickBot="1">
      <c r="A54" s="30">
        <v>51</v>
      </c>
      <c r="B54" s="70"/>
      <c r="C54" s="370" t="s">
        <v>173</v>
      </c>
      <c r="D54" s="371"/>
      <c r="E54" s="371"/>
      <c r="F54" s="371"/>
      <c r="G54" s="372"/>
      <c r="H54" s="373"/>
      <c r="I54" s="374"/>
      <c r="J54" s="374"/>
      <c r="K54" s="374"/>
      <c r="L54" s="374"/>
      <c r="M54" s="375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77"/>
      <c r="Z54" s="376"/>
      <c r="AA54" s="377"/>
      <c r="AB54" s="377"/>
      <c r="AC54" s="377"/>
      <c r="AD54" s="377"/>
      <c r="AE54" s="378"/>
      <c r="AF54" s="379" t="s">
        <v>4</v>
      </c>
      <c r="AG54" s="307"/>
      <c r="AH54" s="307"/>
      <c r="AI54" s="307"/>
      <c r="AJ54" s="307"/>
      <c r="AK54" s="307"/>
      <c r="AL54" s="241"/>
      <c r="AM54" s="172"/>
      <c r="AN54" s="172"/>
      <c r="AO54" s="172"/>
      <c r="AP54" s="172"/>
      <c r="AQ54" s="172"/>
      <c r="AR54" s="184"/>
      <c r="AS54" s="184"/>
      <c r="AT54" s="184"/>
      <c r="AU54" s="184"/>
      <c r="AV54" s="184"/>
      <c r="AW54" s="314"/>
      <c r="AX54" s="241"/>
      <c r="AY54" s="172"/>
      <c r="AZ54" s="172"/>
      <c r="BA54" s="172"/>
      <c r="BB54" s="172"/>
      <c r="BC54" s="172"/>
      <c r="BD54" s="184"/>
      <c r="BE54" s="184"/>
      <c r="BF54" s="184"/>
      <c r="BG54" s="184"/>
      <c r="BH54" s="184"/>
      <c r="BI54" s="187"/>
      <c r="BJ54" s="431" t="s">
        <v>88</v>
      </c>
      <c r="BK54" s="371"/>
      <c r="BL54" s="371"/>
      <c r="BM54" s="371"/>
      <c r="BN54" s="432"/>
      <c r="BO54" s="69" t="s">
        <v>190</v>
      </c>
      <c r="BP54" s="426"/>
      <c r="BQ54" s="427"/>
      <c r="BR54" s="427"/>
      <c r="BS54" s="427"/>
      <c r="BT54" s="427"/>
      <c r="BU54" s="428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8"/>
      <c r="CH54" s="49"/>
    </row>
    <row r="55" spans="1:86" ht="9.75" customHeight="1" thickBot="1">
      <c r="A55" s="30">
        <v>52</v>
      </c>
      <c r="B55" s="71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3"/>
      <c r="AA55" s="73"/>
      <c r="AB55" s="73"/>
      <c r="AC55" s="73"/>
      <c r="AD55" s="73"/>
      <c r="AE55" s="73"/>
      <c r="AF55" s="387" t="s">
        <v>124</v>
      </c>
      <c r="AG55" s="388"/>
      <c r="AH55" s="388"/>
      <c r="AI55" s="388"/>
      <c r="AJ55" s="388"/>
      <c r="AK55" s="388"/>
      <c r="AL55" s="276"/>
      <c r="AM55" s="265"/>
      <c r="AN55" s="265"/>
      <c r="AO55" s="265"/>
      <c r="AP55" s="265"/>
      <c r="AQ55" s="265"/>
      <c r="AR55" s="208"/>
      <c r="AS55" s="208"/>
      <c r="AT55" s="208"/>
      <c r="AU55" s="208"/>
      <c r="AV55" s="208"/>
      <c r="AW55" s="345"/>
      <c r="AX55" s="276"/>
      <c r="AY55" s="265"/>
      <c r="AZ55" s="265"/>
      <c r="BA55" s="265"/>
      <c r="BB55" s="265"/>
      <c r="BC55" s="265"/>
      <c r="BD55" s="208"/>
      <c r="BE55" s="208"/>
      <c r="BF55" s="208"/>
      <c r="BG55" s="208"/>
      <c r="BH55" s="208"/>
      <c r="BI55" s="209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8"/>
      <c r="CH55" s="49"/>
    </row>
    <row r="56" spans="1:86" ht="9.75" customHeight="1">
      <c r="A56" s="30">
        <v>53</v>
      </c>
      <c r="B56" s="71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8"/>
      <c r="CH56" s="49"/>
    </row>
    <row r="57" spans="1:86" ht="9.75" customHeight="1">
      <c r="A57" s="30">
        <v>54</v>
      </c>
      <c r="B57" s="71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8"/>
      <c r="CH57" s="49"/>
    </row>
    <row r="58" spans="1:86" ht="9.75" customHeight="1" thickBot="1">
      <c r="A58" s="30">
        <v>55</v>
      </c>
      <c r="B58" s="74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76"/>
      <c r="CH58" s="49"/>
    </row>
    <row r="59" spans="1:86" ht="9.75" customHeight="1">
      <c r="A59" s="30"/>
      <c r="B59" s="363">
        <v>1</v>
      </c>
      <c r="C59" s="363"/>
      <c r="D59" s="363"/>
      <c r="E59" s="363"/>
      <c r="F59" s="363"/>
      <c r="G59" s="363"/>
      <c r="H59" s="363">
        <v>2</v>
      </c>
      <c r="I59" s="363"/>
      <c r="J59" s="363"/>
      <c r="K59" s="363"/>
      <c r="L59" s="363"/>
      <c r="M59" s="363"/>
      <c r="N59" s="363">
        <v>3</v>
      </c>
      <c r="O59" s="363"/>
      <c r="P59" s="363"/>
      <c r="Q59" s="363"/>
      <c r="R59" s="363"/>
      <c r="S59" s="363"/>
      <c r="T59" s="363">
        <v>4</v>
      </c>
      <c r="U59" s="363"/>
      <c r="V59" s="363"/>
      <c r="W59" s="363"/>
      <c r="X59" s="363"/>
      <c r="Y59" s="363"/>
      <c r="Z59" s="363">
        <v>5</v>
      </c>
      <c r="AA59" s="363"/>
      <c r="AB59" s="363"/>
      <c r="AC59" s="363"/>
      <c r="AD59" s="363"/>
      <c r="AE59" s="363"/>
      <c r="AF59" s="363">
        <v>6</v>
      </c>
      <c r="AG59" s="363"/>
      <c r="AH59" s="363"/>
      <c r="AI59" s="363"/>
      <c r="AJ59" s="363"/>
      <c r="AK59" s="363"/>
      <c r="AL59" s="363">
        <v>7</v>
      </c>
      <c r="AM59" s="363"/>
      <c r="AN59" s="363"/>
      <c r="AO59" s="363"/>
      <c r="AP59" s="363"/>
      <c r="AQ59" s="363"/>
      <c r="AR59" s="363">
        <v>8</v>
      </c>
      <c r="AS59" s="363"/>
      <c r="AT59" s="363"/>
      <c r="AU59" s="363"/>
      <c r="AV59" s="363"/>
      <c r="AW59" s="363"/>
      <c r="AX59" s="363">
        <v>9</v>
      </c>
      <c r="AY59" s="363"/>
      <c r="AZ59" s="363"/>
      <c r="BA59" s="363"/>
      <c r="BB59" s="363"/>
      <c r="BC59" s="363"/>
      <c r="BD59" s="363">
        <v>10</v>
      </c>
      <c r="BE59" s="363"/>
      <c r="BF59" s="363"/>
      <c r="BG59" s="363"/>
      <c r="BH59" s="363"/>
      <c r="BI59" s="363"/>
      <c r="BJ59" s="363">
        <v>11</v>
      </c>
      <c r="BK59" s="363"/>
      <c r="BL59" s="363"/>
      <c r="BM59" s="363"/>
      <c r="BN59" s="363"/>
      <c r="BO59" s="363"/>
      <c r="BP59" s="363">
        <v>12</v>
      </c>
      <c r="BQ59" s="363"/>
      <c r="BR59" s="363"/>
      <c r="BS59" s="363"/>
      <c r="BT59" s="363"/>
      <c r="BU59" s="363"/>
      <c r="BV59" s="363">
        <v>13</v>
      </c>
      <c r="BW59" s="363"/>
      <c r="BX59" s="363"/>
      <c r="BY59" s="363"/>
      <c r="BZ59" s="363"/>
      <c r="CA59" s="363"/>
      <c r="CB59" s="363">
        <v>14</v>
      </c>
      <c r="CC59" s="363"/>
      <c r="CD59" s="363"/>
      <c r="CE59" s="363"/>
      <c r="CF59" s="363"/>
      <c r="CG59" s="363"/>
      <c r="CH59" s="49"/>
    </row>
    <row r="60" spans="1:86" ht="9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</row>
    <row r="61" spans="1:86" ht="9.75" customHeight="1"/>
    <row r="62" spans="1:86" ht="12.75" customHeight="1">
      <c r="BD62" s="49"/>
      <c r="BE62" s="49"/>
      <c r="BF62" s="49"/>
      <c r="BG62" s="49"/>
      <c r="BH62" s="49"/>
      <c r="BI62" s="49"/>
    </row>
  </sheetData>
  <mergeCells count="636">
    <mergeCell ref="CB49:CG49"/>
    <mergeCell ref="BP54:BU54"/>
    <mergeCell ref="BP53:BU53"/>
    <mergeCell ref="BP52:BU52"/>
    <mergeCell ref="BP51:BU51"/>
    <mergeCell ref="BP50:BU50"/>
    <mergeCell ref="BP49:BU49"/>
    <mergeCell ref="BJ54:BN54"/>
    <mergeCell ref="BJ53:BN53"/>
    <mergeCell ref="BJ52:BN52"/>
    <mergeCell ref="BJ51:BN51"/>
    <mergeCell ref="BJ50:BN50"/>
    <mergeCell ref="BJ49:BN49"/>
    <mergeCell ref="BV53:BZ53"/>
    <mergeCell ref="BV52:BZ52"/>
    <mergeCell ref="BV51:BZ51"/>
    <mergeCell ref="BV50:BZ50"/>
    <mergeCell ref="BV49:BZ49"/>
    <mergeCell ref="CB53:CG53"/>
    <mergeCell ref="B35:G36"/>
    <mergeCell ref="H35:M36"/>
    <mergeCell ref="N35:S36"/>
    <mergeCell ref="T35:Y36"/>
    <mergeCell ref="Z35:AE36"/>
    <mergeCell ref="C37:G37"/>
    <mergeCell ref="BV48:CA48"/>
    <mergeCell ref="BJ48:BO48"/>
    <mergeCell ref="BP48:BU48"/>
    <mergeCell ref="AL38:AQ38"/>
    <mergeCell ref="Z44:AE44"/>
    <mergeCell ref="AL48:AW48"/>
    <mergeCell ref="AX48:BI48"/>
    <mergeCell ref="BJ41:BO41"/>
    <mergeCell ref="AL44:AQ44"/>
    <mergeCell ref="C45:G45"/>
    <mergeCell ref="H45:M45"/>
    <mergeCell ref="N45:S45"/>
    <mergeCell ref="T45:Y45"/>
    <mergeCell ref="Z45:AE45"/>
    <mergeCell ref="AH45:AK45"/>
    <mergeCell ref="AL45:AQ45"/>
    <mergeCell ref="AR45:AW45"/>
    <mergeCell ref="BD45:BI45"/>
    <mergeCell ref="BK45:BO45"/>
    <mergeCell ref="CB50:CG50"/>
    <mergeCell ref="BV59:CA59"/>
    <mergeCell ref="CB59:CG59"/>
    <mergeCell ref="N4:S4"/>
    <mergeCell ref="T4:Y4"/>
    <mergeCell ref="AL59:AQ59"/>
    <mergeCell ref="AR59:AW59"/>
    <mergeCell ref="AX59:BC59"/>
    <mergeCell ref="BD59:BI59"/>
    <mergeCell ref="BJ59:BO59"/>
    <mergeCell ref="BP59:BU59"/>
    <mergeCell ref="AF53:AK53"/>
    <mergeCell ref="AL53:AQ53"/>
    <mergeCell ref="AR53:AW53"/>
    <mergeCell ref="AX53:BC53"/>
    <mergeCell ref="BD53:BI53"/>
    <mergeCell ref="BD52:BI52"/>
    <mergeCell ref="AG52:AK52"/>
    <mergeCell ref="AL52:AQ52"/>
    <mergeCell ref="AR52:AW52"/>
    <mergeCell ref="BD54:BI54"/>
    <mergeCell ref="AF55:AK55"/>
    <mergeCell ref="AX45:BC45"/>
    <mergeCell ref="BD55:BI55"/>
    <mergeCell ref="C54:G54"/>
    <mergeCell ref="H54:M54"/>
    <mergeCell ref="N54:S54"/>
    <mergeCell ref="T54:Y54"/>
    <mergeCell ref="Z54:AE54"/>
    <mergeCell ref="AF54:AK54"/>
    <mergeCell ref="AL54:AQ54"/>
    <mergeCell ref="CB52:CG52"/>
    <mergeCell ref="B52:G52"/>
    <mergeCell ref="H52:M52"/>
    <mergeCell ref="N52:S52"/>
    <mergeCell ref="T52:Y52"/>
    <mergeCell ref="Z52:AE52"/>
    <mergeCell ref="AF50:AF52"/>
    <mergeCell ref="CB51:CG51"/>
    <mergeCell ref="AX52:BC52"/>
    <mergeCell ref="B59:G59"/>
    <mergeCell ref="H59:M59"/>
    <mergeCell ref="N59:S59"/>
    <mergeCell ref="T59:Y59"/>
    <mergeCell ref="Z59:AE59"/>
    <mergeCell ref="AF59:AK59"/>
    <mergeCell ref="AR54:AW54"/>
    <mergeCell ref="AX54:BC54"/>
    <mergeCell ref="B53:G53"/>
    <mergeCell ref="H53:M53"/>
    <mergeCell ref="N53:S53"/>
    <mergeCell ref="T53:Y53"/>
    <mergeCell ref="Z53:AE53"/>
    <mergeCell ref="AL55:AQ55"/>
    <mergeCell ref="AR55:AW55"/>
    <mergeCell ref="AX55:BC55"/>
    <mergeCell ref="H51:M51"/>
    <mergeCell ref="N51:S51"/>
    <mergeCell ref="T51:Y51"/>
    <mergeCell ref="Z51:AE51"/>
    <mergeCell ref="C50:G50"/>
    <mergeCell ref="H50:M50"/>
    <mergeCell ref="N50:S50"/>
    <mergeCell ref="T50:Y50"/>
    <mergeCell ref="Z50:AE50"/>
    <mergeCell ref="B51:G51"/>
    <mergeCell ref="B37:B50"/>
    <mergeCell ref="Z37:AE37"/>
    <mergeCell ref="C43:G43"/>
    <mergeCell ref="N43:S43"/>
    <mergeCell ref="C46:G46"/>
    <mergeCell ref="H46:M46"/>
    <mergeCell ref="N46:S46"/>
    <mergeCell ref="T46:Y46"/>
    <mergeCell ref="Z46:AE46"/>
    <mergeCell ref="C44:G44"/>
    <mergeCell ref="H44:M44"/>
    <mergeCell ref="N44:S44"/>
    <mergeCell ref="T44:Y44"/>
    <mergeCell ref="T38:Y38"/>
    <mergeCell ref="AF48:AK49"/>
    <mergeCell ref="AH44:AK44"/>
    <mergeCell ref="AR51:AW51"/>
    <mergeCell ref="AX51:BC51"/>
    <mergeCell ref="BD51:BI51"/>
    <mergeCell ref="AR50:AW50"/>
    <mergeCell ref="AX50:BC50"/>
    <mergeCell ref="BD50:BI50"/>
    <mergeCell ref="AX49:BC49"/>
    <mergeCell ref="BD49:BI49"/>
    <mergeCell ref="AG51:AK51"/>
    <mergeCell ref="AL51:AQ51"/>
    <mergeCell ref="AG50:AK50"/>
    <mergeCell ref="AL50:AQ50"/>
    <mergeCell ref="AX46:BC46"/>
    <mergeCell ref="BD46:BI46"/>
    <mergeCell ref="CB48:CG48"/>
    <mergeCell ref="BP46:BU46"/>
    <mergeCell ref="BV46:CA46"/>
    <mergeCell ref="C47:G47"/>
    <mergeCell ref="H47:M47"/>
    <mergeCell ref="N47:S47"/>
    <mergeCell ref="T47:Y47"/>
    <mergeCell ref="Z47:AE47"/>
    <mergeCell ref="C49:G49"/>
    <mergeCell ref="H49:M49"/>
    <mergeCell ref="N49:S49"/>
    <mergeCell ref="T49:Y49"/>
    <mergeCell ref="Z49:AE49"/>
    <mergeCell ref="AL49:AQ49"/>
    <mergeCell ref="AR49:AW49"/>
    <mergeCell ref="C48:G48"/>
    <mergeCell ref="H48:M48"/>
    <mergeCell ref="N48:S48"/>
    <mergeCell ref="T48:Y48"/>
    <mergeCell ref="Z48:AE48"/>
    <mergeCell ref="AR46:AW46"/>
    <mergeCell ref="BK46:BO46"/>
    <mergeCell ref="AH46:AK46"/>
    <mergeCell ref="AL46:AQ46"/>
    <mergeCell ref="BP45:BU45"/>
    <mergeCell ref="BV45:CA45"/>
    <mergeCell ref="BP41:BU41"/>
    <mergeCell ref="BV41:CA41"/>
    <mergeCell ref="C42:G42"/>
    <mergeCell ref="H42:M42"/>
    <mergeCell ref="N42:S42"/>
    <mergeCell ref="T42:Y42"/>
    <mergeCell ref="Z42:AE42"/>
    <mergeCell ref="AG42:AK42"/>
    <mergeCell ref="AL42:AQ42"/>
    <mergeCell ref="AR42:AW42"/>
    <mergeCell ref="BP42:BU42"/>
    <mergeCell ref="BV42:CA42"/>
    <mergeCell ref="AR41:AW41"/>
    <mergeCell ref="AF40:AF46"/>
    <mergeCell ref="AG40:AK40"/>
    <mergeCell ref="AL40:AQ40"/>
    <mergeCell ref="AR40:AW40"/>
    <mergeCell ref="BJ40:BO40"/>
    <mergeCell ref="BK42:BO42"/>
    <mergeCell ref="BK43:BO43"/>
    <mergeCell ref="BK44:BO44"/>
    <mergeCell ref="H43:M43"/>
    <mergeCell ref="BJ39:CA39"/>
    <mergeCell ref="C40:G40"/>
    <mergeCell ref="H40:M40"/>
    <mergeCell ref="N40:S40"/>
    <mergeCell ref="T40:Y40"/>
    <mergeCell ref="Z40:AE40"/>
    <mergeCell ref="BP40:BU40"/>
    <mergeCell ref="BV40:CA40"/>
    <mergeCell ref="BV43:CA43"/>
    <mergeCell ref="AR39:AW39"/>
    <mergeCell ref="AX39:BC39"/>
    <mergeCell ref="AL41:AQ41"/>
    <mergeCell ref="AL39:AQ39"/>
    <mergeCell ref="BD39:BI39"/>
    <mergeCell ref="AX40:BC40"/>
    <mergeCell ref="BD40:BI40"/>
    <mergeCell ref="AX41:BC41"/>
    <mergeCell ref="BD41:BI41"/>
    <mergeCell ref="AX42:BC42"/>
    <mergeCell ref="BD42:BI42"/>
    <mergeCell ref="AX43:BC43"/>
    <mergeCell ref="BD43:BI43"/>
    <mergeCell ref="BV44:CA44"/>
    <mergeCell ref="AR44:AW44"/>
    <mergeCell ref="BP44:BU44"/>
    <mergeCell ref="T43:Y43"/>
    <mergeCell ref="Z43:AE43"/>
    <mergeCell ref="AH43:AK43"/>
    <mergeCell ref="AL43:AQ43"/>
    <mergeCell ref="AR43:AW43"/>
    <mergeCell ref="BP43:BU43"/>
    <mergeCell ref="AX44:BC44"/>
    <mergeCell ref="BD44:BI44"/>
    <mergeCell ref="H37:M37"/>
    <mergeCell ref="N37:S37"/>
    <mergeCell ref="T37:Y37"/>
    <mergeCell ref="C41:G41"/>
    <mergeCell ref="H41:M41"/>
    <mergeCell ref="N41:S41"/>
    <mergeCell ref="T41:Y41"/>
    <mergeCell ref="Z41:AE41"/>
    <mergeCell ref="AG41:AK41"/>
    <mergeCell ref="AF37:AK37"/>
    <mergeCell ref="AG38:AK38"/>
    <mergeCell ref="AG39:AK39"/>
    <mergeCell ref="C39:G39"/>
    <mergeCell ref="H39:M39"/>
    <mergeCell ref="N39:S39"/>
    <mergeCell ref="T39:Y39"/>
    <mergeCell ref="Z39:AE39"/>
    <mergeCell ref="C38:G38"/>
    <mergeCell ref="H38:M38"/>
    <mergeCell ref="N38:S38"/>
    <mergeCell ref="Z38:AE38"/>
    <mergeCell ref="BJ35:BO35"/>
    <mergeCell ref="BP35:BU35"/>
    <mergeCell ref="BJ38:BO38"/>
    <mergeCell ref="BP38:BU38"/>
    <mergeCell ref="BP37:BU37"/>
    <mergeCell ref="AF35:AK36"/>
    <mergeCell ref="AR36:AW36"/>
    <mergeCell ref="AX36:BC36"/>
    <mergeCell ref="BD36:BI36"/>
    <mergeCell ref="BJ36:BO36"/>
    <mergeCell ref="BP36:BU36"/>
    <mergeCell ref="AL36:AQ36"/>
    <mergeCell ref="AL35:AW35"/>
    <mergeCell ref="AX35:BI35"/>
    <mergeCell ref="AL37:AQ37"/>
    <mergeCell ref="AR37:AW37"/>
    <mergeCell ref="AX37:BC37"/>
    <mergeCell ref="BD37:BI37"/>
    <mergeCell ref="BJ37:BO37"/>
    <mergeCell ref="AX38:BC38"/>
    <mergeCell ref="BD38:BI38"/>
    <mergeCell ref="AR38:AW38"/>
    <mergeCell ref="AR33:AW33"/>
    <mergeCell ref="AX33:BC33"/>
    <mergeCell ref="BD33:BI33"/>
    <mergeCell ref="B34:AE34"/>
    <mergeCell ref="BJ34:BU34"/>
    <mergeCell ref="AR32:AW32"/>
    <mergeCell ref="AX32:BC32"/>
    <mergeCell ref="BD32:BI32"/>
    <mergeCell ref="B33:G33"/>
    <mergeCell ref="H33:M33"/>
    <mergeCell ref="N33:S33"/>
    <mergeCell ref="T33:Y33"/>
    <mergeCell ref="Z33:AE33"/>
    <mergeCell ref="AF33:AK33"/>
    <mergeCell ref="AL33:AQ33"/>
    <mergeCell ref="B32:G32"/>
    <mergeCell ref="H32:M32"/>
    <mergeCell ref="N32:S32"/>
    <mergeCell ref="T32:Y32"/>
    <mergeCell ref="Z32:AE32"/>
    <mergeCell ref="AF32:AK32"/>
    <mergeCell ref="AL32:AQ32"/>
    <mergeCell ref="AF31:AK31"/>
    <mergeCell ref="AL31:AQ31"/>
    <mergeCell ref="BD30:BI30"/>
    <mergeCell ref="BJ29:BO29"/>
    <mergeCell ref="BP29:BU29"/>
    <mergeCell ref="BV29:CA29"/>
    <mergeCell ref="CB29:CG29"/>
    <mergeCell ref="B31:G31"/>
    <mergeCell ref="H31:M31"/>
    <mergeCell ref="N31:S31"/>
    <mergeCell ref="T31:Y31"/>
    <mergeCell ref="Z31:AE31"/>
    <mergeCell ref="BP30:BU30"/>
    <mergeCell ref="BV30:CA30"/>
    <mergeCell ref="CB30:CG30"/>
    <mergeCell ref="AR31:AW31"/>
    <mergeCell ref="AX31:BC31"/>
    <mergeCell ref="BD31:BI31"/>
    <mergeCell ref="BJ30:BO30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CB27:CG27"/>
    <mergeCell ref="B29:G29"/>
    <mergeCell ref="H29:M29"/>
    <mergeCell ref="N29:S29"/>
    <mergeCell ref="T29:Y29"/>
    <mergeCell ref="Z29:AE29"/>
    <mergeCell ref="AF29:AK29"/>
    <mergeCell ref="AL29:AQ29"/>
    <mergeCell ref="CB28:CG28"/>
    <mergeCell ref="AR29:AW29"/>
    <mergeCell ref="AX29:BC29"/>
    <mergeCell ref="BD29:BI29"/>
    <mergeCell ref="BJ28:BO28"/>
    <mergeCell ref="BP28:BU28"/>
    <mergeCell ref="BV28:CA28"/>
    <mergeCell ref="B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BD27:BI27"/>
    <mergeCell ref="BJ26:BO27"/>
    <mergeCell ref="BD28:BI28"/>
    <mergeCell ref="BP27:BU27"/>
    <mergeCell ref="BV27:CA27"/>
    <mergeCell ref="BD26:BI26"/>
    <mergeCell ref="BP26:CG26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CB24:CG24"/>
    <mergeCell ref="AX23:BC23"/>
    <mergeCell ref="BD23:BI23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X26:BC26"/>
    <mergeCell ref="BL25:BO25"/>
    <mergeCell ref="BP25:BU25"/>
    <mergeCell ref="BV25:CA25"/>
    <mergeCell ref="CB25:CG25"/>
    <mergeCell ref="B25:G25"/>
    <mergeCell ref="H25:M25"/>
    <mergeCell ref="N25:S25"/>
    <mergeCell ref="T25:Y25"/>
    <mergeCell ref="Z25:AE25"/>
    <mergeCell ref="AF25:AK25"/>
    <mergeCell ref="AL25:AQ25"/>
    <mergeCell ref="AR25:AW25"/>
    <mergeCell ref="AX24:BC24"/>
    <mergeCell ref="BD24:BI24"/>
    <mergeCell ref="BJ23:BK25"/>
    <mergeCell ref="BL23:BO23"/>
    <mergeCell ref="BP23:BU23"/>
    <mergeCell ref="BV23:CA23"/>
    <mergeCell ref="BD25:BI25"/>
    <mergeCell ref="BL24:BO24"/>
    <mergeCell ref="BP24:BU24"/>
    <mergeCell ref="BV24:CA24"/>
    <mergeCell ref="AX25:BC25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L23:AQ23"/>
    <mergeCell ref="AR23:AW23"/>
    <mergeCell ref="BL21:BO21"/>
    <mergeCell ref="AR20:AW20"/>
    <mergeCell ref="BV22:CA22"/>
    <mergeCell ref="CB22:CG22"/>
    <mergeCell ref="C20:G20"/>
    <mergeCell ref="H20:M20"/>
    <mergeCell ref="BL22:BO22"/>
    <mergeCell ref="BP22:BU22"/>
    <mergeCell ref="C23:G23"/>
    <mergeCell ref="H23:M23"/>
    <mergeCell ref="N23:S23"/>
    <mergeCell ref="T23:Y23"/>
    <mergeCell ref="Z23:AE23"/>
    <mergeCell ref="AF23:AK23"/>
    <mergeCell ref="CB23:CG23"/>
    <mergeCell ref="AX21:BC21"/>
    <mergeCell ref="BD21:BI21"/>
    <mergeCell ref="BL20:BO20"/>
    <mergeCell ref="BP20:BU20"/>
    <mergeCell ref="AX22:BC22"/>
    <mergeCell ref="BD22:BI22"/>
    <mergeCell ref="BV20:CA20"/>
    <mergeCell ref="CB20:CG20"/>
    <mergeCell ref="B22:G22"/>
    <mergeCell ref="H22:M22"/>
    <mergeCell ref="N22:S22"/>
    <mergeCell ref="T22:Y22"/>
    <mergeCell ref="Z22:AE22"/>
    <mergeCell ref="AF22:AK22"/>
    <mergeCell ref="AL22:AQ22"/>
    <mergeCell ref="AR22:AW22"/>
    <mergeCell ref="C21:G21"/>
    <mergeCell ref="H21:M21"/>
    <mergeCell ref="N21:S21"/>
    <mergeCell ref="T21:Y21"/>
    <mergeCell ref="Z21:AE21"/>
    <mergeCell ref="AF21:AK21"/>
    <mergeCell ref="AL21:AQ21"/>
    <mergeCell ref="AR21:AW21"/>
    <mergeCell ref="C19:G19"/>
    <mergeCell ref="BP21:BU21"/>
    <mergeCell ref="BV21:CA21"/>
    <mergeCell ref="CB21:CG21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N20:S20"/>
    <mergeCell ref="T20:Y20"/>
    <mergeCell ref="Z20:AE20"/>
    <mergeCell ref="AF20:AK20"/>
    <mergeCell ref="AL20:AQ20"/>
    <mergeCell ref="BV19:CA19"/>
    <mergeCell ref="CB19:CG19"/>
    <mergeCell ref="AX20:BC20"/>
    <mergeCell ref="BD20:BI20"/>
    <mergeCell ref="BJ19:BK22"/>
    <mergeCell ref="BL19:BO19"/>
    <mergeCell ref="BP19:BU19"/>
    <mergeCell ref="AL17:AQ17"/>
    <mergeCell ref="AR17:AW17"/>
    <mergeCell ref="AX17:BC17"/>
    <mergeCell ref="BD17:BI17"/>
    <mergeCell ref="BJ16:CG16"/>
    <mergeCell ref="C18:G18"/>
    <mergeCell ref="H18:M18"/>
    <mergeCell ref="N18:S18"/>
    <mergeCell ref="T18:Y18"/>
    <mergeCell ref="Z18:AE18"/>
    <mergeCell ref="C17:G17"/>
    <mergeCell ref="H17:M17"/>
    <mergeCell ref="N17:S17"/>
    <mergeCell ref="T17:Y17"/>
    <mergeCell ref="Z17:AE17"/>
    <mergeCell ref="AF17:AK17"/>
    <mergeCell ref="BP17:CG17"/>
    <mergeCell ref="AF18:AK18"/>
    <mergeCell ref="AL18:AQ18"/>
    <mergeCell ref="AR18:AW18"/>
    <mergeCell ref="AX18:BC18"/>
    <mergeCell ref="BD18:BI18"/>
    <mergeCell ref="BJ17:BO18"/>
    <mergeCell ref="BP18:BU18"/>
    <mergeCell ref="BV18:CA18"/>
    <mergeCell ref="CB18:CG18"/>
    <mergeCell ref="BD19:BI19"/>
    <mergeCell ref="AX16:BC16"/>
    <mergeCell ref="BD16:BI16"/>
    <mergeCell ref="BV15:CA15"/>
    <mergeCell ref="CB15:CG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L15:AQ15"/>
    <mergeCell ref="AR15:AW15"/>
    <mergeCell ref="AX15:BC15"/>
    <mergeCell ref="BD15:BI15"/>
    <mergeCell ref="BJ15:BO15"/>
    <mergeCell ref="BP15:BU15"/>
    <mergeCell ref="C15:G15"/>
    <mergeCell ref="H15:M15"/>
    <mergeCell ref="N15:S15"/>
    <mergeCell ref="T15:Y15"/>
    <mergeCell ref="Z15:AE15"/>
    <mergeCell ref="AF15:AK15"/>
    <mergeCell ref="AX14:BC14"/>
    <mergeCell ref="BD14:BI14"/>
    <mergeCell ref="BJ14:BO14"/>
    <mergeCell ref="BP14:BU14"/>
    <mergeCell ref="BV14:CA14"/>
    <mergeCell ref="CB14:CG14"/>
    <mergeCell ref="BV13:CA13"/>
    <mergeCell ref="CB13:CG13"/>
    <mergeCell ref="AX13:BC13"/>
    <mergeCell ref="BD13:BI13"/>
    <mergeCell ref="BP13:BU13"/>
    <mergeCell ref="BJ13:BO13"/>
    <mergeCell ref="C14:G14"/>
    <mergeCell ref="H14:M14"/>
    <mergeCell ref="N14:S14"/>
    <mergeCell ref="T14:Y14"/>
    <mergeCell ref="Z14:AE14"/>
    <mergeCell ref="AF14:AK14"/>
    <mergeCell ref="AL14:AQ14"/>
    <mergeCell ref="AR14:AW14"/>
    <mergeCell ref="AL13:AQ13"/>
    <mergeCell ref="AR13:AW13"/>
    <mergeCell ref="C13:G13"/>
    <mergeCell ref="H13:M13"/>
    <mergeCell ref="N13:S13"/>
    <mergeCell ref="T13:Y13"/>
    <mergeCell ref="Z13:AE13"/>
    <mergeCell ref="AF13:AK13"/>
    <mergeCell ref="AX12:BC12"/>
    <mergeCell ref="BD12:BI12"/>
    <mergeCell ref="BJ12:BO12"/>
    <mergeCell ref="BP12:BU12"/>
    <mergeCell ref="BV12:CA12"/>
    <mergeCell ref="CB12:CG12"/>
    <mergeCell ref="BV11:CA11"/>
    <mergeCell ref="CB11:CG11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L11:AQ11"/>
    <mergeCell ref="AR11:AW11"/>
    <mergeCell ref="AX11:BC11"/>
    <mergeCell ref="BD11:BI11"/>
    <mergeCell ref="BJ11:BO11"/>
    <mergeCell ref="BP11:BU11"/>
    <mergeCell ref="C11:G11"/>
    <mergeCell ref="H11:M11"/>
    <mergeCell ref="B9:G9"/>
    <mergeCell ref="H9:M9"/>
    <mergeCell ref="N9:S9"/>
    <mergeCell ref="T9:Y9"/>
    <mergeCell ref="Z9:AE9"/>
    <mergeCell ref="AF9:AK9"/>
    <mergeCell ref="AL9:AQ9"/>
    <mergeCell ref="AR9:AW9"/>
    <mergeCell ref="BJ47:CG47"/>
    <mergeCell ref="C10:G10"/>
    <mergeCell ref="N11:S11"/>
    <mergeCell ref="T11:Y11"/>
    <mergeCell ref="Z11:AE11"/>
    <mergeCell ref="AF11:AK11"/>
    <mergeCell ref="AX10:BC10"/>
    <mergeCell ref="BD10:BI10"/>
    <mergeCell ref="BJ10:BO10"/>
    <mergeCell ref="BP10:BU10"/>
    <mergeCell ref="BV10:CA10"/>
    <mergeCell ref="N10:S10"/>
    <mergeCell ref="T10:Y10"/>
    <mergeCell ref="Z10:AE10"/>
    <mergeCell ref="AF10:AK10"/>
    <mergeCell ref="AL10:AQ10"/>
    <mergeCell ref="CB10:CG10"/>
    <mergeCell ref="BD9:BI9"/>
    <mergeCell ref="H4:M4"/>
    <mergeCell ref="BJ9:CG9"/>
    <mergeCell ref="AX9:BC9"/>
    <mergeCell ref="H10:M10"/>
    <mergeCell ref="BK5:BO5"/>
    <mergeCell ref="I5:M5"/>
    <mergeCell ref="O5:S5"/>
    <mergeCell ref="U5:Y5"/>
    <mergeCell ref="AY5:BC5"/>
    <mergeCell ref="BE5:BI5"/>
    <mergeCell ref="BP5:BU5"/>
    <mergeCell ref="BV5:CA5"/>
    <mergeCell ref="CB5:CG5"/>
    <mergeCell ref="CB4:CG4"/>
    <mergeCell ref="AR4:AW4"/>
    <mergeCell ref="AX4:BC4"/>
    <mergeCell ref="BD4:BI4"/>
    <mergeCell ref="BJ4:BO4"/>
    <mergeCell ref="BP4:BU4"/>
    <mergeCell ref="BV4:CA4"/>
    <mergeCell ref="AR10:AW10"/>
    <mergeCell ref="F2:CG2"/>
    <mergeCell ref="B7:G8"/>
    <mergeCell ref="Z4:AE4"/>
    <mergeCell ref="AF4:AK4"/>
    <mergeCell ref="AL4:AQ4"/>
    <mergeCell ref="Z8:AE8"/>
    <mergeCell ref="AF8:AK8"/>
    <mergeCell ref="AL8:AQ8"/>
    <mergeCell ref="AR8:AW8"/>
    <mergeCell ref="AA5:AE5"/>
    <mergeCell ref="AG5:AK5"/>
    <mergeCell ref="AL5:AQ5"/>
    <mergeCell ref="AR5:AW5"/>
    <mergeCell ref="B6:BC6"/>
    <mergeCell ref="H8:M8"/>
    <mergeCell ref="N8:S8"/>
    <mergeCell ref="T8:Y8"/>
    <mergeCell ref="AX8:BC8"/>
    <mergeCell ref="H7:AE7"/>
    <mergeCell ref="AF7:BC7"/>
    <mergeCell ref="B5:G5"/>
    <mergeCell ref="B4:G4"/>
    <mergeCell ref="BD7:BI8"/>
    <mergeCell ref="B2:E2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7"/>
  <sheetViews>
    <sheetView showGridLines="0" view="pageBreakPreview" zoomScale="130" zoomScaleNormal="130" zoomScaleSheetLayoutView="130" zoomScalePageLayoutView="85" workbookViewId="0"/>
  </sheetViews>
  <sheetFormatPr defaultColWidth="8" defaultRowHeight="12"/>
  <cols>
    <col min="1" max="1" width="2.625" style="26" customWidth="1"/>
    <col min="2" max="85" width="1.625" style="26" customWidth="1"/>
    <col min="86" max="86" width="0.125" style="26" customWidth="1"/>
    <col min="87" max="87" width="2.875" style="26" customWidth="1"/>
    <col min="88" max="93" width="2.375" style="26" customWidth="1"/>
    <col min="94" max="16384" width="8" style="26"/>
  </cols>
  <sheetData>
    <row r="1" spans="1:87" ht="13.7" customHeight="1">
      <c r="B1" s="27" t="str">
        <f>B5&amp;"年産　農業経営統計調査（小麦・大豆生産費統計（組織法人経営体））　集計結果表№２"</f>
        <v>年産　農業経営統計調査（小麦・大豆生産費統計（組織法人経営体））　集計結果表№２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</row>
    <row r="2" spans="1:87" ht="9.75" customHeight="1" thickBot="1">
      <c r="B2" s="417" t="s">
        <v>345</v>
      </c>
      <c r="C2" s="417"/>
      <c r="D2" s="417"/>
      <c r="E2" s="417"/>
      <c r="F2" s="729" t="str">
        <f>IF('No1'!F2&lt;&gt;"",'No1'!F2,"")</f>
        <v/>
      </c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  <c r="AZ2" s="729"/>
      <c r="BA2" s="729"/>
      <c r="BB2" s="729"/>
      <c r="BC2" s="729"/>
      <c r="BD2" s="729"/>
      <c r="BE2" s="729"/>
      <c r="BF2" s="729"/>
      <c r="BG2" s="729"/>
      <c r="BH2" s="729"/>
      <c r="BI2" s="729"/>
      <c r="BJ2" s="729"/>
      <c r="BK2" s="729"/>
      <c r="BL2" s="729"/>
      <c r="BM2" s="729"/>
      <c r="BN2" s="729"/>
      <c r="BO2" s="729"/>
      <c r="BP2" s="729"/>
      <c r="BQ2" s="729"/>
      <c r="BR2" s="729"/>
      <c r="BS2" s="729"/>
      <c r="BT2" s="729"/>
      <c r="BU2" s="729"/>
      <c r="BV2" s="729"/>
      <c r="BW2" s="729"/>
      <c r="BX2" s="729"/>
      <c r="BY2" s="729"/>
      <c r="BZ2" s="729"/>
      <c r="CA2" s="729"/>
      <c r="CB2" s="729"/>
      <c r="CC2" s="729"/>
      <c r="CD2" s="729"/>
      <c r="CE2" s="729"/>
      <c r="CF2" s="729"/>
      <c r="CG2" s="729"/>
    </row>
    <row r="3" spans="1:87" ht="9.75" customHeight="1" thickBot="1">
      <c r="A3" s="30"/>
      <c r="B3" s="31" t="s">
        <v>177</v>
      </c>
      <c r="C3" s="32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4"/>
      <c r="AS3" s="35"/>
      <c r="AT3" s="35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6"/>
    </row>
    <row r="4" spans="1:87" ht="9.75" customHeight="1">
      <c r="A4" s="30">
        <v>1</v>
      </c>
      <c r="B4" s="149" t="s">
        <v>0</v>
      </c>
      <c r="C4" s="150"/>
      <c r="D4" s="150"/>
      <c r="E4" s="150"/>
      <c r="F4" s="150"/>
      <c r="G4" s="150"/>
      <c r="H4" s="150" t="s">
        <v>172</v>
      </c>
      <c r="I4" s="150"/>
      <c r="J4" s="150"/>
      <c r="K4" s="150"/>
      <c r="L4" s="150"/>
      <c r="M4" s="150"/>
      <c r="N4" s="150" t="s">
        <v>280</v>
      </c>
      <c r="O4" s="150"/>
      <c r="P4" s="150"/>
      <c r="Q4" s="150"/>
      <c r="R4" s="150"/>
      <c r="S4" s="123"/>
      <c r="T4" s="150" t="s">
        <v>80</v>
      </c>
      <c r="U4" s="150"/>
      <c r="V4" s="150"/>
      <c r="W4" s="150"/>
      <c r="X4" s="150"/>
      <c r="Y4" s="123"/>
      <c r="Z4" s="123" t="s">
        <v>281</v>
      </c>
      <c r="AA4" s="124"/>
      <c r="AB4" s="124"/>
      <c r="AC4" s="124"/>
      <c r="AD4" s="124"/>
      <c r="AE4" s="125"/>
      <c r="AF4" s="123" t="s">
        <v>202</v>
      </c>
      <c r="AG4" s="124"/>
      <c r="AH4" s="124"/>
      <c r="AI4" s="124"/>
      <c r="AJ4" s="124"/>
      <c r="AK4" s="125"/>
      <c r="AL4" s="123" t="s">
        <v>271</v>
      </c>
      <c r="AM4" s="124"/>
      <c r="AN4" s="124"/>
      <c r="AO4" s="124"/>
      <c r="AP4" s="124"/>
      <c r="AQ4" s="125"/>
      <c r="AR4" s="150" t="s">
        <v>282</v>
      </c>
      <c r="AS4" s="150"/>
      <c r="AT4" s="150"/>
      <c r="AU4" s="150"/>
      <c r="AV4" s="150"/>
      <c r="AW4" s="150"/>
      <c r="AX4" s="150" t="s">
        <v>283</v>
      </c>
      <c r="AY4" s="150"/>
      <c r="AZ4" s="150"/>
      <c r="BA4" s="150"/>
      <c r="BB4" s="150"/>
      <c r="BC4" s="150"/>
      <c r="BD4" s="171" t="s">
        <v>268</v>
      </c>
      <c r="BE4" s="171"/>
      <c r="BF4" s="171"/>
      <c r="BG4" s="171"/>
      <c r="BH4" s="171"/>
      <c r="BI4" s="171"/>
      <c r="BJ4" s="123" t="s">
        <v>275</v>
      </c>
      <c r="BK4" s="124"/>
      <c r="BL4" s="124"/>
      <c r="BM4" s="124"/>
      <c r="BN4" s="124"/>
      <c r="BO4" s="125"/>
      <c r="BP4" s="541"/>
      <c r="BQ4" s="541"/>
      <c r="BR4" s="541"/>
      <c r="BS4" s="541"/>
      <c r="BT4" s="541"/>
      <c r="BU4" s="541"/>
      <c r="BV4" s="541"/>
      <c r="BW4" s="541"/>
      <c r="BX4" s="541"/>
      <c r="BY4" s="541"/>
      <c r="BZ4" s="541"/>
      <c r="CA4" s="541"/>
      <c r="CB4" s="541"/>
      <c r="CC4" s="541"/>
      <c r="CD4" s="541"/>
      <c r="CE4" s="541"/>
      <c r="CF4" s="541"/>
      <c r="CG4" s="542"/>
    </row>
    <row r="5" spans="1:87" ht="9.75" customHeight="1" thickBot="1">
      <c r="A5" s="30">
        <v>2</v>
      </c>
      <c r="B5" s="146" t="str">
        <f>IF('No1'!B5&lt;&gt;"",'No1'!B5,"")</f>
        <v/>
      </c>
      <c r="C5" s="147"/>
      <c r="D5" s="147"/>
      <c r="E5" s="147"/>
      <c r="F5" s="147"/>
      <c r="G5" s="148"/>
      <c r="H5" s="38" t="str">
        <f>IF('No1'!H5&lt;&gt;"",'No1'!H5,"")</f>
        <v/>
      </c>
      <c r="I5" s="129" t="str">
        <f>'No1'!I5</f>
        <v/>
      </c>
      <c r="J5" s="129"/>
      <c r="K5" s="129"/>
      <c r="L5" s="129"/>
      <c r="M5" s="130"/>
      <c r="N5" s="40" t="str">
        <f>IF('No1'!N5&lt;&gt;"",'No1'!N5,"")</f>
        <v/>
      </c>
      <c r="O5" s="129" t="str">
        <f>'No1'!O5</f>
        <v/>
      </c>
      <c r="P5" s="129"/>
      <c r="Q5" s="129"/>
      <c r="R5" s="129"/>
      <c r="S5" s="130"/>
      <c r="T5" s="78" t="str">
        <f>IF('No1'!T5&lt;&gt;"",'No1'!T5,"")</f>
        <v/>
      </c>
      <c r="U5" s="129" t="str">
        <f>'No1'!U5</f>
        <v/>
      </c>
      <c r="V5" s="129"/>
      <c r="W5" s="129"/>
      <c r="X5" s="129"/>
      <c r="Y5" s="130"/>
      <c r="Z5" s="78" t="str">
        <f>IF('No1'!Z5&lt;&gt;"",'No1'!Z5,"")</f>
        <v/>
      </c>
      <c r="AA5" s="129" t="str">
        <f>'No1'!AA5</f>
        <v/>
      </c>
      <c r="AB5" s="129"/>
      <c r="AC5" s="129"/>
      <c r="AD5" s="129"/>
      <c r="AE5" s="130"/>
      <c r="AF5" s="40" t="str">
        <f>IF('No1'!AF5&lt;&gt;"",'No1'!AF5,"")</f>
        <v/>
      </c>
      <c r="AG5" s="129" t="str">
        <f>'No1'!AG5</f>
        <v/>
      </c>
      <c r="AH5" s="129"/>
      <c r="AI5" s="129"/>
      <c r="AJ5" s="129"/>
      <c r="AK5" s="130"/>
      <c r="AL5" s="131" t="str">
        <f>IF('No1'!AL5&lt;&gt;"",'No1'!AL5,"")</f>
        <v/>
      </c>
      <c r="AM5" s="132"/>
      <c r="AN5" s="132"/>
      <c r="AO5" s="132"/>
      <c r="AP5" s="132"/>
      <c r="AQ5" s="133"/>
      <c r="AR5" s="134" t="str">
        <f>IF('No1'!AR5&lt;&gt;"",'No1'!AR5,"")</f>
        <v/>
      </c>
      <c r="AS5" s="135"/>
      <c r="AT5" s="135"/>
      <c r="AU5" s="135"/>
      <c r="AV5" s="135"/>
      <c r="AW5" s="136"/>
      <c r="AX5" s="41" t="str">
        <f>IF('No1'!AX5&lt;&gt;"",'No1'!AX5,"")</f>
        <v/>
      </c>
      <c r="AY5" s="129" t="str">
        <f>'No1'!AY5</f>
        <v/>
      </c>
      <c r="AZ5" s="129"/>
      <c r="BA5" s="129"/>
      <c r="BB5" s="129"/>
      <c r="BC5" s="130"/>
      <c r="BD5" s="115" t="str">
        <f>IF('No1'!BD5&lt;&gt;"",'No1'!BD5,"")</f>
        <v/>
      </c>
      <c r="BE5" s="129" t="str">
        <f>'No1'!BE5</f>
        <v/>
      </c>
      <c r="BF5" s="129"/>
      <c r="BG5" s="129"/>
      <c r="BH5" s="129"/>
      <c r="BI5" s="130"/>
      <c r="BJ5" s="41" t="str">
        <f>IF('No1'!BJ5&lt;&gt;"",'No1'!BJ5,"")</f>
        <v/>
      </c>
      <c r="BK5" s="129" t="str">
        <f>'No1'!BK5</f>
        <v/>
      </c>
      <c r="BL5" s="129"/>
      <c r="BM5" s="129"/>
      <c r="BN5" s="129"/>
      <c r="BO5" s="130"/>
      <c r="BP5" s="543"/>
      <c r="BQ5" s="543"/>
      <c r="BR5" s="543"/>
      <c r="BS5" s="543"/>
      <c r="BT5" s="543"/>
      <c r="BU5" s="543"/>
      <c r="BV5" s="543"/>
      <c r="BW5" s="543"/>
      <c r="BX5" s="543"/>
      <c r="BY5" s="543"/>
      <c r="BZ5" s="543"/>
      <c r="CA5" s="543"/>
      <c r="CB5" s="543"/>
      <c r="CC5" s="543"/>
      <c r="CD5" s="543"/>
      <c r="CE5" s="543"/>
      <c r="CF5" s="543"/>
      <c r="CG5" s="544"/>
    </row>
    <row r="6" spans="1:87" ht="9.75" customHeight="1">
      <c r="A6" s="30">
        <v>3</v>
      </c>
      <c r="B6" s="56" t="s">
        <v>292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  <c r="N6" s="30"/>
      <c r="O6" s="30"/>
      <c r="P6" s="30"/>
      <c r="Q6" s="30"/>
      <c r="R6" s="30"/>
      <c r="S6" s="30"/>
      <c r="AF6" s="137" t="s">
        <v>293</v>
      </c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680"/>
      <c r="BJ6" s="137" t="s">
        <v>294</v>
      </c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  <c r="CB6" s="138"/>
      <c r="CC6" s="138"/>
      <c r="CD6" s="138"/>
      <c r="CE6" s="138"/>
      <c r="CF6" s="138"/>
      <c r="CG6" s="138"/>
      <c r="CH6" s="114"/>
      <c r="CI6" s="49"/>
    </row>
    <row r="7" spans="1:87" ht="9.75" customHeight="1">
      <c r="A7" s="30">
        <v>4</v>
      </c>
      <c r="B7" s="552"/>
      <c r="C7" s="553"/>
      <c r="D7" s="553"/>
      <c r="E7" s="553"/>
      <c r="F7" s="553"/>
      <c r="G7" s="553"/>
      <c r="H7" s="554" t="s">
        <v>6</v>
      </c>
      <c r="I7" s="555"/>
      <c r="J7" s="555"/>
      <c r="K7" s="555"/>
      <c r="L7" s="555"/>
      <c r="M7" s="556"/>
      <c r="N7" s="30"/>
      <c r="O7" s="30"/>
      <c r="P7" s="30"/>
      <c r="Q7" s="30"/>
      <c r="R7" s="30"/>
      <c r="S7" s="30"/>
      <c r="AF7" s="681"/>
      <c r="AG7" s="682"/>
      <c r="AH7" s="682"/>
      <c r="AI7" s="682"/>
      <c r="AJ7" s="682"/>
      <c r="AK7" s="682"/>
      <c r="AL7" s="682"/>
      <c r="AM7" s="682"/>
      <c r="AN7" s="682"/>
      <c r="AO7" s="682"/>
      <c r="AP7" s="682"/>
      <c r="AQ7" s="683"/>
      <c r="AR7" s="684"/>
      <c r="AS7" s="682"/>
      <c r="AT7" s="682"/>
      <c r="AU7" s="682"/>
      <c r="AV7" s="682"/>
      <c r="AW7" s="682"/>
      <c r="AX7" s="685" t="s">
        <v>174</v>
      </c>
      <c r="AY7" s="686"/>
      <c r="AZ7" s="686"/>
      <c r="BA7" s="686"/>
      <c r="BB7" s="686"/>
      <c r="BC7" s="686"/>
      <c r="BD7" s="687" t="s">
        <v>6</v>
      </c>
      <c r="BE7" s="686"/>
      <c r="BF7" s="686"/>
      <c r="BG7" s="686"/>
      <c r="BH7" s="686"/>
      <c r="BI7" s="688"/>
      <c r="BJ7" s="547" t="s">
        <v>168</v>
      </c>
      <c r="BK7" s="548"/>
      <c r="BL7" s="548"/>
      <c r="BM7" s="548"/>
      <c r="BN7" s="548"/>
      <c r="BO7" s="549"/>
      <c r="BP7" s="143" t="s">
        <v>183</v>
      </c>
      <c r="BQ7" s="144"/>
      <c r="BR7" s="144"/>
      <c r="BS7" s="144"/>
      <c r="BT7" s="144"/>
      <c r="BU7" s="144"/>
      <c r="BV7" s="144"/>
      <c r="BW7" s="144"/>
      <c r="BX7" s="144"/>
      <c r="BY7" s="144"/>
      <c r="BZ7" s="144"/>
      <c r="CA7" s="144"/>
      <c r="CB7" s="144"/>
      <c r="CC7" s="144"/>
      <c r="CD7" s="144"/>
      <c r="CE7" s="144"/>
      <c r="CF7" s="144"/>
      <c r="CG7" s="145"/>
      <c r="CH7" s="49"/>
      <c r="CI7" s="49"/>
    </row>
    <row r="8" spans="1:87" ht="9.75" customHeight="1">
      <c r="A8" s="30">
        <v>5</v>
      </c>
      <c r="B8" s="557" t="s">
        <v>4</v>
      </c>
      <c r="C8" s="558"/>
      <c r="D8" s="558"/>
      <c r="E8" s="558"/>
      <c r="F8" s="558"/>
      <c r="G8" s="559"/>
      <c r="H8" s="176"/>
      <c r="I8" s="177"/>
      <c r="J8" s="177"/>
      <c r="K8" s="177"/>
      <c r="L8" s="177"/>
      <c r="M8" s="198"/>
      <c r="N8" s="30"/>
      <c r="O8" s="30"/>
      <c r="P8" s="30"/>
      <c r="Q8" s="30"/>
      <c r="R8" s="30"/>
      <c r="S8" s="30"/>
      <c r="AF8" s="604" t="s">
        <v>123</v>
      </c>
      <c r="AG8" s="689"/>
      <c r="AH8" s="174" t="s">
        <v>201</v>
      </c>
      <c r="AI8" s="174"/>
      <c r="AJ8" s="174"/>
      <c r="AK8" s="174"/>
      <c r="AL8" s="174"/>
      <c r="AM8" s="174"/>
      <c r="AN8" s="174"/>
      <c r="AO8" s="174"/>
      <c r="AP8" s="174"/>
      <c r="AQ8" s="546"/>
      <c r="AR8" s="690"/>
      <c r="AS8" s="691"/>
      <c r="AT8" s="691"/>
      <c r="AU8" s="691"/>
      <c r="AV8" s="691"/>
      <c r="AW8" s="691"/>
      <c r="AX8" s="197"/>
      <c r="AY8" s="692"/>
      <c r="AZ8" s="692"/>
      <c r="BA8" s="692"/>
      <c r="BB8" s="692"/>
      <c r="BC8" s="693"/>
      <c r="BD8" s="176"/>
      <c r="BE8" s="694"/>
      <c r="BF8" s="694"/>
      <c r="BG8" s="694"/>
      <c r="BH8" s="694"/>
      <c r="BI8" s="695"/>
      <c r="BJ8" s="550"/>
      <c r="BK8" s="155"/>
      <c r="BL8" s="155"/>
      <c r="BM8" s="155"/>
      <c r="BN8" s="155"/>
      <c r="BO8" s="551"/>
      <c r="BP8" s="128" t="s">
        <v>11</v>
      </c>
      <c r="BQ8" s="126"/>
      <c r="BR8" s="126"/>
      <c r="BS8" s="126"/>
      <c r="BT8" s="126"/>
      <c r="BU8" s="126"/>
      <c r="BV8" s="126" t="s">
        <v>10</v>
      </c>
      <c r="BW8" s="126"/>
      <c r="BX8" s="126"/>
      <c r="BY8" s="126"/>
      <c r="BZ8" s="126"/>
      <c r="CA8" s="126"/>
      <c r="CB8" s="126" t="s">
        <v>92</v>
      </c>
      <c r="CC8" s="126"/>
      <c r="CD8" s="126"/>
      <c r="CE8" s="126"/>
      <c r="CF8" s="126"/>
      <c r="CG8" s="141"/>
      <c r="CH8" s="49"/>
      <c r="CI8" s="49"/>
    </row>
    <row r="9" spans="1:87" ht="9.75" customHeight="1">
      <c r="A9" s="30">
        <v>6</v>
      </c>
      <c r="B9" s="240" t="s">
        <v>101</v>
      </c>
      <c r="C9" s="182"/>
      <c r="D9" s="182"/>
      <c r="E9" s="182"/>
      <c r="F9" s="182"/>
      <c r="G9" s="545"/>
      <c r="H9" s="186"/>
      <c r="I9" s="184"/>
      <c r="J9" s="184"/>
      <c r="K9" s="184"/>
      <c r="L9" s="184"/>
      <c r="M9" s="187"/>
      <c r="N9" s="30"/>
      <c r="O9" s="30"/>
      <c r="P9" s="30"/>
      <c r="Q9" s="30"/>
      <c r="R9" s="30"/>
      <c r="S9" s="30"/>
      <c r="AF9" s="604"/>
      <c r="AG9" s="689"/>
      <c r="AH9" s="182" t="s">
        <v>122</v>
      </c>
      <c r="AI9" s="182"/>
      <c r="AJ9" s="182"/>
      <c r="AK9" s="182"/>
      <c r="AL9" s="182"/>
      <c r="AM9" s="182"/>
      <c r="AN9" s="182"/>
      <c r="AO9" s="182"/>
      <c r="AP9" s="182"/>
      <c r="AQ9" s="545"/>
      <c r="AR9" s="561"/>
      <c r="AS9" s="562"/>
      <c r="AT9" s="562"/>
      <c r="AU9" s="562"/>
      <c r="AV9" s="562"/>
      <c r="AW9" s="562"/>
      <c r="AX9" s="196"/>
      <c r="AY9" s="196"/>
      <c r="AZ9" s="196"/>
      <c r="BA9" s="196"/>
      <c r="BB9" s="196"/>
      <c r="BC9" s="524"/>
      <c r="BD9" s="186"/>
      <c r="BE9" s="184"/>
      <c r="BF9" s="184"/>
      <c r="BG9" s="184"/>
      <c r="BH9" s="184"/>
      <c r="BI9" s="187"/>
      <c r="BJ9" s="566" t="s">
        <v>9</v>
      </c>
      <c r="BK9" s="560" t="s">
        <v>91</v>
      </c>
      <c r="BL9" s="174" t="s">
        <v>134</v>
      </c>
      <c r="BM9" s="174"/>
      <c r="BN9" s="174"/>
      <c r="BO9" s="546"/>
      <c r="BP9" s="202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62"/>
      <c r="CC9" s="162"/>
      <c r="CD9" s="162"/>
      <c r="CE9" s="162"/>
      <c r="CF9" s="162"/>
      <c r="CG9" s="163"/>
      <c r="CH9" s="49"/>
    </row>
    <row r="10" spans="1:87" ht="9.75" customHeight="1">
      <c r="A10" s="30">
        <v>7</v>
      </c>
      <c r="B10" s="240" t="s">
        <v>99</v>
      </c>
      <c r="C10" s="182"/>
      <c r="D10" s="182"/>
      <c r="E10" s="182"/>
      <c r="F10" s="182"/>
      <c r="G10" s="545"/>
      <c r="H10" s="186"/>
      <c r="I10" s="184"/>
      <c r="J10" s="184"/>
      <c r="K10" s="184"/>
      <c r="L10" s="184"/>
      <c r="M10" s="187"/>
      <c r="N10" s="30"/>
      <c r="O10" s="30"/>
      <c r="P10" s="30"/>
      <c r="Q10" s="30"/>
      <c r="R10" s="30"/>
      <c r="S10" s="30"/>
      <c r="AF10" s="604"/>
      <c r="AG10" s="689"/>
      <c r="AH10" s="182" t="s">
        <v>121</v>
      </c>
      <c r="AI10" s="182"/>
      <c r="AJ10" s="182"/>
      <c r="AK10" s="182"/>
      <c r="AL10" s="182"/>
      <c r="AM10" s="182"/>
      <c r="AN10" s="182"/>
      <c r="AO10" s="182"/>
      <c r="AP10" s="182"/>
      <c r="AQ10" s="545"/>
      <c r="AR10" s="561"/>
      <c r="AS10" s="562"/>
      <c r="AT10" s="562"/>
      <c r="AU10" s="562"/>
      <c r="AV10" s="562"/>
      <c r="AW10" s="562"/>
      <c r="AX10" s="196"/>
      <c r="AY10" s="196"/>
      <c r="AZ10" s="196"/>
      <c r="BA10" s="196"/>
      <c r="BB10" s="196"/>
      <c r="BC10" s="524"/>
      <c r="BD10" s="186"/>
      <c r="BE10" s="184"/>
      <c r="BF10" s="184"/>
      <c r="BG10" s="184"/>
      <c r="BH10" s="184"/>
      <c r="BI10" s="187"/>
      <c r="BJ10" s="567"/>
      <c r="BK10" s="225"/>
      <c r="BL10" s="182" t="s">
        <v>133</v>
      </c>
      <c r="BM10" s="182"/>
      <c r="BN10" s="182"/>
      <c r="BO10" s="545"/>
      <c r="BP10" s="195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  <c r="CB10" s="184"/>
      <c r="CC10" s="184"/>
      <c r="CD10" s="184"/>
      <c r="CE10" s="184"/>
      <c r="CF10" s="184"/>
      <c r="CG10" s="187"/>
      <c r="CH10" s="49"/>
    </row>
    <row r="11" spans="1:87" ht="9.75" customHeight="1">
      <c r="A11" s="30">
        <v>8</v>
      </c>
      <c r="B11" s="233" t="s">
        <v>96</v>
      </c>
      <c r="C11" s="182"/>
      <c r="D11" s="182"/>
      <c r="E11" s="182"/>
      <c r="F11" s="182"/>
      <c r="G11" s="545"/>
      <c r="H11" s="186"/>
      <c r="I11" s="184"/>
      <c r="J11" s="184"/>
      <c r="K11" s="184"/>
      <c r="L11" s="184"/>
      <c r="M11" s="187"/>
      <c r="N11" s="30"/>
      <c r="O11" s="30"/>
      <c r="P11" s="30"/>
      <c r="Q11" s="30"/>
      <c r="R11" s="30"/>
      <c r="S11" s="30"/>
      <c r="AF11" s="604"/>
      <c r="AG11" s="689"/>
      <c r="AH11" s="182" t="s">
        <v>120</v>
      </c>
      <c r="AI11" s="182"/>
      <c r="AJ11" s="182"/>
      <c r="AK11" s="182"/>
      <c r="AL11" s="182"/>
      <c r="AM11" s="182"/>
      <c r="AN11" s="182"/>
      <c r="AO11" s="182"/>
      <c r="AP11" s="182"/>
      <c r="AQ11" s="545"/>
      <c r="AR11" s="561"/>
      <c r="AS11" s="562"/>
      <c r="AT11" s="562"/>
      <c r="AU11" s="562"/>
      <c r="AV11" s="562"/>
      <c r="AW11" s="562"/>
      <c r="AX11" s="196"/>
      <c r="AY11" s="196"/>
      <c r="AZ11" s="196"/>
      <c r="BA11" s="196"/>
      <c r="BB11" s="196"/>
      <c r="BC11" s="524"/>
      <c r="BD11" s="186"/>
      <c r="BE11" s="184"/>
      <c r="BF11" s="184"/>
      <c r="BG11" s="184"/>
      <c r="BH11" s="184"/>
      <c r="BI11" s="187"/>
      <c r="BJ11" s="567"/>
      <c r="BK11" s="225"/>
      <c r="BL11" s="182" t="s">
        <v>141</v>
      </c>
      <c r="BM11" s="182"/>
      <c r="BN11" s="182"/>
      <c r="BO11" s="545"/>
      <c r="BP11" s="195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  <c r="CB11" s="184"/>
      <c r="CC11" s="184"/>
      <c r="CD11" s="184"/>
      <c r="CE11" s="184"/>
      <c r="CF11" s="184"/>
      <c r="CG11" s="187"/>
      <c r="CH11" s="49"/>
    </row>
    <row r="12" spans="1:87" ht="9.75" customHeight="1">
      <c r="A12" s="30">
        <v>9</v>
      </c>
      <c r="B12" s="79"/>
      <c r="C12" s="182" t="s">
        <v>94</v>
      </c>
      <c r="D12" s="182"/>
      <c r="E12" s="182"/>
      <c r="F12" s="182"/>
      <c r="G12" s="545"/>
      <c r="H12" s="186"/>
      <c r="I12" s="184"/>
      <c r="J12" s="184"/>
      <c r="K12" s="184"/>
      <c r="L12" s="184"/>
      <c r="M12" s="187"/>
      <c r="N12" s="30"/>
      <c r="O12" s="30"/>
      <c r="P12" s="30"/>
      <c r="Q12" s="30"/>
      <c r="R12" s="30"/>
      <c r="S12" s="30"/>
      <c r="AF12" s="604"/>
      <c r="AG12" s="689"/>
      <c r="AH12" s="182" t="s">
        <v>119</v>
      </c>
      <c r="AI12" s="182"/>
      <c r="AJ12" s="182"/>
      <c r="AK12" s="182"/>
      <c r="AL12" s="182"/>
      <c r="AM12" s="182"/>
      <c r="AN12" s="182"/>
      <c r="AO12" s="182"/>
      <c r="AP12" s="182"/>
      <c r="AQ12" s="545"/>
      <c r="AR12" s="561"/>
      <c r="AS12" s="562"/>
      <c r="AT12" s="562"/>
      <c r="AU12" s="562"/>
      <c r="AV12" s="562"/>
      <c r="AW12" s="562"/>
      <c r="AX12" s="196"/>
      <c r="AY12" s="196"/>
      <c r="AZ12" s="196"/>
      <c r="BA12" s="196"/>
      <c r="BB12" s="196"/>
      <c r="BC12" s="524"/>
      <c r="BD12" s="186"/>
      <c r="BE12" s="184"/>
      <c r="BF12" s="184"/>
      <c r="BG12" s="184"/>
      <c r="BH12" s="184"/>
      <c r="BI12" s="187"/>
      <c r="BJ12" s="567"/>
      <c r="BK12" s="225"/>
      <c r="BL12" s="182" t="s">
        <v>85</v>
      </c>
      <c r="BM12" s="182"/>
      <c r="BN12" s="182"/>
      <c r="BO12" s="545"/>
      <c r="BP12" s="195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  <c r="CB12" s="184"/>
      <c r="CC12" s="184"/>
      <c r="CD12" s="184"/>
      <c r="CE12" s="184"/>
      <c r="CF12" s="184"/>
      <c r="CG12" s="187"/>
      <c r="CH12" s="49"/>
    </row>
    <row r="13" spans="1:87" ht="9.75" customHeight="1">
      <c r="A13" s="30">
        <v>10</v>
      </c>
      <c r="B13" s="233" t="s">
        <v>191</v>
      </c>
      <c r="C13" s="182"/>
      <c r="D13" s="182"/>
      <c r="E13" s="182"/>
      <c r="F13" s="182"/>
      <c r="G13" s="545"/>
      <c r="H13" s="186"/>
      <c r="I13" s="184"/>
      <c r="J13" s="184"/>
      <c r="K13" s="184"/>
      <c r="L13" s="184"/>
      <c r="M13" s="187"/>
      <c r="N13" s="30"/>
      <c r="O13" s="30"/>
      <c r="P13" s="30"/>
      <c r="Q13" s="30"/>
      <c r="R13" s="30"/>
      <c r="S13" s="30"/>
      <c r="AF13" s="604"/>
      <c r="AG13" s="689"/>
      <c r="AH13" s="182" t="s">
        <v>118</v>
      </c>
      <c r="AI13" s="182"/>
      <c r="AJ13" s="182"/>
      <c r="AK13" s="182"/>
      <c r="AL13" s="182"/>
      <c r="AM13" s="182"/>
      <c r="AN13" s="182"/>
      <c r="AO13" s="182"/>
      <c r="AP13" s="182"/>
      <c r="AQ13" s="545"/>
      <c r="AR13" s="561"/>
      <c r="AS13" s="562"/>
      <c r="AT13" s="562"/>
      <c r="AU13" s="562"/>
      <c r="AV13" s="562"/>
      <c r="AW13" s="562"/>
      <c r="AX13" s="196"/>
      <c r="AY13" s="196"/>
      <c r="AZ13" s="196"/>
      <c r="BA13" s="196"/>
      <c r="BB13" s="196"/>
      <c r="BC13" s="524"/>
      <c r="BD13" s="186"/>
      <c r="BE13" s="184"/>
      <c r="BF13" s="184"/>
      <c r="BG13" s="184"/>
      <c r="BH13" s="184"/>
      <c r="BI13" s="187"/>
      <c r="BJ13" s="567"/>
      <c r="BK13" s="225"/>
      <c r="BL13" s="182" t="s">
        <v>89</v>
      </c>
      <c r="BM13" s="182"/>
      <c r="BN13" s="182"/>
      <c r="BO13" s="545"/>
      <c r="BP13" s="186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7"/>
      <c r="CH13" s="49"/>
    </row>
    <row r="14" spans="1:87" ht="9.75" customHeight="1" thickBot="1">
      <c r="A14" s="30">
        <v>11</v>
      </c>
      <c r="B14" s="80"/>
      <c r="C14" s="274" t="s">
        <v>94</v>
      </c>
      <c r="D14" s="274"/>
      <c r="E14" s="274"/>
      <c r="F14" s="274"/>
      <c r="G14" s="347"/>
      <c r="H14" s="213"/>
      <c r="I14" s="208"/>
      <c r="J14" s="208"/>
      <c r="K14" s="208"/>
      <c r="L14" s="208"/>
      <c r="M14" s="209"/>
      <c r="N14" s="30"/>
      <c r="O14" s="30"/>
      <c r="P14" s="30"/>
      <c r="Q14" s="30"/>
      <c r="R14" s="30"/>
      <c r="S14" s="30"/>
      <c r="AF14" s="604"/>
      <c r="AG14" s="689"/>
      <c r="AH14" s="182" t="s">
        <v>117</v>
      </c>
      <c r="AI14" s="182"/>
      <c r="AJ14" s="182"/>
      <c r="AK14" s="182"/>
      <c r="AL14" s="182"/>
      <c r="AM14" s="182"/>
      <c r="AN14" s="182"/>
      <c r="AO14" s="182"/>
      <c r="AP14" s="182"/>
      <c r="AQ14" s="545"/>
      <c r="AR14" s="561"/>
      <c r="AS14" s="562"/>
      <c r="AT14" s="562"/>
      <c r="AU14" s="562"/>
      <c r="AV14" s="562"/>
      <c r="AW14" s="562"/>
      <c r="AX14" s="196"/>
      <c r="AY14" s="196"/>
      <c r="AZ14" s="196"/>
      <c r="BA14" s="196"/>
      <c r="BB14" s="196"/>
      <c r="BC14" s="524"/>
      <c r="BD14" s="186"/>
      <c r="BE14" s="184"/>
      <c r="BF14" s="184"/>
      <c r="BG14" s="184"/>
      <c r="BH14" s="184"/>
      <c r="BI14" s="187"/>
      <c r="BJ14" s="567"/>
      <c r="BK14" s="225" t="s">
        <v>159</v>
      </c>
      <c r="BL14" s="182" t="s">
        <v>129</v>
      </c>
      <c r="BM14" s="182"/>
      <c r="BN14" s="182"/>
      <c r="BO14" s="545"/>
      <c r="BP14" s="195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  <c r="CB14" s="184"/>
      <c r="CC14" s="184"/>
      <c r="CD14" s="184"/>
      <c r="CE14" s="184"/>
      <c r="CF14" s="184"/>
      <c r="CG14" s="187"/>
      <c r="CH14" s="49"/>
    </row>
    <row r="15" spans="1:87" ht="9.75" customHeight="1">
      <c r="A15" s="30">
        <v>12</v>
      </c>
      <c r="B15" s="563" t="s">
        <v>295</v>
      </c>
      <c r="C15" s="564"/>
      <c r="D15" s="564"/>
      <c r="E15" s="564"/>
      <c r="F15" s="564"/>
      <c r="G15" s="564"/>
      <c r="H15" s="564"/>
      <c r="I15" s="564"/>
      <c r="J15" s="564"/>
      <c r="K15" s="564"/>
      <c r="L15" s="564"/>
      <c r="M15" s="565"/>
      <c r="N15" s="30"/>
      <c r="O15" s="30"/>
      <c r="P15" s="30"/>
      <c r="Q15" s="30"/>
      <c r="R15" s="30"/>
      <c r="S15" s="30"/>
      <c r="AF15" s="604"/>
      <c r="AG15" s="689"/>
      <c r="AH15" s="182" t="s">
        <v>85</v>
      </c>
      <c r="AI15" s="182"/>
      <c r="AJ15" s="182"/>
      <c r="AK15" s="182"/>
      <c r="AL15" s="182"/>
      <c r="AM15" s="182"/>
      <c r="AN15" s="182"/>
      <c r="AO15" s="182"/>
      <c r="AP15" s="182"/>
      <c r="AQ15" s="545"/>
      <c r="AR15" s="561"/>
      <c r="AS15" s="562"/>
      <c r="AT15" s="562"/>
      <c r="AU15" s="562"/>
      <c r="AV15" s="562"/>
      <c r="AW15" s="562"/>
      <c r="AX15" s="196"/>
      <c r="AY15" s="196"/>
      <c r="AZ15" s="196"/>
      <c r="BA15" s="196"/>
      <c r="BB15" s="196"/>
      <c r="BC15" s="524"/>
      <c r="BD15" s="186"/>
      <c r="BE15" s="184"/>
      <c r="BF15" s="184"/>
      <c r="BG15" s="184"/>
      <c r="BH15" s="184"/>
      <c r="BI15" s="187"/>
      <c r="BJ15" s="567"/>
      <c r="BK15" s="225"/>
      <c r="BL15" s="182" t="s">
        <v>90</v>
      </c>
      <c r="BM15" s="182"/>
      <c r="BN15" s="182"/>
      <c r="BO15" s="545"/>
      <c r="BP15" s="195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  <c r="CB15" s="184"/>
      <c r="CC15" s="184"/>
      <c r="CD15" s="184"/>
      <c r="CE15" s="184"/>
      <c r="CF15" s="184"/>
      <c r="CG15" s="187"/>
      <c r="CH15" s="49"/>
    </row>
    <row r="16" spans="1:87" ht="9.75" customHeight="1">
      <c r="A16" s="30">
        <v>13</v>
      </c>
      <c r="B16" s="552"/>
      <c r="C16" s="553"/>
      <c r="D16" s="553"/>
      <c r="E16" s="553"/>
      <c r="F16" s="553"/>
      <c r="G16" s="553"/>
      <c r="H16" s="554" t="s">
        <v>6</v>
      </c>
      <c r="I16" s="555"/>
      <c r="J16" s="555"/>
      <c r="K16" s="555"/>
      <c r="L16" s="555"/>
      <c r="M16" s="556"/>
      <c r="N16" s="30"/>
      <c r="O16" s="30"/>
      <c r="P16" s="30"/>
      <c r="Q16" s="30"/>
      <c r="R16" s="30"/>
      <c r="S16" s="30"/>
      <c r="AF16" s="604"/>
      <c r="AG16" s="689"/>
      <c r="AH16" s="580" t="s">
        <v>1</v>
      </c>
      <c r="AI16" s="580"/>
      <c r="AJ16" s="580"/>
      <c r="AK16" s="182"/>
      <c r="AL16" s="182"/>
      <c r="AM16" s="182"/>
      <c r="AN16" s="182"/>
      <c r="AO16" s="182"/>
      <c r="AP16" s="182"/>
      <c r="AQ16" s="545"/>
      <c r="AR16" s="561"/>
      <c r="AS16" s="562"/>
      <c r="AT16" s="562"/>
      <c r="AU16" s="562"/>
      <c r="AV16" s="562"/>
      <c r="AW16" s="562"/>
      <c r="AX16" s="184"/>
      <c r="AY16" s="184"/>
      <c r="AZ16" s="184"/>
      <c r="BA16" s="184"/>
      <c r="BB16" s="184"/>
      <c r="BC16" s="314"/>
      <c r="BD16" s="186"/>
      <c r="BE16" s="184"/>
      <c r="BF16" s="184"/>
      <c r="BG16" s="184"/>
      <c r="BH16" s="184"/>
      <c r="BI16" s="187"/>
      <c r="BJ16" s="567"/>
      <c r="BK16" s="225"/>
      <c r="BL16" s="182" t="s">
        <v>85</v>
      </c>
      <c r="BM16" s="182"/>
      <c r="BN16" s="182"/>
      <c r="BO16" s="545"/>
      <c r="BP16" s="195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  <c r="CB16" s="184"/>
      <c r="CC16" s="184"/>
      <c r="CD16" s="184"/>
      <c r="CE16" s="184"/>
      <c r="CF16" s="184"/>
      <c r="CG16" s="187"/>
      <c r="CH16" s="49"/>
    </row>
    <row r="17" spans="1:103" ht="9.75" customHeight="1">
      <c r="A17" s="30">
        <v>14</v>
      </c>
      <c r="B17" s="570" t="s">
        <v>4</v>
      </c>
      <c r="C17" s="571"/>
      <c r="D17" s="571"/>
      <c r="E17" s="571"/>
      <c r="F17" s="571"/>
      <c r="G17" s="571"/>
      <c r="H17" s="176"/>
      <c r="I17" s="177"/>
      <c r="J17" s="177"/>
      <c r="K17" s="177"/>
      <c r="L17" s="177"/>
      <c r="M17" s="198"/>
      <c r="N17" s="30"/>
      <c r="O17" s="30"/>
      <c r="P17" s="30"/>
      <c r="Q17" s="30"/>
      <c r="R17" s="30"/>
      <c r="S17" s="30"/>
      <c r="AF17" s="604"/>
      <c r="AG17" s="689"/>
      <c r="AH17" s="81"/>
      <c r="AI17" s="82"/>
      <c r="AJ17" s="83"/>
      <c r="AK17" s="580" t="s">
        <v>150</v>
      </c>
      <c r="AL17" s="580"/>
      <c r="AM17" s="580"/>
      <c r="AN17" s="580"/>
      <c r="AO17" s="580"/>
      <c r="AP17" s="580"/>
      <c r="AQ17" s="581"/>
      <c r="AR17" s="582"/>
      <c r="AS17" s="583"/>
      <c r="AT17" s="583"/>
      <c r="AU17" s="583"/>
      <c r="AV17" s="583"/>
      <c r="AW17" s="583"/>
      <c r="AX17" s="584"/>
      <c r="AY17" s="584"/>
      <c r="AZ17" s="584"/>
      <c r="BA17" s="584"/>
      <c r="BB17" s="584"/>
      <c r="BC17" s="585"/>
      <c r="BD17" s="325"/>
      <c r="BE17" s="326"/>
      <c r="BF17" s="326"/>
      <c r="BG17" s="326"/>
      <c r="BH17" s="326"/>
      <c r="BI17" s="327"/>
      <c r="BJ17" s="567"/>
      <c r="BK17" s="225"/>
      <c r="BL17" s="182" t="s">
        <v>89</v>
      </c>
      <c r="BM17" s="182"/>
      <c r="BN17" s="182"/>
      <c r="BO17" s="545"/>
      <c r="BP17" s="186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7"/>
      <c r="CH17" s="49"/>
    </row>
    <row r="18" spans="1:103" ht="9.75" customHeight="1">
      <c r="A18" s="30">
        <v>15</v>
      </c>
      <c r="B18" s="568" t="s">
        <v>101</v>
      </c>
      <c r="C18" s="569"/>
      <c r="D18" s="569"/>
      <c r="E18" s="569"/>
      <c r="F18" s="569"/>
      <c r="G18" s="569"/>
      <c r="H18" s="186"/>
      <c r="I18" s="184"/>
      <c r="J18" s="184"/>
      <c r="K18" s="184"/>
      <c r="L18" s="184"/>
      <c r="M18" s="187"/>
      <c r="N18" s="30"/>
      <c r="O18" s="30"/>
      <c r="P18" s="30"/>
      <c r="Q18" s="30"/>
      <c r="R18" s="30"/>
      <c r="S18" s="30"/>
      <c r="AF18" s="552"/>
      <c r="AG18" s="553"/>
      <c r="AH18" s="553"/>
      <c r="AI18" s="553"/>
      <c r="AJ18" s="553"/>
      <c r="AK18" s="553"/>
      <c r="AL18" s="553"/>
      <c r="AM18" s="553"/>
      <c r="AN18" s="553"/>
      <c r="AO18" s="553"/>
      <c r="AP18" s="553"/>
      <c r="AQ18" s="586"/>
      <c r="AR18" s="587" t="s">
        <v>116</v>
      </c>
      <c r="AS18" s="588"/>
      <c r="AT18" s="588"/>
      <c r="AU18" s="588"/>
      <c r="AV18" s="588"/>
      <c r="AW18" s="588"/>
      <c r="AX18" s="589" t="s">
        <v>174</v>
      </c>
      <c r="AY18" s="589"/>
      <c r="AZ18" s="589"/>
      <c r="BA18" s="589"/>
      <c r="BB18" s="589"/>
      <c r="BC18" s="590"/>
      <c r="BD18" s="591" t="s">
        <v>6</v>
      </c>
      <c r="BE18" s="589"/>
      <c r="BF18" s="589"/>
      <c r="BG18" s="589"/>
      <c r="BH18" s="589"/>
      <c r="BI18" s="592"/>
      <c r="BJ18" s="567"/>
      <c r="BK18" s="182" t="s">
        <v>63</v>
      </c>
      <c r="BL18" s="182"/>
      <c r="BM18" s="182"/>
      <c r="BN18" s="182"/>
      <c r="BO18" s="545"/>
      <c r="BP18" s="186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7"/>
      <c r="CH18" s="49"/>
    </row>
    <row r="19" spans="1:103" ht="9.75" customHeight="1">
      <c r="A19" s="30">
        <v>16</v>
      </c>
      <c r="B19" s="568" t="s">
        <v>99</v>
      </c>
      <c r="C19" s="569"/>
      <c r="D19" s="569"/>
      <c r="E19" s="569"/>
      <c r="F19" s="569"/>
      <c r="G19" s="569"/>
      <c r="H19" s="186"/>
      <c r="I19" s="184"/>
      <c r="J19" s="184"/>
      <c r="K19" s="184"/>
      <c r="L19" s="184"/>
      <c r="M19" s="187"/>
      <c r="N19" s="30"/>
      <c r="O19" s="30"/>
      <c r="P19" s="30"/>
      <c r="Q19" s="30"/>
      <c r="R19" s="30"/>
      <c r="S19" s="30"/>
      <c r="AF19" s="703" t="s">
        <v>18</v>
      </c>
      <c r="AG19" s="704"/>
      <c r="AH19" s="175" t="s">
        <v>176</v>
      </c>
      <c r="AI19" s="352"/>
      <c r="AJ19" s="352"/>
      <c r="AK19" s="352"/>
      <c r="AL19" s="352"/>
      <c r="AM19" s="352"/>
      <c r="AN19" s="352"/>
      <c r="AO19" s="352"/>
      <c r="AP19" s="352"/>
      <c r="AQ19" s="707"/>
      <c r="AR19" s="708"/>
      <c r="AS19" s="709"/>
      <c r="AT19" s="709"/>
      <c r="AU19" s="709"/>
      <c r="AV19" s="709"/>
      <c r="AW19" s="710"/>
      <c r="AX19" s="300"/>
      <c r="AY19" s="574"/>
      <c r="AZ19" s="574"/>
      <c r="BA19" s="574"/>
      <c r="BB19" s="574"/>
      <c r="BC19" s="575"/>
      <c r="BD19" s="297"/>
      <c r="BE19" s="576"/>
      <c r="BF19" s="576"/>
      <c r="BG19" s="576"/>
      <c r="BH19" s="576"/>
      <c r="BI19" s="577"/>
      <c r="BJ19" s="224" t="s">
        <v>5</v>
      </c>
      <c r="BK19" s="225" t="s">
        <v>91</v>
      </c>
      <c r="BL19" s="182" t="s">
        <v>139</v>
      </c>
      <c r="BM19" s="182"/>
      <c r="BN19" s="182"/>
      <c r="BO19" s="545"/>
      <c r="BP19" s="195"/>
      <c r="BQ19" s="196"/>
      <c r="BR19" s="196"/>
      <c r="BS19" s="196"/>
      <c r="BT19" s="196"/>
      <c r="BU19" s="196"/>
      <c r="BV19" s="196"/>
      <c r="BW19" s="196"/>
      <c r="BX19" s="196"/>
      <c r="BY19" s="196"/>
      <c r="BZ19" s="196"/>
      <c r="CA19" s="196"/>
      <c r="CB19" s="184"/>
      <c r="CC19" s="184"/>
      <c r="CD19" s="184"/>
      <c r="CE19" s="184"/>
      <c r="CF19" s="184"/>
      <c r="CG19" s="187"/>
      <c r="CH19" s="49"/>
    </row>
    <row r="20" spans="1:103" ht="9.75" customHeight="1">
      <c r="A20" s="30">
        <v>17</v>
      </c>
      <c r="B20" s="579" t="s">
        <v>96</v>
      </c>
      <c r="C20" s="569"/>
      <c r="D20" s="569"/>
      <c r="E20" s="569"/>
      <c r="F20" s="569"/>
      <c r="G20" s="569"/>
      <c r="H20" s="186"/>
      <c r="I20" s="184"/>
      <c r="J20" s="184"/>
      <c r="K20" s="184"/>
      <c r="L20" s="184"/>
      <c r="M20" s="187"/>
      <c r="N20" s="30"/>
      <c r="O20" s="30"/>
      <c r="P20" s="30"/>
      <c r="Q20" s="30"/>
      <c r="R20" s="30"/>
      <c r="S20" s="30"/>
      <c r="AF20" s="703"/>
      <c r="AG20" s="704"/>
      <c r="AH20" s="183" t="s">
        <v>85</v>
      </c>
      <c r="AI20" s="307"/>
      <c r="AJ20" s="307"/>
      <c r="AK20" s="307"/>
      <c r="AL20" s="307"/>
      <c r="AM20" s="307"/>
      <c r="AN20" s="307"/>
      <c r="AO20" s="307"/>
      <c r="AP20" s="307"/>
      <c r="AQ20" s="336"/>
      <c r="AR20" s="573"/>
      <c r="AS20" s="172"/>
      <c r="AT20" s="172"/>
      <c r="AU20" s="172"/>
      <c r="AV20" s="172"/>
      <c r="AW20" s="172"/>
      <c r="AX20" s="196"/>
      <c r="AY20" s="196"/>
      <c r="AZ20" s="196"/>
      <c r="BA20" s="196"/>
      <c r="BB20" s="196"/>
      <c r="BC20" s="524"/>
      <c r="BD20" s="186"/>
      <c r="BE20" s="184"/>
      <c r="BF20" s="184"/>
      <c r="BG20" s="184"/>
      <c r="BH20" s="184"/>
      <c r="BI20" s="187"/>
      <c r="BJ20" s="224"/>
      <c r="BK20" s="225"/>
      <c r="BL20" s="182" t="s">
        <v>138</v>
      </c>
      <c r="BM20" s="182"/>
      <c r="BN20" s="182"/>
      <c r="BO20" s="545"/>
      <c r="BP20" s="195"/>
      <c r="BQ20" s="196"/>
      <c r="BR20" s="196"/>
      <c r="BS20" s="196"/>
      <c r="BT20" s="196"/>
      <c r="BU20" s="196"/>
      <c r="BV20" s="196"/>
      <c r="BW20" s="196"/>
      <c r="BX20" s="196"/>
      <c r="BY20" s="196"/>
      <c r="BZ20" s="196"/>
      <c r="CA20" s="196"/>
      <c r="CB20" s="184"/>
      <c r="CC20" s="184"/>
      <c r="CD20" s="184"/>
      <c r="CE20" s="184"/>
      <c r="CF20" s="184"/>
      <c r="CG20" s="187"/>
      <c r="CH20" s="49"/>
    </row>
    <row r="21" spans="1:103" ht="9.75" customHeight="1">
      <c r="A21" s="30">
        <v>18</v>
      </c>
      <c r="B21" s="84"/>
      <c r="C21" s="578" t="s">
        <v>94</v>
      </c>
      <c r="D21" s="569"/>
      <c r="E21" s="569"/>
      <c r="F21" s="569"/>
      <c r="G21" s="569"/>
      <c r="H21" s="186"/>
      <c r="I21" s="184"/>
      <c r="J21" s="184"/>
      <c r="K21" s="184"/>
      <c r="L21" s="184"/>
      <c r="M21" s="187"/>
      <c r="N21" s="30"/>
      <c r="O21" s="30"/>
      <c r="P21" s="30"/>
      <c r="Q21" s="30"/>
      <c r="R21" s="30"/>
      <c r="S21" s="30"/>
      <c r="AF21" s="703"/>
      <c r="AG21" s="704"/>
      <c r="AH21" s="333" t="s">
        <v>1</v>
      </c>
      <c r="AI21" s="572"/>
      <c r="AJ21" s="572"/>
      <c r="AK21" s="307"/>
      <c r="AL21" s="307"/>
      <c r="AM21" s="307"/>
      <c r="AN21" s="307"/>
      <c r="AO21" s="307"/>
      <c r="AP21" s="307"/>
      <c r="AQ21" s="336"/>
      <c r="AR21" s="573"/>
      <c r="AS21" s="172"/>
      <c r="AT21" s="172"/>
      <c r="AU21" s="172"/>
      <c r="AV21" s="172"/>
      <c r="AW21" s="172"/>
      <c r="AX21" s="184"/>
      <c r="AY21" s="184"/>
      <c r="AZ21" s="184"/>
      <c r="BA21" s="184"/>
      <c r="BB21" s="184"/>
      <c r="BC21" s="314"/>
      <c r="BD21" s="186"/>
      <c r="BE21" s="184"/>
      <c r="BF21" s="184"/>
      <c r="BG21" s="184"/>
      <c r="BH21" s="184"/>
      <c r="BI21" s="187"/>
      <c r="BJ21" s="224"/>
      <c r="BK21" s="225"/>
      <c r="BL21" s="182" t="s">
        <v>137</v>
      </c>
      <c r="BM21" s="182"/>
      <c r="BN21" s="182"/>
      <c r="BO21" s="545"/>
      <c r="BP21" s="195"/>
      <c r="BQ21" s="196"/>
      <c r="BR21" s="196"/>
      <c r="BS21" s="196"/>
      <c r="BT21" s="196"/>
      <c r="BU21" s="196"/>
      <c r="BV21" s="196"/>
      <c r="BW21" s="196"/>
      <c r="BX21" s="196"/>
      <c r="BY21" s="196"/>
      <c r="BZ21" s="196"/>
      <c r="CA21" s="196"/>
      <c r="CB21" s="184"/>
      <c r="CC21" s="184"/>
      <c r="CD21" s="184"/>
      <c r="CE21" s="184"/>
      <c r="CF21" s="184"/>
      <c r="CG21" s="187"/>
      <c r="CH21" s="49"/>
    </row>
    <row r="22" spans="1:103" ht="9.75" customHeight="1">
      <c r="A22" s="30">
        <v>19</v>
      </c>
      <c r="B22" s="233" t="s">
        <v>191</v>
      </c>
      <c r="C22" s="182"/>
      <c r="D22" s="182"/>
      <c r="E22" s="182"/>
      <c r="F22" s="182"/>
      <c r="G22" s="545"/>
      <c r="H22" s="186"/>
      <c r="I22" s="184"/>
      <c r="J22" s="184"/>
      <c r="K22" s="184"/>
      <c r="L22" s="184"/>
      <c r="M22" s="187"/>
      <c r="N22" s="30"/>
      <c r="O22" s="30"/>
      <c r="P22" s="30"/>
      <c r="Q22" s="30"/>
      <c r="R22" s="30"/>
      <c r="S22" s="30"/>
      <c r="AF22" s="705"/>
      <c r="AG22" s="706"/>
      <c r="AH22" s="81"/>
      <c r="AI22" s="82"/>
      <c r="AJ22" s="83"/>
      <c r="AK22" s="627" t="s">
        <v>150</v>
      </c>
      <c r="AL22" s="628"/>
      <c r="AM22" s="628"/>
      <c r="AN22" s="628"/>
      <c r="AO22" s="628"/>
      <c r="AP22" s="628"/>
      <c r="AQ22" s="629"/>
      <c r="AR22" s="630"/>
      <c r="AS22" s="631"/>
      <c r="AT22" s="631"/>
      <c r="AU22" s="631"/>
      <c r="AV22" s="631"/>
      <c r="AW22" s="631"/>
      <c r="AX22" s="245"/>
      <c r="AY22" s="245"/>
      <c r="AZ22" s="245"/>
      <c r="BA22" s="245"/>
      <c r="BB22" s="245"/>
      <c r="BC22" s="632"/>
      <c r="BD22" s="696"/>
      <c r="BE22" s="246"/>
      <c r="BF22" s="246"/>
      <c r="BG22" s="246"/>
      <c r="BH22" s="246"/>
      <c r="BI22" s="247"/>
      <c r="BJ22" s="224"/>
      <c r="BK22" s="225"/>
      <c r="BL22" s="182" t="s">
        <v>136</v>
      </c>
      <c r="BM22" s="182"/>
      <c r="BN22" s="182"/>
      <c r="BO22" s="545"/>
      <c r="BP22" s="195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  <c r="CB22" s="184"/>
      <c r="CC22" s="184"/>
      <c r="CD22" s="184"/>
      <c r="CE22" s="184"/>
      <c r="CF22" s="184"/>
      <c r="CG22" s="187"/>
      <c r="CH22" s="49"/>
    </row>
    <row r="23" spans="1:103" ht="9.75" customHeight="1" thickBot="1">
      <c r="A23" s="30">
        <v>20</v>
      </c>
      <c r="B23" s="85"/>
      <c r="C23" s="600" t="s">
        <v>94</v>
      </c>
      <c r="D23" s="601"/>
      <c r="E23" s="601"/>
      <c r="F23" s="601"/>
      <c r="G23" s="601"/>
      <c r="H23" s="213"/>
      <c r="I23" s="208"/>
      <c r="J23" s="208"/>
      <c r="K23" s="208"/>
      <c r="L23" s="208"/>
      <c r="M23" s="209"/>
      <c r="N23" s="74"/>
      <c r="O23" s="55"/>
      <c r="P23" s="55"/>
      <c r="Q23" s="55"/>
      <c r="R23" s="55"/>
      <c r="S23" s="55"/>
      <c r="AF23" s="697"/>
      <c r="AG23" s="698"/>
      <c r="AH23" s="698"/>
      <c r="AI23" s="698"/>
      <c r="AJ23" s="698"/>
      <c r="AK23" s="698"/>
      <c r="AL23" s="698"/>
      <c r="AM23" s="698"/>
      <c r="AN23" s="698"/>
      <c r="AO23" s="698"/>
      <c r="AP23" s="698"/>
      <c r="AQ23" s="699"/>
      <c r="AR23" s="587" t="s">
        <v>116</v>
      </c>
      <c r="AS23" s="588"/>
      <c r="AT23" s="588"/>
      <c r="AU23" s="588"/>
      <c r="AV23" s="588"/>
      <c r="AW23" s="588"/>
      <c r="AX23" s="588" t="s">
        <v>174</v>
      </c>
      <c r="AY23" s="588"/>
      <c r="AZ23" s="588"/>
      <c r="BA23" s="588"/>
      <c r="BB23" s="588"/>
      <c r="BC23" s="685"/>
      <c r="BD23" s="700" t="s">
        <v>6</v>
      </c>
      <c r="BE23" s="588"/>
      <c r="BF23" s="588"/>
      <c r="BG23" s="588"/>
      <c r="BH23" s="588"/>
      <c r="BI23" s="701"/>
      <c r="BJ23" s="224"/>
      <c r="BK23" s="225"/>
      <c r="BL23" s="182" t="s">
        <v>89</v>
      </c>
      <c r="BM23" s="182"/>
      <c r="BN23" s="182"/>
      <c r="BO23" s="545"/>
      <c r="BP23" s="241"/>
      <c r="BQ23" s="172"/>
      <c r="BR23" s="172"/>
      <c r="BS23" s="172"/>
      <c r="BT23" s="172"/>
      <c r="BU23" s="172"/>
      <c r="BV23" s="184"/>
      <c r="BW23" s="184"/>
      <c r="BX23" s="184"/>
      <c r="BY23" s="184"/>
      <c r="BZ23" s="184"/>
      <c r="CA23" s="184"/>
      <c r="CB23" s="172"/>
      <c r="CC23" s="172"/>
      <c r="CD23" s="172"/>
      <c r="CE23" s="172"/>
      <c r="CF23" s="172"/>
      <c r="CG23" s="622"/>
      <c r="CH23" s="49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</row>
    <row r="24" spans="1:103" ht="9.75" customHeight="1">
      <c r="A24" s="30">
        <v>21</v>
      </c>
      <c r="B24" s="216" t="s">
        <v>270</v>
      </c>
      <c r="C24" s="217" t="s">
        <v>270</v>
      </c>
      <c r="D24" s="217" t="s">
        <v>270</v>
      </c>
      <c r="E24" s="217" t="s">
        <v>270</v>
      </c>
      <c r="F24" s="217" t="s">
        <v>270</v>
      </c>
      <c r="G24" s="217" t="s">
        <v>270</v>
      </c>
      <c r="H24" s="217" t="s">
        <v>270</v>
      </c>
      <c r="I24" s="217" t="s">
        <v>270</v>
      </c>
      <c r="J24" s="217" t="s">
        <v>270</v>
      </c>
      <c r="K24" s="217" t="s">
        <v>270</v>
      </c>
      <c r="L24" s="217" t="s">
        <v>270</v>
      </c>
      <c r="M24" s="217" t="s">
        <v>270</v>
      </c>
      <c r="N24" s="217" t="s">
        <v>270</v>
      </c>
      <c r="O24" s="217" t="s">
        <v>270</v>
      </c>
      <c r="P24" s="217" t="s">
        <v>270</v>
      </c>
      <c r="Q24" s="217" t="s">
        <v>270</v>
      </c>
      <c r="R24" s="217" t="s">
        <v>270</v>
      </c>
      <c r="S24" s="218" t="s">
        <v>270</v>
      </c>
      <c r="AF24" s="602" t="s">
        <v>16</v>
      </c>
      <c r="AG24" s="603"/>
      <c r="AH24" s="174" t="s">
        <v>182</v>
      </c>
      <c r="AI24" s="174"/>
      <c r="AJ24" s="174"/>
      <c r="AK24" s="174" t="s">
        <v>115</v>
      </c>
      <c r="AL24" s="174"/>
      <c r="AM24" s="174"/>
      <c r="AN24" s="174"/>
      <c r="AO24" s="174"/>
      <c r="AP24" s="174"/>
      <c r="AQ24" s="546"/>
      <c r="AR24" s="708"/>
      <c r="AS24" s="709"/>
      <c r="AT24" s="709"/>
      <c r="AU24" s="709"/>
      <c r="AV24" s="709"/>
      <c r="AW24" s="710"/>
      <c r="AX24" s="539"/>
      <c r="AY24" s="197"/>
      <c r="AZ24" s="197"/>
      <c r="BA24" s="197"/>
      <c r="BB24" s="197"/>
      <c r="BC24" s="702"/>
      <c r="BD24" s="176"/>
      <c r="BE24" s="177"/>
      <c r="BF24" s="177"/>
      <c r="BG24" s="177"/>
      <c r="BH24" s="177"/>
      <c r="BI24" s="198"/>
      <c r="BJ24" s="224"/>
      <c r="BK24" s="225" t="s">
        <v>159</v>
      </c>
      <c r="BL24" s="182" t="s">
        <v>139</v>
      </c>
      <c r="BM24" s="182"/>
      <c r="BN24" s="182"/>
      <c r="BO24" s="545"/>
      <c r="BP24" s="195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84"/>
      <c r="CC24" s="184"/>
      <c r="CD24" s="184"/>
      <c r="CE24" s="184"/>
      <c r="CF24" s="184"/>
      <c r="CG24" s="187"/>
      <c r="CH24" s="49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</row>
    <row r="25" spans="1:103" ht="9.75" customHeight="1">
      <c r="A25" s="30">
        <v>22</v>
      </c>
      <c r="B25" s="593"/>
      <c r="C25" s="594"/>
      <c r="D25" s="594"/>
      <c r="E25" s="594"/>
      <c r="F25" s="594"/>
      <c r="G25" s="595"/>
      <c r="H25" s="143" t="s">
        <v>180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5"/>
      <c r="AF25" s="604"/>
      <c r="AG25" s="605"/>
      <c r="AH25" s="182"/>
      <c r="AI25" s="182"/>
      <c r="AJ25" s="182"/>
      <c r="AK25" s="182" t="s">
        <v>114</v>
      </c>
      <c r="AL25" s="182"/>
      <c r="AM25" s="182"/>
      <c r="AN25" s="182"/>
      <c r="AO25" s="182"/>
      <c r="AP25" s="182"/>
      <c r="AQ25" s="545"/>
      <c r="AR25" s="645"/>
      <c r="AS25" s="513"/>
      <c r="AT25" s="513"/>
      <c r="AU25" s="513"/>
      <c r="AV25" s="513"/>
      <c r="AW25" s="646"/>
      <c r="AX25" s="303"/>
      <c r="AY25" s="196"/>
      <c r="AZ25" s="196"/>
      <c r="BA25" s="196"/>
      <c r="BB25" s="196"/>
      <c r="BC25" s="524"/>
      <c r="BD25" s="186"/>
      <c r="BE25" s="184"/>
      <c r="BF25" s="184"/>
      <c r="BG25" s="184"/>
      <c r="BH25" s="184"/>
      <c r="BI25" s="187"/>
      <c r="BJ25" s="224"/>
      <c r="BK25" s="225"/>
      <c r="BL25" s="182" t="s">
        <v>138</v>
      </c>
      <c r="BM25" s="182"/>
      <c r="BN25" s="182"/>
      <c r="BO25" s="545"/>
      <c r="BP25" s="195"/>
      <c r="BQ25" s="196"/>
      <c r="BR25" s="196"/>
      <c r="BS25" s="196"/>
      <c r="BT25" s="196"/>
      <c r="BU25" s="196"/>
      <c r="BV25" s="196"/>
      <c r="BW25" s="196"/>
      <c r="BX25" s="196"/>
      <c r="BY25" s="196"/>
      <c r="BZ25" s="196"/>
      <c r="CA25" s="196"/>
      <c r="CB25" s="184"/>
      <c r="CC25" s="184"/>
      <c r="CD25" s="184"/>
      <c r="CE25" s="184"/>
      <c r="CF25" s="184"/>
      <c r="CG25" s="187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</row>
    <row r="26" spans="1:103" ht="9.75" customHeight="1">
      <c r="A26" s="30">
        <v>23</v>
      </c>
      <c r="B26" s="249"/>
      <c r="C26" s="250"/>
      <c r="D26" s="250"/>
      <c r="E26" s="250"/>
      <c r="F26" s="250"/>
      <c r="G26" s="251"/>
      <c r="H26" s="128" t="s">
        <v>83</v>
      </c>
      <c r="I26" s="126"/>
      <c r="J26" s="126"/>
      <c r="K26" s="126"/>
      <c r="L26" s="126"/>
      <c r="M26" s="126"/>
      <c r="N26" s="126" t="s">
        <v>82</v>
      </c>
      <c r="O26" s="126"/>
      <c r="P26" s="126"/>
      <c r="Q26" s="126"/>
      <c r="R26" s="126"/>
      <c r="S26" s="141"/>
      <c r="AF26" s="604"/>
      <c r="AG26" s="605"/>
      <c r="AH26" s="182"/>
      <c r="AI26" s="182"/>
      <c r="AJ26" s="182"/>
      <c r="AK26" s="182" t="s">
        <v>113</v>
      </c>
      <c r="AL26" s="182"/>
      <c r="AM26" s="182"/>
      <c r="AN26" s="182"/>
      <c r="AO26" s="182"/>
      <c r="AP26" s="182"/>
      <c r="AQ26" s="545"/>
      <c r="AR26" s="645"/>
      <c r="AS26" s="513"/>
      <c r="AT26" s="513"/>
      <c r="AU26" s="513"/>
      <c r="AV26" s="513"/>
      <c r="AW26" s="646"/>
      <c r="AX26" s="303"/>
      <c r="AY26" s="196"/>
      <c r="AZ26" s="196"/>
      <c r="BA26" s="196"/>
      <c r="BB26" s="196"/>
      <c r="BC26" s="524"/>
      <c r="BD26" s="186"/>
      <c r="BE26" s="184"/>
      <c r="BF26" s="184"/>
      <c r="BG26" s="184"/>
      <c r="BH26" s="184"/>
      <c r="BI26" s="187"/>
      <c r="BJ26" s="224"/>
      <c r="BK26" s="225"/>
      <c r="BL26" s="182" t="s">
        <v>137</v>
      </c>
      <c r="BM26" s="182"/>
      <c r="BN26" s="182"/>
      <c r="BO26" s="545"/>
      <c r="BP26" s="195"/>
      <c r="BQ26" s="196"/>
      <c r="BR26" s="196"/>
      <c r="BS26" s="196"/>
      <c r="BT26" s="196"/>
      <c r="BU26" s="196"/>
      <c r="BV26" s="196"/>
      <c r="BW26" s="196"/>
      <c r="BX26" s="196"/>
      <c r="BY26" s="196"/>
      <c r="BZ26" s="196"/>
      <c r="CA26" s="196"/>
      <c r="CB26" s="184"/>
      <c r="CC26" s="184"/>
      <c r="CD26" s="184"/>
      <c r="CE26" s="184"/>
      <c r="CF26" s="184"/>
      <c r="CG26" s="187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</row>
    <row r="27" spans="1:103" ht="9.75" customHeight="1">
      <c r="A27" s="48">
        <v>24</v>
      </c>
      <c r="B27" s="596" t="s">
        <v>130</v>
      </c>
      <c r="C27" s="597"/>
      <c r="D27" s="597"/>
      <c r="E27" s="597"/>
      <c r="F27" s="597"/>
      <c r="G27" s="597"/>
      <c r="H27" s="598"/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626"/>
      <c r="AF27" s="604"/>
      <c r="AG27" s="605"/>
      <c r="AH27" s="182" t="s">
        <v>112</v>
      </c>
      <c r="AI27" s="182"/>
      <c r="AJ27" s="182"/>
      <c r="AK27" s="182"/>
      <c r="AL27" s="182"/>
      <c r="AM27" s="182"/>
      <c r="AN27" s="182"/>
      <c r="AO27" s="182"/>
      <c r="AP27" s="182"/>
      <c r="AQ27" s="545"/>
      <c r="AR27" s="645"/>
      <c r="AS27" s="513"/>
      <c r="AT27" s="513"/>
      <c r="AU27" s="513"/>
      <c r="AV27" s="513"/>
      <c r="AW27" s="646"/>
      <c r="AX27" s="303"/>
      <c r="AY27" s="196"/>
      <c r="AZ27" s="196"/>
      <c r="BA27" s="196"/>
      <c r="BB27" s="196"/>
      <c r="BC27" s="524"/>
      <c r="BD27" s="186"/>
      <c r="BE27" s="184"/>
      <c r="BF27" s="184"/>
      <c r="BG27" s="184"/>
      <c r="BH27" s="184"/>
      <c r="BI27" s="187"/>
      <c r="BJ27" s="224"/>
      <c r="BK27" s="225"/>
      <c r="BL27" s="580" t="s">
        <v>136</v>
      </c>
      <c r="BM27" s="182"/>
      <c r="BN27" s="182"/>
      <c r="BO27" s="545"/>
      <c r="BP27" s="195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84"/>
      <c r="CC27" s="184"/>
      <c r="CD27" s="184"/>
      <c r="CE27" s="184"/>
      <c r="CF27" s="184"/>
      <c r="CG27" s="187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</row>
    <row r="28" spans="1:103" ht="9.75" customHeight="1">
      <c r="A28" s="48">
        <v>25</v>
      </c>
      <c r="B28" s="472" t="s">
        <v>178</v>
      </c>
      <c r="C28" s="473"/>
      <c r="D28" s="473"/>
      <c r="E28" s="452" t="s">
        <v>200</v>
      </c>
      <c r="F28" s="474"/>
      <c r="G28" s="475"/>
      <c r="H28" s="241"/>
      <c r="I28" s="172"/>
      <c r="J28" s="172"/>
      <c r="K28" s="172"/>
      <c r="L28" s="172"/>
      <c r="M28" s="172"/>
      <c r="N28" s="196"/>
      <c r="O28" s="196"/>
      <c r="P28" s="196"/>
      <c r="Q28" s="196"/>
      <c r="R28" s="196"/>
      <c r="S28" s="609"/>
      <c r="AF28" s="604"/>
      <c r="AG28" s="605"/>
      <c r="AH28" s="182" t="s">
        <v>147</v>
      </c>
      <c r="AI28" s="182"/>
      <c r="AJ28" s="182"/>
      <c r="AK28" s="182"/>
      <c r="AL28" s="182"/>
      <c r="AM28" s="182"/>
      <c r="AN28" s="182"/>
      <c r="AO28" s="182"/>
      <c r="AP28" s="182"/>
      <c r="AQ28" s="545"/>
      <c r="AR28" s="645"/>
      <c r="AS28" s="513"/>
      <c r="AT28" s="513"/>
      <c r="AU28" s="513"/>
      <c r="AV28" s="513"/>
      <c r="AW28" s="646"/>
      <c r="AX28" s="303"/>
      <c r="AY28" s="196"/>
      <c r="AZ28" s="196"/>
      <c r="BA28" s="196"/>
      <c r="BB28" s="196"/>
      <c r="BC28" s="524"/>
      <c r="BD28" s="186"/>
      <c r="BE28" s="184"/>
      <c r="BF28" s="184"/>
      <c r="BG28" s="184"/>
      <c r="BH28" s="184"/>
      <c r="BI28" s="187"/>
      <c r="BJ28" s="224"/>
      <c r="BK28" s="225"/>
      <c r="BL28" s="87"/>
      <c r="BM28" s="182" t="s">
        <v>135</v>
      </c>
      <c r="BN28" s="182"/>
      <c r="BO28" s="545"/>
      <c r="BP28" s="195"/>
      <c r="BQ28" s="196"/>
      <c r="BR28" s="196"/>
      <c r="BS28" s="196"/>
      <c r="BT28" s="196"/>
      <c r="BU28" s="196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622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</row>
    <row r="29" spans="1:103" ht="9.75" customHeight="1">
      <c r="A29" s="48">
        <v>26</v>
      </c>
      <c r="B29" s="472"/>
      <c r="C29" s="473"/>
      <c r="D29" s="473"/>
      <c r="E29" s="452" t="s">
        <v>152</v>
      </c>
      <c r="F29" s="474"/>
      <c r="G29" s="475"/>
      <c r="H29" s="241"/>
      <c r="I29" s="172"/>
      <c r="J29" s="172"/>
      <c r="K29" s="172"/>
      <c r="L29" s="172"/>
      <c r="M29" s="172"/>
      <c r="N29" s="196"/>
      <c r="O29" s="196"/>
      <c r="P29" s="196"/>
      <c r="Q29" s="196"/>
      <c r="R29" s="196"/>
      <c r="S29" s="609"/>
      <c r="AF29" s="604"/>
      <c r="AG29" s="605"/>
      <c r="AH29" s="182" t="s">
        <v>146</v>
      </c>
      <c r="AI29" s="182"/>
      <c r="AJ29" s="182"/>
      <c r="AK29" s="182"/>
      <c r="AL29" s="182"/>
      <c r="AM29" s="182"/>
      <c r="AN29" s="182"/>
      <c r="AO29" s="182"/>
      <c r="AP29" s="182"/>
      <c r="AQ29" s="545"/>
      <c r="AR29" s="645"/>
      <c r="AS29" s="513"/>
      <c r="AT29" s="513"/>
      <c r="AU29" s="513"/>
      <c r="AV29" s="513"/>
      <c r="AW29" s="646"/>
      <c r="AX29" s="303"/>
      <c r="AY29" s="196"/>
      <c r="AZ29" s="196"/>
      <c r="BA29" s="196"/>
      <c r="BB29" s="196"/>
      <c r="BC29" s="524"/>
      <c r="BD29" s="186"/>
      <c r="BE29" s="184"/>
      <c r="BF29" s="184"/>
      <c r="BG29" s="184"/>
      <c r="BH29" s="184"/>
      <c r="BI29" s="187"/>
      <c r="BJ29" s="224"/>
      <c r="BK29" s="225"/>
      <c r="BL29" s="182" t="s">
        <v>89</v>
      </c>
      <c r="BM29" s="182"/>
      <c r="BN29" s="182"/>
      <c r="BO29" s="545"/>
      <c r="BP29" s="241"/>
      <c r="BQ29" s="172"/>
      <c r="BR29" s="172"/>
      <c r="BS29" s="172"/>
      <c r="BT29" s="172"/>
      <c r="BU29" s="172"/>
      <c r="BV29" s="184"/>
      <c r="BW29" s="184"/>
      <c r="BX29" s="184"/>
      <c r="BY29" s="184"/>
      <c r="BZ29" s="184"/>
      <c r="CA29" s="184"/>
      <c r="CB29" s="172"/>
      <c r="CC29" s="172"/>
      <c r="CD29" s="172"/>
      <c r="CE29" s="172"/>
      <c r="CF29" s="172"/>
      <c r="CG29" s="622"/>
      <c r="CH29" s="88"/>
      <c r="CI29" s="88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</row>
    <row r="30" spans="1:103" ht="9.75" customHeight="1">
      <c r="A30" s="48">
        <v>27</v>
      </c>
      <c r="B30" s="445" t="s">
        <v>342</v>
      </c>
      <c r="C30" s="446"/>
      <c r="D30" s="446"/>
      <c r="E30" s="446"/>
      <c r="F30" s="446"/>
      <c r="G30" s="446"/>
      <c r="H30" s="447"/>
      <c r="I30" s="448"/>
      <c r="J30" s="448"/>
      <c r="K30" s="448"/>
      <c r="L30" s="448"/>
      <c r="M30" s="448"/>
      <c r="N30" s="184"/>
      <c r="O30" s="184"/>
      <c r="P30" s="184"/>
      <c r="Q30" s="184"/>
      <c r="R30" s="184"/>
      <c r="S30" s="187"/>
      <c r="AF30" s="604"/>
      <c r="AG30" s="605"/>
      <c r="AH30" s="182" t="s">
        <v>145</v>
      </c>
      <c r="AI30" s="182"/>
      <c r="AJ30" s="182"/>
      <c r="AK30" s="182"/>
      <c r="AL30" s="182"/>
      <c r="AM30" s="182"/>
      <c r="AN30" s="182"/>
      <c r="AO30" s="182"/>
      <c r="AP30" s="182"/>
      <c r="AQ30" s="545"/>
      <c r="AR30" s="645"/>
      <c r="AS30" s="513"/>
      <c r="AT30" s="513"/>
      <c r="AU30" s="513"/>
      <c r="AV30" s="513"/>
      <c r="AW30" s="646"/>
      <c r="AX30" s="303"/>
      <c r="AY30" s="196"/>
      <c r="AZ30" s="196"/>
      <c r="BA30" s="196"/>
      <c r="BB30" s="196"/>
      <c r="BC30" s="524"/>
      <c r="BD30" s="186"/>
      <c r="BE30" s="184"/>
      <c r="BF30" s="184"/>
      <c r="BG30" s="184"/>
      <c r="BH30" s="184"/>
      <c r="BI30" s="187"/>
      <c r="BJ30" s="625"/>
      <c r="BK30" s="580" t="s">
        <v>63</v>
      </c>
      <c r="BL30" s="580"/>
      <c r="BM30" s="580"/>
      <c r="BN30" s="580"/>
      <c r="BO30" s="581"/>
      <c r="BP30" s="635"/>
      <c r="BQ30" s="623"/>
      <c r="BR30" s="623"/>
      <c r="BS30" s="623"/>
      <c r="BT30" s="623"/>
      <c r="BU30" s="623"/>
      <c r="BV30" s="326"/>
      <c r="BW30" s="326"/>
      <c r="BX30" s="326"/>
      <c r="BY30" s="326"/>
      <c r="BZ30" s="326"/>
      <c r="CA30" s="326"/>
      <c r="CB30" s="623"/>
      <c r="CC30" s="623"/>
      <c r="CD30" s="623"/>
      <c r="CE30" s="623"/>
      <c r="CF30" s="623"/>
      <c r="CG30" s="624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</row>
    <row r="31" spans="1:103" ht="9.75" customHeight="1">
      <c r="A31" s="48">
        <v>28</v>
      </c>
      <c r="B31" s="89"/>
      <c r="C31" s="449" t="s">
        <v>81</v>
      </c>
      <c r="D31" s="450"/>
      <c r="E31" s="450"/>
      <c r="F31" s="450"/>
      <c r="G31" s="451"/>
      <c r="H31" s="241"/>
      <c r="I31" s="172"/>
      <c r="J31" s="172"/>
      <c r="K31" s="172"/>
      <c r="L31" s="172"/>
      <c r="M31" s="172"/>
      <c r="N31" s="196"/>
      <c r="O31" s="196"/>
      <c r="P31" s="196"/>
      <c r="Q31" s="196"/>
      <c r="R31" s="196"/>
      <c r="S31" s="609"/>
      <c r="AF31" s="604"/>
      <c r="AG31" s="605"/>
      <c r="AH31" s="182" t="s">
        <v>144</v>
      </c>
      <c r="AI31" s="182"/>
      <c r="AJ31" s="182"/>
      <c r="AK31" s="182"/>
      <c r="AL31" s="182"/>
      <c r="AM31" s="182"/>
      <c r="AN31" s="182"/>
      <c r="AO31" s="182"/>
      <c r="AP31" s="182"/>
      <c r="AQ31" s="545"/>
      <c r="AR31" s="645"/>
      <c r="AS31" s="513"/>
      <c r="AT31" s="513"/>
      <c r="AU31" s="513"/>
      <c r="AV31" s="513"/>
      <c r="AW31" s="646"/>
      <c r="AX31" s="303"/>
      <c r="AY31" s="196"/>
      <c r="AZ31" s="196"/>
      <c r="BA31" s="196"/>
      <c r="BB31" s="196"/>
      <c r="BC31" s="524"/>
      <c r="BD31" s="186"/>
      <c r="BE31" s="184"/>
      <c r="BF31" s="184"/>
      <c r="BG31" s="184"/>
      <c r="BH31" s="184"/>
      <c r="BI31" s="187"/>
      <c r="BJ31" s="610" t="s">
        <v>169</v>
      </c>
      <c r="BK31" s="611"/>
      <c r="BL31" s="611"/>
      <c r="BM31" s="611"/>
      <c r="BN31" s="611"/>
      <c r="BO31" s="612"/>
      <c r="BP31" s="613"/>
      <c r="BQ31" s="614"/>
      <c r="BR31" s="614"/>
      <c r="BS31" s="614"/>
      <c r="BT31" s="614"/>
      <c r="BU31" s="614"/>
      <c r="BV31" s="614"/>
      <c r="BW31" s="614"/>
      <c r="BX31" s="614"/>
      <c r="BY31" s="614"/>
      <c r="BZ31" s="614"/>
      <c r="CA31" s="614"/>
      <c r="CB31" s="614"/>
      <c r="CC31" s="614"/>
      <c r="CD31" s="614"/>
      <c r="CE31" s="614"/>
      <c r="CF31" s="614"/>
      <c r="CG31" s="639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</row>
    <row r="32" spans="1:103" ht="9.75" customHeight="1">
      <c r="A32" s="48">
        <v>29</v>
      </c>
      <c r="B32" s="90"/>
      <c r="C32" s="452" t="s">
        <v>195</v>
      </c>
      <c r="D32" s="453"/>
      <c r="E32" s="453"/>
      <c r="F32" s="453"/>
      <c r="G32" s="454"/>
      <c r="H32" s="241"/>
      <c r="I32" s="172"/>
      <c r="J32" s="172"/>
      <c r="K32" s="172"/>
      <c r="L32" s="172"/>
      <c r="M32" s="172"/>
      <c r="N32" s="196"/>
      <c r="O32" s="196"/>
      <c r="P32" s="196"/>
      <c r="Q32" s="196"/>
      <c r="R32" s="196"/>
      <c r="S32" s="609"/>
      <c r="AF32" s="604"/>
      <c r="AG32" s="605"/>
      <c r="AH32" s="182" t="s">
        <v>111</v>
      </c>
      <c r="AI32" s="182"/>
      <c r="AJ32" s="182"/>
      <c r="AK32" s="182"/>
      <c r="AL32" s="182"/>
      <c r="AM32" s="182"/>
      <c r="AN32" s="182"/>
      <c r="AO32" s="182"/>
      <c r="AP32" s="182"/>
      <c r="AQ32" s="545"/>
      <c r="AR32" s="645"/>
      <c r="AS32" s="513"/>
      <c r="AT32" s="513"/>
      <c r="AU32" s="513"/>
      <c r="AV32" s="513"/>
      <c r="AW32" s="646"/>
      <c r="AX32" s="303"/>
      <c r="AY32" s="196"/>
      <c r="AZ32" s="196"/>
      <c r="BA32" s="196"/>
      <c r="BB32" s="196"/>
      <c r="BC32" s="524"/>
      <c r="BD32" s="186"/>
      <c r="BE32" s="184"/>
      <c r="BF32" s="184"/>
      <c r="BG32" s="184"/>
      <c r="BH32" s="184"/>
      <c r="BI32" s="187"/>
      <c r="BJ32" s="636" t="s">
        <v>9</v>
      </c>
      <c r="BK32" s="637" t="s">
        <v>91</v>
      </c>
      <c r="BL32" s="174" t="s">
        <v>134</v>
      </c>
      <c r="BM32" s="174"/>
      <c r="BN32" s="174"/>
      <c r="BO32" s="175"/>
      <c r="BP32" s="202"/>
      <c r="BQ32" s="197"/>
      <c r="BR32" s="197"/>
      <c r="BS32" s="197"/>
      <c r="BT32" s="197"/>
      <c r="BU32" s="197"/>
      <c r="BV32" s="197"/>
      <c r="BW32" s="197"/>
      <c r="BX32" s="197"/>
      <c r="BY32" s="197"/>
      <c r="BZ32" s="197"/>
      <c r="CA32" s="197"/>
      <c r="CB32" s="162"/>
      <c r="CC32" s="162"/>
      <c r="CD32" s="162"/>
      <c r="CE32" s="162"/>
      <c r="CF32" s="162"/>
      <c r="CG32" s="163"/>
      <c r="CH32" s="49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</row>
    <row r="33" spans="1:103" ht="9.75" customHeight="1">
      <c r="A33" s="48">
        <v>30</v>
      </c>
      <c r="B33" s="461"/>
      <c r="C33" s="462"/>
      <c r="D33" s="462"/>
      <c r="E33" s="462"/>
      <c r="F33" s="462"/>
      <c r="G33" s="462"/>
      <c r="H33" s="164"/>
      <c r="I33" s="165"/>
      <c r="J33" s="165"/>
      <c r="K33" s="165"/>
      <c r="L33" s="165"/>
      <c r="M33" s="165"/>
      <c r="N33" s="196"/>
      <c r="O33" s="196"/>
      <c r="P33" s="196"/>
      <c r="Q33" s="196"/>
      <c r="R33" s="196"/>
      <c r="S33" s="609"/>
      <c r="AF33" s="604"/>
      <c r="AG33" s="605"/>
      <c r="AH33" s="182" t="s">
        <v>110</v>
      </c>
      <c r="AI33" s="182"/>
      <c r="AJ33" s="182"/>
      <c r="AK33" s="182"/>
      <c r="AL33" s="182"/>
      <c r="AM33" s="182"/>
      <c r="AN33" s="182"/>
      <c r="AO33" s="182"/>
      <c r="AP33" s="182"/>
      <c r="AQ33" s="545"/>
      <c r="AR33" s="645"/>
      <c r="AS33" s="513"/>
      <c r="AT33" s="513"/>
      <c r="AU33" s="513"/>
      <c r="AV33" s="513"/>
      <c r="AW33" s="646"/>
      <c r="AX33" s="303"/>
      <c r="AY33" s="196"/>
      <c r="AZ33" s="196"/>
      <c r="BA33" s="196"/>
      <c r="BB33" s="196"/>
      <c r="BC33" s="524"/>
      <c r="BD33" s="186"/>
      <c r="BE33" s="184"/>
      <c r="BF33" s="184"/>
      <c r="BG33" s="184"/>
      <c r="BH33" s="184"/>
      <c r="BI33" s="187"/>
      <c r="BJ33" s="636"/>
      <c r="BK33" s="638"/>
      <c r="BL33" s="182" t="s">
        <v>133</v>
      </c>
      <c r="BM33" s="182"/>
      <c r="BN33" s="182"/>
      <c r="BO33" s="183"/>
      <c r="BP33" s="195"/>
      <c r="BQ33" s="196"/>
      <c r="BR33" s="196"/>
      <c r="BS33" s="196"/>
      <c r="BT33" s="196"/>
      <c r="BU33" s="196"/>
      <c r="BV33" s="196"/>
      <c r="BW33" s="196"/>
      <c r="BX33" s="196"/>
      <c r="BY33" s="196"/>
      <c r="BZ33" s="196"/>
      <c r="CA33" s="196"/>
      <c r="CB33" s="184"/>
      <c r="CC33" s="184"/>
      <c r="CD33" s="184"/>
      <c r="CE33" s="184"/>
      <c r="CF33" s="184"/>
      <c r="CG33" s="187"/>
      <c r="CH33" s="91"/>
      <c r="CI33" s="91"/>
      <c r="CJ33" s="91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</row>
    <row r="34" spans="1:103" ht="9.75" customHeight="1">
      <c r="A34" s="48">
        <v>31</v>
      </c>
      <c r="B34" s="633"/>
      <c r="C34" s="634"/>
      <c r="D34" s="634"/>
      <c r="E34" s="634"/>
      <c r="F34" s="634"/>
      <c r="G34" s="634"/>
      <c r="H34" s="164"/>
      <c r="I34" s="165"/>
      <c r="J34" s="165"/>
      <c r="K34" s="165"/>
      <c r="L34" s="165"/>
      <c r="M34" s="165"/>
      <c r="N34" s="584"/>
      <c r="O34" s="584"/>
      <c r="P34" s="584"/>
      <c r="Q34" s="584"/>
      <c r="R34" s="584"/>
      <c r="S34" s="621"/>
      <c r="AF34" s="604"/>
      <c r="AG34" s="605"/>
      <c r="AH34" s="647" t="s">
        <v>343</v>
      </c>
      <c r="AI34" s="648"/>
      <c r="AJ34" s="648"/>
      <c r="AK34" s="182" t="s">
        <v>109</v>
      </c>
      <c r="AL34" s="182"/>
      <c r="AM34" s="182"/>
      <c r="AN34" s="182"/>
      <c r="AO34" s="182"/>
      <c r="AP34" s="182"/>
      <c r="AQ34" s="545"/>
      <c r="AR34" s="645"/>
      <c r="AS34" s="513"/>
      <c r="AT34" s="513"/>
      <c r="AU34" s="513"/>
      <c r="AV34" s="513"/>
      <c r="AW34" s="646"/>
      <c r="AX34" s="303"/>
      <c r="AY34" s="196"/>
      <c r="AZ34" s="196"/>
      <c r="BA34" s="196"/>
      <c r="BB34" s="196"/>
      <c r="BC34" s="524"/>
      <c r="BD34" s="186"/>
      <c r="BE34" s="184"/>
      <c r="BF34" s="184"/>
      <c r="BG34" s="184"/>
      <c r="BH34" s="184"/>
      <c r="BI34" s="187"/>
      <c r="BJ34" s="636"/>
      <c r="BK34" s="638"/>
      <c r="BL34" s="204" t="s">
        <v>171</v>
      </c>
      <c r="BM34" s="608"/>
      <c r="BN34" s="608"/>
      <c r="BO34" s="608"/>
      <c r="BP34" s="195"/>
      <c r="BQ34" s="196"/>
      <c r="BR34" s="196"/>
      <c r="BS34" s="196"/>
      <c r="BT34" s="196"/>
      <c r="BU34" s="196"/>
      <c r="BV34" s="196"/>
      <c r="BW34" s="196"/>
      <c r="BX34" s="196"/>
      <c r="BY34" s="196"/>
      <c r="BZ34" s="196"/>
      <c r="CA34" s="196"/>
      <c r="CB34" s="184"/>
      <c r="CC34" s="184"/>
      <c r="CD34" s="184"/>
      <c r="CE34" s="184"/>
      <c r="CF34" s="184"/>
      <c r="CG34" s="187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</row>
    <row r="35" spans="1:103" ht="9.75" customHeight="1">
      <c r="A35" s="48">
        <v>32</v>
      </c>
      <c r="B35" s="615"/>
      <c r="C35" s="616"/>
      <c r="D35" s="616"/>
      <c r="E35" s="616"/>
      <c r="F35" s="616"/>
      <c r="G35" s="616"/>
      <c r="H35" s="617"/>
      <c r="I35" s="618"/>
      <c r="J35" s="618"/>
      <c r="K35" s="618"/>
      <c r="L35" s="618"/>
      <c r="M35" s="618"/>
      <c r="N35" s="619"/>
      <c r="O35" s="619"/>
      <c r="P35" s="619"/>
      <c r="Q35" s="619"/>
      <c r="R35" s="619"/>
      <c r="S35" s="620"/>
      <c r="AF35" s="604"/>
      <c r="AG35" s="605"/>
      <c r="AH35" s="648"/>
      <c r="AI35" s="648"/>
      <c r="AJ35" s="648"/>
      <c r="AK35" s="182" t="s">
        <v>108</v>
      </c>
      <c r="AL35" s="182"/>
      <c r="AM35" s="182"/>
      <c r="AN35" s="182"/>
      <c r="AO35" s="182"/>
      <c r="AP35" s="182"/>
      <c r="AQ35" s="545"/>
      <c r="AR35" s="645"/>
      <c r="AS35" s="513"/>
      <c r="AT35" s="513"/>
      <c r="AU35" s="513"/>
      <c r="AV35" s="513"/>
      <c r="AW35" s="646"/>
      <c r="AX35" s="303"/>
      <c r="AY35" s="196"/>
      <c r="AZ35" s="196"/>
      <c r="BA35" s="196"/>
      <c r="BB35" s="196"/>
      <c r="BC35" s="524"/>
      <c r="BD35" s="186"/>
      <c r="BE35" s="184"/>
      <c r="BF35" s="184"/>
      <c r="BG35" s="184"/>
      <c r="BH35" s="184"/>
      <c r="BI35" s="187"/>
      <c r="BJ35" s="636"/>
      <c r="BK35" s="638"/>
      <c r="BL35" s="203" t="s">
        <v>170</v>
      </c>
      <c r="BM35" s="203"/>
      <c r="BN35" s="203"/>
      <c r="BO35" s="204"/>
      <c r="BP35" s="195"/>
      <c r="BQ35" s="196"/>
      <c r="BR35" s="196"/>
      <c r="BS35" s="196"/>
      <c r="BT35" s="196"/>
      <c r="BU35" s="196"/>
      <c r="BV35" s="196"/>
      <c r="BW35" s="196"/>
      <c r="BX35" s="196"/>
      <c r="BY35" s="196"/>
      <c r="BZ35" s="196"/>
      <c r="CA35" s="196"/>
      <c r="CB35" s="184"/>
      <c r="CC35" s="184"/>
      <c r="CD35" s="184"/>
      <c r="CE35" s="184"/>
      <c r="CF35" s="184"/>
      <c r="CG35" s="187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</row>
    <row r="36" spans="1:103" ht="9.75" customHeight="1">
      <c r="A36" s="48">
        <v>33</v>
      </c>
      <c r="B36" s="221"/>
      <c r="C36" s="220"/>
      <c r="D36" s="220"/>
      <c r="E36" s="220"/>
      <c r="F36" s="220"/>
      <c r="G36" s="220"/>
      <c r="H36" s="467" t="s">
        <v>13</v>
      </c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9"/>
      <c r="AF36" s="604"/>
      <c r="AG36" s="605"/>
      <c r="AH36" s="182" t="s">
        <v>107</v>
      </c>
      <c r="AI36" s="182"/>
      <c r="AJ36" s="182"/>
      <c r="AK36" s="182"/>
      <c r="AL36" s="182"/>
      <c r="AM36" s="182"/>
      <c r="AN36" s="182"/>
      <c r="AO36" s="182"/>
      <c r="AP36" s="182"/>
      <c r="AQ36" s="545"/>
      <c r="AR36" s="645"/>
      <c r="AS36" s="513"/>
      <c r="AT36" s="513"/>
      <c r="AU36" s="513"/>
      <c r="AV36" s="513"/>
      <c r="AW36" s="646"/>
      <c r="AX36" s="303"/>
      <c r="AY36" s="196"/>
      <c r="AZ36" s="196"/>
      <c r="BA36" s="196"/>
      <c r="BB36" s="196"/>
      <c r="BC36" s="524"/>
      <c r="BD36" s="186"/>
      <c r="BE36" s="184"/>
      <c r="BF36" s="184"/>
      <c r="BG36" s="184"/>
      <c r="BH36" s="184"/>
      <c r="BI36" s="187"/>
      <c r="BJ36" s="636"/>
      <c r="BK36" s="638"/>
      <c r="BL36" s="182" t="s">
        <v>131</v>
      </c>
      <c r="BM36" s="182"/>
      <c r="BN36" s="182"/>
      <c r="BO36" s="183"/>
      <c r="BP36" s="195"/>
      <c r="BQ36" s="196"/>
      <c r="BR36" s="196"/>
      <c r="BS36" s="196"/>
      <c r="BT36" s="196"/>
      <c r="BU36" s="196"/>
      <c r="BV36" s="196"/>
      <c r="BW36" s="196"/>
      <c r="BX36" s="196"/>
      <c r="BY36" s="196"/>
      <c r="BZ36" s="196"/>
      <c r="CA36" s="196"/>
      <c r="CB36" s="184"/>
      <c r="CC36" s="184"/>
      <c r="CD36" s="184"/>
      <c r="CE36" s="184"/>
      <c r="CF36" s="184"/>
      <c r="CG36" s="187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</row>
    <row r="37" spans="1:103" ht="9.75" customHeight="1">
      <c r="A37" s="48">
        <v>34</v>
      </c>
      <c r="B37" s="249"/>
      <c r="C37" s="250"/>
      <c r="D37" s="250"/>
      <c r="E37" s="250"/>
      <c r="F37" s="250"/>
      <c r="G37" s="250"/>
      <c r="H37" s="128" t="s">
        <v>83</v>
      </c>
      <c r="I37" s="126"/>
      <c r="J37" s="126"/>
      <c r="K37" s="126"/>
      <c r="L37" s="126"/>
      <c r="M37" s="126"/>
      <c r="N37" s="126" t="s">
        <v>82</v>
      </c>
      <c r="O37" s="126"/>
      <c r="P37" s="126"/>
      <c r="Q37" s="126"/>
      <c r="R37" s="126"/>
      <c r="S37" s="141"/>
      <c r="AF37" s="604"/>
      <c r="AG37" s="605"/>
      <c r="AH37" s="182" t="s">
        <v>143</v>
      </c>
      <c r="AI37" s="182"/>
      <c r="AJ37" s="182"/>
      <c r="AK37" s="182"/>
      <c r="AL37" s="182"/>
      <c r="AM37" s="182"/>
      <c r="AN37" s="182"/>
      <c r="AO37" s="182"/>
      <c r="AP37" s="182"/>
      <c r="AQ37" s="545"/>
      <c r="AR37" s="645"/>
      <c r="AS37" s="513"/>
      <c r="AT37" s="513"/>
      <c r="AU37" s="513"/>
      <c r="AV37" s="513"/>
      <c r="AW37" s="646"/>
      <c r="AX37" s="303"/>
      <c r="AY37" s="196"/>
      <c r="AZ37" s="196"/>
      <c r="BA37" s="196"/>
      <c r="BB37" s="196"/>
      <c r="BC37" s="524"/>
      <c r="BD37" s="186"/>
      <c r="BE37" s="184"/>
      <c r="BF37" s="184"/>
      <c r="BG37" s="184"/>
      <c r="BH37" s="184"/>
      <c r="BI37" s="187"/>
      <c r="BJ37" s="636"/>
      <c r="BK37" s="638"/>
      <c r="BL37" s="182" t="s">
        <v>89</v>
      </c>
      <c r="BM37" s="182"/>
      <c r="BN37" s="182"/>
      <c r="BO37" s="183"/>
      <c r="BP37" s="186"/>
      <c r="BQ37" s="184"/>
      <c r="BR37" s="184"/>
      <c r="BS37" s="184"/>
      <c r="BT37" s="184"/>
      <c r="BU37" s="184"/>
      <c r="BV37" s="184"/>
      <c r="BW37" s="184"/>
      <c r="BX37" s="184"/>
      <c r="BY37" s="184"/>
      <c r="BZ37" s="184"/>
      <c r="CA37" s="184"/>
      <c r="CB37" s="184"/>
      <c r="CC37" s="184"/>
      <c r="CD37" s="184"/>
      <c r="CE37" s="184"/>
      <c r="CF37" s="184"/>
      <c r="CG37" s="187"/>
      <c r="CH37" s="92"/>
      <c r="CI37" s="92"/>
      <c r="CJ37" s="92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/>
    </row>
    <row r="38" spans="1:103" ht="9.75" customHeight="1">
      <c r="A38" s="48">
        <v>35</v>
      </c>
      <c r="B38" s="470" t="s">
        <v>130</v>
      </c>
      <c r="C38" s="471"/>
      <c r="D38" s="471"/>
      <c r="E38" s="471"/>
      <c r="F38" s="471"/>
      <c r="G38" s="471"/>
      <c r="H38" s="176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98"/>
      <c r="AF38" s="604"/>
      <c r="AG38" s="605"/>
      <c r="AH38" s="182" t="s">
        <v>106</v>
      </c>
      <c r="AI38" s="182"/>
      <c r="AJ38" s="182"/>
      <c r="AK38" s="182"/>
      <c r="AL38" s="182"/>
      <c r="AM38" s="182"/>
      <c r="AN38" s="182"/>
      <c r="AO38" s="182"/>
      <c r="AP38" s="182"/>
      <c r="AQ38" s="545"/>
      <c r="AR38" s="645"/>
      <c r="AS38" s="513"/>
      <c r="AT38" s="513"/>
      <c r="AU38" s="513"/>
      <c r="AV38" s="513"/>
      <c r="AW38" s="646"/>
      <c r="AX38" s="303"/>
      <c r="AY38" s="196"/>
      <c r="AZ38" s="196"/>
      <c r="BA38" s="196"/>
      <c r="BB38" s="196"/>
      <c r="BC38" s="524"/>
      <c r="BD38" s="186"/>
      <c r="BE38" s="184"/>
      <c r="BF38" s="184"/>
      <c r="BG38" s="184"/>
      <c r="BH38" s="184"/>
      <c r="BI38" s="187"/>
      <c r="BJ38" s="636"/>
      <c r="BK38" s="638" t="s">
        <v>159</v>
      </c>
      <c r="BL38" s="182" t="s">
        <v>129</v>
      </c>
      <c r="BM38" s="182"/>
      <c r="BN38" s="182"/>
      <c r="BO38" s="183"/>
      <c r="BP38" s="195"/>
      <c r="BQ38" s="196"/>
      <c r="BR38" s="196"/>
      <c r="BS38" s="196"/>
      <c r="BT38" s="196"/>
      <c r="BU38" s="196"/>
      <c r="BV38" s="196"/>
      <c r="BW38" s="196"/>
      <c r="BX38" s="196"/>
      <c r="BY38" s="196"/>
      <c r="BZ38" s="196"/>
      <c r="CA38" s="196"/>
      <c r="CB38" s="184"/>
      <c r="CC38" s="184"/>
      <c r="CD38" s="184"/>
      <c r="CE38" s="184"/>
      <c r="CF38" s="184"/>
      <c r="CG38" s="187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</row>
    <row r="39" spans="1:103" ht="9.75" customHeight="1">
      <c r="A39" s="48">
        <v>36</v>
      </c>
      <c r="B39" s="472" t="s">
        <v>178</v>
      </c>
      <c r="C39" s="473"/>
      <c r="D39" s="473"/>
      <c r="E39" s="452" t="s">
        <v>200</v>
      </c>
      <c r="F39" s="474"/>
      <c r="G39" s="475"/>
      <c r="H39" s="241"/>
      <c r="I39" s="172"/>
      <c r="J39" s="172"/>
      <c r="K39" s="172"/>
      <c r="L39" s="172"/>
      <c r="M39" s="172"/>
      <c r="N39" s="184"/>
      <c r="O39" s="184"/>
      <c r="P39" s="184"/>
      <c r="Q39" s="184"/>
      <c r="R39" s="184"/>
      <c r="S39" s="187"/>
      <c r="AF39" s="604"/>
      <c r="AG39" s="605"/>
      <c r="AH39" s="182" t="s">
        <v>105</v>
      </c>
      <c r="AI39" s="182"/>
      <c r="AJ39" s="182"/>
      <c r="AK39" s="182"/>
      <c r="AL39" s="182"/>
      <c r="AM39" s="182"/>
      <c r="AN39" s="182"/>
      <c r="AO39" s="182"/>
      <c r="AP39" s="182"/>
      <c r="AQ39" s="545"/>
      <c r="AR39" s="645"/>
      <c r="AS39" s="513"/>
      <c r="AT39" s="513"/>
      <c r="AU39" s="513"/>
      <c r="AV39" s="513"/>
      <c r="AW39" s="646"/>
      <c r="AX39" s="303"/>
      <c r="AY39" s="196"/>
      <c r="AZ39" s="196"/>
      <c r="BA39" s="196"/>
      <c r="BB39" s="196"/>
      <c r="BC39" s="524"/>
      <c r="BD39" s="186"/>
      <c r="BE39" s="184"/>
      <c r="BF39" s="184"/>
      <c r="BG39" s="184"/>
      <c r="BH39" s="184"/>
      <c r="BI39" s="187"/>
      <c r="BJ39" s="636"/>
      <c r="BK39" s="638"/>
      <c r="BL39" s="182" t="s">
        <v>90</v>
      </c>
      <c r="BM39" s="182"/>
      <c r="BN39" s="182"/>
      <c r="BO39" s="183"/>
      <c r="BP39" s="195"/>
      <c r="BQ39" s="196"/>
      <c r="BR39" s="196"/>
      <c r="BS39" s="196"/>
      <c r="BT39" s="196"/>
      <c r="BU39" s="196"/>
      <c r="BV39" s="196"/>
      <c r="BW39" s="196"/>
      <c r="BX39" s="196"/>
      <c r="BY39" s="196"/>
      <c r="BZ39" s="196"/>
      <c r="CA39" s="196"/>
      <c r="CB39" s="184"/>
      <c r="CC39" s="184"/>
      <c r="CD39" s="184"/>
      <c r="CE39" s="184"/>
      <c r="CF39" s="184"/>
      <c r="CG39" s="187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</row>
    <row r="40" spans="1:103" ht="9.75" customHeight="1">
      <c r="A40" s="48">
        <v>37</v>
      </c>
      <c r="B40" s="472"/>
      <c r="C40" s="473"/>
      <c r="D40" s="473"/>
      <c r="E40" s="452" t="s">
        <v>152</v>
      </c>
      <c r="F40" s="474"/>
      <c r="G40" s="475"/>
      <c r="H40" s="241"/>
      <c r="I40" s="172"/>
      <c r="J40" s="172"/>
      <c r="K40" s="172"/>
      <c r="L40" s="172"/>
      <c r="M40" s="172"/>
      <c r="N40" s="184"/>
      <c r="O40" s="184"/>
      <c r="P40" s="184"/>
      <c r="Q40" s="184"/>
      <c r="R40" s="184"/>
      <c r="S40" s="187"/>
      <c r="AF40" s="604"/>
      <c r="AG40" s="605"/>
      <c r="AH40" s="182" t="s">
        <v>151</v>
      </c>
      <c r="AI40" s="182"/>
      <c r="AJ40" s="182"/>
      <c r="AK40" s="182"/>
      <c r="AL40" s="182"/>
      <c r="AM40" s="182"/>
      <c r="AN40" s="182"/>
      <c r="AO40" s="182"/>
      <c r="AP40" s="182"/>
      <c r="AQ40" s="545"/>
      <c r="AR40" s="645"/>
      <c r="AS40" s="513"/>
      <c r="AT40" s="513"/>
      <c r="AU40" s="513"/>
      <c r="AV40" s="513"/>
      <c r="AW40" s="646"/>
      <c r="AX40" s="303"/>
      <c r="AY40" s="196"/>
      <c r="AZ40" s="196"/>
      <c r="BA40" s="196"/>
      <c r="BB40" s="196"/>
      <c r="BC40" s="524"/>
      <c r="BD40" s="186"/>
      <c r="BE40" s="184"/>
      <c r="BF40" s="184"/>
      <c r="BG40" s="184"/>
      <c r="BH40" s="184"/>
      <c r="BI40" s="187"/>
      <c r="BJ40" s="636"/>
      <c r="BK40" s="638"/>
      <c r="BL40" s="182" t="s">
        <v>85</v>
      </c>
      <c r="BM40" s="182"/>
      <c r="BN40" s="182"/>
      <c r="BO40" s="183"/>
      <c r="BP40" s="195"/>
      <c r="BQ40" s="196"/>
      <c r="BR40" s="196"/>
      <c r="BS40" s="196"/>
      <c r="BT40" s="196"/>
      <c r="BU40" s="196"/>
      <c r="BV40" s="196"/>
      <c r="BW40" s="196"/>
      <c r="BX40" s="196"/>
      <c r="BY40" s="196"/>
      <c r="BZ40" s="196"/>
      <c r="CA40" s="196"/>
      <c r="CB40" s="184"/>
      <c r="CC40" s="184"/>
      <c r="CD40" s="184"/>
      <c r="CE40" s="184"/>
      <c r="CF40" s="184"/>
      <c r="CG40" s="187"/>
      <c r="CH40" s="49"/>
      <c r="CI40" s="49"/>
      <c r="CJ40" s="49"/>
      <c r="CK40" s="49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86"/>
    </row>
    <row r="41" spans="1:103" ht="9.75" customHeight="1">
      <c r="A41" s="48">
        <v>38</v>
      </c>
      <c r="B41" s="445" t="s">
        <v>342</v>
      </c>
      <c r="C41" s="446"/>
      <c r="D41" s="446"/>
      <c r="E41" s="446"/>
      <c r="F41" s="446"/>
      <c r="G41" s="446"/>
      <c r="H41" s="447"/>
      <c r="I41" s="448"/>
      <c r="J41" s="448"/>
      <c r="K41" s="448"/>
      <c r="L41" s="448"/>
      <c r="M41" s="448"/>
      <c r="N41" s="184"/>
      <c r="O41" s="184"/>
      <c r="P41" s="184"/>
      <c r="Q41" s="184"/>
      <c r="R41" s="184"/>
      <c r="S41" s="187"/>
      <c r="AF41" s="604"/>
      <c r="AG41" s="605"/>
      <c r="AH41" s="182" t="s">
        <v>85</v>
      </c>
      <c r="AI41" s="182"/>
      <c r="AJ41" s="182"/>
      <c r="AK41" s="182"/>
      <c r="AL41" s="182"/>
      <c r="AM41" s="182"/>
      <c r="AN41" s="182"/>
      <c r="AO41" s="182"/>
      <c r="AP41" s="182"/>
      <c r="AQ41" s="545"/>
      <c r="AR41" s="573"/>
      <c r="AS41" s="172"/>
      <c r="AT41" s="172"/>
      <c r="AU41" s="172"/>
      <c r="AV41" s="172"/>
      <c r="AW41" s="172"/>
      <c r="AX41" s="196"/>
      <c r="AY41" s="196"/>
      <c r="AZ41" s="196"/>
      <c r="BA41" s="196"/>
      <c r="BB41" s="196"/>
      <c r="BC41" s="524"/>
      <c r="BD41" s="186"/>
      <c r="BE41" s="184"/>
      <c r="BF41" s="184"/>
      <c r="BG41" s="184"/>
      <c r="BH41" s="184"/>
      <c r="BI41" s="187"/>
      <c r="BJ41" s="636"/>
      <c r="BK41" s="638"/>
      <c r="BL41" s="182" t="s">
        <v>89</v>
      </c>
      <c r="BM41" s="182"/>
      <c r="BN41" s="182"/>
      <c r="BO41" s="183"/>
      <c r="BP41" s="234"/>
      <c r="BQ41" s="235"/>
      <c r="BR41" s="235"/>
      <c r="BS41" s="235"/>
      <c r="BT41" s="235"/>
      <c r="BU41" s="235"/>
      <c r="BV41" s="235"/>
      <c r="BW41" s="235"/>
      <c r="BX41" s="235"/>
      <c r="BY41" s="235"/>
      <c r="BZ41" s="235"/>
      <c r="CA41" s="235"/>
      <c r="CB41" s="184"/>
      <c r="CC41" s="184"/>
      <c r="CD41" s="184"/>
      <c r="CE41" s="184"/>
      <c r="CF41" s="184"/>
      <c r="CG41" s="187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/>
    </row>
    <row r="42" spans="1:103" ht="9.75" customHeight="1">
      <c r="A42" s="48">
        <v>39</v>
      </c>
      <c r="B42" s="89"/>
      <c r="C42" s="449" t="s">
        <v>81</v>
      </c>
      <c r="D42" s="450"/>
      <c r="E42" s="450"/>
      <c r="F42" s="450"/>
      <c r="G42" s="451"/>
      <c r="H42" s="241"/>
      <c r="I42" s="172"/>
      <c r="J42" s="172"/>
      <c r="K42" s="172"/>
      <c r="L42" s="172"/>
      <c r="M42" s="172"/>
      <c r="N42" s="184"/>
      <c r="O42" s="184"/>
      <c r="P42" s="184"/>
      <c r="Q42" s="184"/>
      <c r="R42" s="184"/>
      <c r="S42" s="187"/>
      <c r="AF42" s="604"/>
      <c r="AG42" s="605"/>
      <c r="AH42" s="580" t="s">
        <v>1</v>
      </c>
      <c r="AI42" s="580"/>
      <c r="AJ42" s="580"/>
      <c r="AK42" s="182"/>
      <c r="AL42" s="182"/>
      <c r="AM42" s="182"/>
      <c r="AN42" s="182"/>
      <c r="AO42" s="182"/>
      <c r="AP42" s="182"/>
      <c r="AQ42" s="545"/>
      <c r="AR42" s="573"/>
      <c r="AS42" s="172"/>
      <c r="AT42" s="172"/>
      <c r="AU42" s="172"/>
      <c r="AV42" s="172"/>
      <c r="AW42" s="172"/>
      <c r="AX42" s="184"/>
      <c r="AY42" s="184"/>
      <c r="AZ42" s="184"/>
      <c r="BA42" s="184"/>
      <c r="BB42" s="184"/>
      <c r="BC42" s="314"/>
      <c r="BD42" s="186"/>
      <c r="BE42" s="184"/>
      <c r="BF42" s="184"/>
      <c r="BG42" s="184"/>
      <c r="BH42" s="184"/>
      <c r="BI42" s="187"/>
      <c r="BJ42" s="566"/>
      <c r="BK42" s="644" t="s">
        <v>63</v>
      </c>
      <c r="BL42" s="182"/>
      <c r="BM42" s="182"/>
      <c r="BN42" s="182"/>
      <c r="BO42" s="183"/>
      <c r="BP42" s="186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184"/>
      <c r="CB42" s="184"/>
      <c r="CC42" s="184"/>
      <c r="CD42" s="184"/>
      <c r="CE42" s="184"/>
      <c r="CF42" s="184"/>
      <c r="CG42" s="187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</row>
    <row r="43" spans="1:103" ht="9.75" customHeight="1">
      <c r="A43" s="48">
        <v>40</v>
      </c>
      <c r="B43" s="90"/>
      <c r="C43" s="452" t="s">
        <v>195</v>
      </c>
      <c r="D43" s="453"/>
      <c r="E43" s="453"/>
      <c r="F43" s="453"/>
      <c r="G43" s="454"/>
      <c r="H43" s="241"/>
      <c r="I43" s="172"/>
      <c r="J43" s="172"/>
      <c r="K43" s="172"/>
      <c r="L43" s="172"/>
      <c r="M43" s="172"/>
      <c r="N43" s="184"/>
      <c r="O43" s="184"/>
      <c r="P43" s="184"/>
      <c r="Q43" s="184"/>
      <c r="R43" s="184"/>
      <c r="S43" s="187"/>
      <c r="AF43" s="606"/>
      <c r="AG43" s="607"/>
      <c r="AH43" s="81"/>
      <c r="AI43" s="82"/>
      <c r="AJ43" s="83"/>
      <c r="AK43" s="721" t="s">
        <v>142</v>
      </c>
      <c r="AL43" s="721"/>
      <c r="AM43" s="721"/>
      <c r="AN43" s="721"/>
      <c r="AO43" s="721"/>
      <c r="AP43" s="721"/>
      <c r="AQ43" s="722"/>
      <c r="AR43" s="630"/>
      <c r="AS43" s="631"/>
      <c r="AT43" s="631"/>
      <c r="AU43" s="631"/>
      <c r="AV43" s="631"/>
      <c r="AW43" s="631"/>
      <c r="AX43" s="245"/>
      <c r="AY43" s="245"/>
      <c r="AZ43" s="245"/>
      <c r="BA43" s="245"/>
      <c r="BB43" s="245"/>
      <c r="BC43" s="632"/>
      <c r="BD43" s="696"/>
      <c r="BE43" s="246"/>
      <c r="BF43" s="246"/>
      <c r="BG43" s="246"/>
      <c r="BH43" s="246"/>
      <c r="BI43" s="247"/>
      <c r="BJ43" s="640" t="s">
        <v>5</v>
      </c>
      <c r="BK43" s="642" t="s">
        <v>91</v>
      </c>
      <c r="BL43" s="642"/>
      <c r="BM43" s="642"/>
      <c r="BN43" s="642"/>
      <c r="BO43" s="643"/>
      <c r="BP43" s="195"/>
      <c r="BQ43" s="196"/>
      <c r="BR43" s="196"/>
      <c r="BS43" s="196"/>
      <c r="BT43" s="196"/>
      <c r="BU43" s="196"/>
      <c r="BV43" s="196"/>
      <c r="BW43" s="196"/>
      <c r="BX43" s="196"/>
      <c r="BY43" s="196"/>
      <c r="BZ43" s="196"/>
      <c r="CA43" s="196"/>
      <c r="CB43" s="184"/>
      <c r="CC43" s="184"/>
      <c r="CD43" s="184"/>
      <c r="CE43" s="184"/>
      <c r="CF43" s="184"/>
      <c r="CG43" s="187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</row>
    <row r="44" spans="1:103" ht="9.75" customHeight="1">
      <c r="A44" s="48">
        <v>41</v>
      </c>
      <c r="B44" s="461"/>
      <c r="C44" s="462"/>
      <c r="D44" s="462"/>
      <c r="E44" s="462"/>
      <c r="F44" s="462"/>
      <c r="G44" s="462"/>
      <c r="H44" s="186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7"/>
      <c r="AF44" s="711"/>
      <c r="AG44" s="712"/>
      <c r="AH44" s="712"/>
      <c r="AI44" s="712"/>
      <c r="AJ44" s="712"/>
      <c r="AK44" s="712"/>
      <c r="AL44" s="712"/>
      <c r="AM44" s="712"/>
      <c r="AN44" s="712"/>
      <c r="AO44" s="712"/>
      <c r="AP44" s="712"/>
      <c r="AQ44" s="713"/>
      <c r="AR44" s="714"/>
      <c r="AS44" s="714"/>
      <c r="AT44" s="714"/>
      <c r="AU44" s="714"/>
      <c r="AV44" s="714"/>
      <c r="AW44" s="714"/>
      <c r="AX44" s="715" t="s">
        <v>174</v>
      </c>
      <c r="AY44" s="716"/>
      <c r="AZ44" s="716"/>
      <c r="BA44" s="716"/>
      <c r="BB44" s="716"/>
      <c r="BC44" s="687"/>
      <c r="BD44" s="716" t="s">
        <v>6</v>
      </c>
      <c r="BE44" s="716"/>
      <c r="BF44" s="716"/>
      <c r="BG44" s="716"/>
      <c r="BH44" s="716"/>
      <c r="BI44" s="717"/>
      <c r="BJ44" s="640"/>
      <c r="BK44" s="642" t="s">
        <v>159</v>
      </c>
      <c r="BL44" s="642"/>
      <c r="BM44" s="642"/>
      <c r="BN44" s="642"/>
      <c r="BO44" s="643"/>
      <c r="BP44" s="195"/>
      <c r="BQ44" s="196"/>
      <c r="BR44" s="196"/>
      <c r="BS44" s="196"/>
      <c r="BT44" s="196"/>
      <c r="BU44" s="196"/>
      <c r="BV44" s="196"/>
      <c r="BW44" s="196"/>
      <c r="BX44" s="196"/>
      <c r="BY44" s="196"/>
      <c r="BZ44" s="196"/>
      <c r="CA44" s="196"/>
      <c r="CB44" s="184"/>
      <c r="CC44" s="184"/>
      <c r="CD44" s="184"/>
      <c r="CE44" s="184"/>
      <c r="CF44" s="184"/>
      <c r="CG44" s="187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</row>
    <row r="45" spans="1:103" ht="9.75" customHeight="1" thickBot="1">
      <c r="A45" s="48">
        <v>42</v>
      </c>
      <c r="B45" s="461"/>
      <c r="C45" s="462"/>
      <c r="D45" s="462"/>
      <c r="E45" s="462"/>
      <c r="F45" s="462"/>
      <c r="G45" s="462"/>
      <c r="H45" s="186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7"/>
      <c r="AF45" s="723" t="s">
        <v>104</v>
      </c>
      <c r="AG45" s="724"/>
      <c r="AH45" s="724"/>
      <c r="AI45" s="724"/>
      <c r="AJ45" s="724"/>
      <c r="AK45" s="724"/>
      <c r="AL45" s="724"/>
      <c r="AM45" s="724"/>
      <c r="AN45" s="724"/>
      <c r="AO45" s="724"/>
      <c r="AP45" s="724"/>
      <c r="AQ45" s="725"/>
      <c r="AR45" s="726"/>
      <c r="AS45" s="727"/>
      <c r="AT45" s="727"/>
      <c r="AU45" s="727"/>
      <c r="AV45" s="727"/>
      <c r="AW45" s="728"/>
      <c r="AX45" s="702"/>
      <c r="AY45" s="290"/>
      <c r="AZ45" s="290"/>
      <c r="BA45" s="290"/>
      <c r="BB45" s="290"/>
      <c r="BC45" s="290"/>
      <c r="BD45" s="330"/>
      <c r="BE45" s="331"/>
      <c r="BF45" s="331"/>
      <c r="BG45" s="331"/>
      <c r="BH45" s="331"/>
      <c r="BI45" s="332"/>
      <c r="BJ45" s="641"/>
      <c r="BK45" s="274" t="s">
        <v>1</v>
      </c>
      <c r="BL45" s="274"/>
      <c r="BM45" s="274"/>
      <c r="BN45" s="274"/>
      <c r="BO45" s="275"/>
      <c r="BP45" s="213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208"/>
      <c r="CD45" s="208"/>
      <c r="CE45" s="208"/>
      <c r="CF45" s="208"/>
      <c r="CG45" s="209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</row>
    <row r="46" spans="1:103" ht="9.75" customHeight="1" thickBot="1">
      <c r="A46" s="48">
        <v>43</v>
      </c>
      <c r="B46" s="463"/>
      <c r="C46" s="464"/>
      <c r="D46" s="464"/>
      <c r="E46" s="464"/>
      <c r="F46" s="464"/>
      <c r="G46" s="464"/>
      <c r="H46" s="213"/>
      <c r="I46" s="208"/>
      <c r="J46" s="208"/>
      <c r="K46" s="208"/>
      <c r="L46" s="208"/>
      <c r="M46" s="208"/>
      <c r="N46" s="465"/>
      <c r="O46" s="465"/>
      <c r="P46" s="465"/>
      <c r="Q46" s="465"/>
      <c r="R46" s="465"/>
      <c r="S46" s="466"/>
      <c r="AF46" s="93"/>
      <c r="AG46" s="94"/>
      <c r="AH46" s="274" t="s">
        <v>142</v>
      </c>
      <c r="AI46" s="274"/>
      <c r="AJ46" s="274"/>
      <c r="AK46" s="274"/>
      <c r="AL46" s="274"/>
      <c r="AM46" s="274"/>
      <c r="AN46" s="274"/>
      <c r="AO46" s="274"/>
      <c r="AP46" s="274"/>
      <c r="AQ46" s="347"/>
      <c r="AR46" s="455"/>
      <c r="AS46" s="456"/>
      <c r="AT46" s="456"/>
      <c r="AU46" s="456"/>
      <c r="AV46" s="456"/>
      <c r="AW46" s="457"/>
      <c r="AX46" s="458"/>
      <c r="AY46" s="459"/>
      <c r="AZ46" s="459"/>
      <c r="BA46" s="459"/>
      <c r="BB46" s="459"/>
      <c r="BC46" s="459"/>
      <c r="BD46" s="373"/>
      <c r="BE46" s="374"/>
      <c r="BF46" s="374"/>
      <c r="BG46" s="374"/>
      <c r="BH46" s="374"/>
      <c r="BI46" s="460"/>
      <c r="BJ46" s="679" t="s">
        <v>296</v>
      </c>
      <c r="BK46" s="440"/>
      <c r="BL46" s="440"/>
      <c r="BM46" s="440"/>
      <c r="BN46" s="440"/>
      <c r="BO46" s="440"/>
      <c r="BP46" s="440"/>
      <c r="BQ46" s="440"/>
      <c r="BR46" s="440"/>
      <c r="BS46" s="440"/>
      <c r="BT46" s="440"/>
      <c r="BU46" s="440"/>
      <c r="BV46" s="440"/>
      <c r="BW46" s="440"/>
      <c r="BX46" s="440"/>
      <c r="BY46" s="440"/>
      <c r="BZ46" s="440"/>
      <c r="CA46" s="440"/>
      <c r="CB46" s="440"/>
      <c r="CC46" s="440"/>
      <c r="CD46" s="440"/>
      <c r="CE46" s="440"/>
      <c r="CF46" s="440"/>
      <c r="CG46" s="441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</row>
    <row r="47" spans="1:103" ht="9.75" customHeight="1" thickBot="1">
      <c r="A47" s="48">
        <v>44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46"/>
      <c r="AA47" s="46"/>
      <c r="AB47" s="46"/>
      <c r="AC47" s="46"/>
      <c r="AD47" s="46"/>
      <c r="AE47" s="46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179" t="s">
        <v>297</v>
      </c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1"/>
      <c r="BD47" s="96"/>
      <c r="BE47" s="96"/>
      <c r="BF47" s="96"/>
      <c r="BG47" s="96"/>
      <c r="BH47" s="96"/>
      <c r="BI47" s="96"/>
      <c r="BJ47" s="671"/>
      <c r="BK47" s="672"/>
      <c r="BL47" s="672"/>
      <c r="BM47" s="672"/>
      <c r="BN47" s="672"/>
      <c r="BO47" s="673"/>
      <c r="BP47" s="674"/>
      <c r="BQ47" s="299"/>
      <c r="BR47" s="299"/>
      <c r="BS47" s="299"/>
      <c r="BT47" s="299"/>
      <c r="BU47" s="299"/>
      <c r="BV47" s="667"/>
      <c r="BW47" s="668"/>
      <c r="BX47" s="668"/>
      <c r="BY47" s="668"/>
      <c r="BZ47" s="668"/>
      <c r="CA47" s="668"/>
      <c r="CB47" s="196"/>
      <c r="CC47" s="196"/>
      <c r="CD47" s="196"/>
      <c r="CE47" s="196"/>
      <c r="CF47" s="196"/>
      <c r="CG47" s="609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</row>
    <row r="48" spans="1:103" ht="9.75" customHeight="1">
      <c r="A48" s="48">
        <v>45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97" t="s">
        <v>298</v>
      </c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9"/>
      <c r="AR48" s="505" t="s">
        <v>156</v>
      </c>
      <c r="AS48" s="506"/>
      <c r="AT48" s="506"/>
      <c r="AU48" s="506"/>
      <c r="AV48" s="506"/>
      <c r="AW48" s="507"/>
      <c r="AX48" s="508"/>
      <c r="AY48" s="508"/>
      <c r="AZ48" s="508"/>
      <c r="BA48" s="508"/>
      <c r="BB48" s="508"/>
      <c r="BC48" s="509"/>
      <c r="BD48" s="46"/>
      <c r="BE48" s="46"/>
      <c r="BF48" s="46"/>
      <c r="BG48" s="46"/>
      <c r="BH48" s="46"/>
      <c r="BI48" s="46"/>
      <c r="BJ48" s="664"/>
      <c r="BK48" s="665"/>
      <c r="BL48" s="665"/>
      <c r="BM48" s="665"/>
      <c r="BN48" s="665"/>
      <c r="BO48" s="666"/>
      <c r="BP48" s="524"/>
      <c r="BQ48" s="283"/>
      <c r="BR48" s="283"/>
      <c r="BS48" s="283"/>
      <c r="BT48" s="283"/>
      <c r="BU48" s="283"/>
      <c r="BV48" s="669"/>
      <c r="BW48" s="670"/>
      <c r="BX48" s="670"/>
      <c r="BY48" s="670"/>
      <c r="BZ48" s="670"/>
      <c r="CA48" s="670"/>
      <c r="CB48" s="196"/>
      <c r="CC48" s="196"/>
      <c r="CD48" s="196"/>
      <c r="CE48" s="196"/>
      <c r="CF48" s="196"/>
      <c r="CG48" s="609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</row>
    <row r="49" spans="1:124" ht="9.75" customHeight="1" thickBot="1">
      <c r="A49" s="48">
        <v>46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81"/>
      <c r="AA49" s="482"/>
      <c r="AB49" s="482"/>
      <c r="AC49" s="482"/>
      <c r="AD49" s="482"/>
      <c r="AE49" s="482"/>
      <c r="AF49" s="396" t="s">
        <v>86</v>
      </c>
      <c r="AG49" s="520"/>
      <c r="AH49" s="520"/>
      <c r="AI49" s="520"/>
      <c r="AJ49" s="520"/>
      <c r="AK49" s="520"/>
      <c r="AL49" s="521" t="s">
        <v>60</v>
      </c>
      <c r="AM49" s="520"/>
      <c r="AN49" s="520"/>
      <c r="AO49" s="520"/>
      <c r="AP49" s="520"/>
      <c r="AQ49" s="522"/>
      <c r="AR49" s="510" t="s">
        <v>157</v>
      </c>
      <c r="AS49" s="511"/>
      <c r="AT49" s="511"/>
      <c r="AU49" s="511"/>
      <c r="AV49" s="511"/>
      <c r="AW49" s="512"/>
      <c r="AX49" s="513"/>
      <c r="AY49" s="513"/>
      <c r="AZ49" s="513"/>
      <c r="BA49" s="513"/>
      <c r="BB49" s="513"/>
      <c r="BC49" s="514"/>
      <c r="BD49" s="46"/>
      <c r="BE49" s="46"/>
      <c r="BF49" s="46"/>
      <c r="BG49" s="46"/>
      <c r="BH49" s="46"/>
      <c r="BI49" s="46"/>
      <c r="BJ49" s="664"/>
      <c r="BK49" s="665"/>
      <c r="BL49" s="665"/>
      <c r="BM49" s="665"/>
      <c r="BN49" s="665"/>
      <c r="BO49" s="666"/>
      <c r="BP49" s="524"/>
      <c r="BQ49" s="283"/>
      <c r="BR49" s="283"/>
      <c r="BS49" s="283"/>
      <c r="BT49" s="283"/>
      <c r="BU49" s="283"/>
      <c r="BV49" s="669"/>
      <c r="BW49" s="670"/>
      <c r="BX49" s="670"/>
      <c r="BY49" s="670"/>
      <c r="BZ49" s="670"/>
      <c r="CA49" s="670"/>
      <c r="CB49" s="196"/>
      <c r="CC49" s="196"/>
      <c r="CD49" s="196"/>
      <c r="CE49" s="196"/>
      <c r="CF49" s="196"/>
      <c r="CG49" s="609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</row>
    <row r="50" spans="1:124" ht="9.75" customHeight="1" thickBot="1">
      <c r="A50" s="30">
        <v>47</v>
      </c>
      <c r="B50" s="56" t="s">
        <v>299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8"/>
      <c r="T50" s="47"/>
      <c r="U50" s="47"/>
      <c r="V50" s="47"/>
      <c r="W50" s="47"/>
      <c r="X50" s="47"/>
      <c r="Y50" s="47"/>
      <c r="Z50" s="494" t="s">
        <v>127</v>
      </c>
      <c r="AA50" s="496" t="s">
        <v>164</v>
      </c>
      <c r="AB50" s="497"/>
      <c r="AC50" s="497"/>
      <c r="AD50" s="497"/>
      <c r="AE50" s="498"/>
      <c r="AF50" s="330"/>
      <c r="AG50" s="331"/>
      <c r="AH50" s="331"/>
      <c r="AI50" s="331"/>
      <c r="AJ50" s="331"/>
      <c r="AK50" s="331"/>
      <c r="AL50" s="351"/>
      <c r="AM50" s="331"/>
      <c r="AN50" s="331"/>
      <c r="AO50" s="331"/>
      <c r="AP50" s="331"/>
      <c r="AQ50" s="332"/>
      <c r="AR50" s="515" t="s">
        <v>158</v>
      </c>
      <c r="AS50" s="516"/>
      <c r="AT50" s="516"/>
      <c r="AU50" s="516"/>
      <c r="AV50" s="516"/>
      <c r="AW50" s="517"/>
      <c r="AX50" s="518"/>
      <c r="AY50" s="518"/>
      <c r="AZ50" s="518"/>
      <c r="BA50" s="518"/>
      <c r="BB50" s="518"/>
      <c r="BC50" s="519"/>
      <c r="BD50" s="46"/>
      <c r="BE50" s="46"/>
      <c r="BF50" s="46"/>
      <c r="BG50" s="46"/>
      <c r="BH50" s="46"/>
      <c r="BI50" s="46"/>
      <c r="BJ50" s="664"/>
      <c r="BK50" s="665"/>
      <c r="BL50" s="665"/>
      <c r="BM50" s="665"/>
      <c r="BN50" s="665"/>
      <c r="BO50" s="666"/>
      <c r="BP50" s="524"/>
      <c r="BQ50" s="283"/>
      <c r="BR50" s="283"/>
      <c r="BS50" s="283"/>
      <c r="BT50" s="283"/>
      <c r="BU50" s="283"/>
      <c r="BV50" s="669"/>
      <c r="BW50" s="670"/>
      <c r="BX50" s="670"/>
      <c r="BY50" s="670"/>
      <c r="BZ50" s="670"/>
      <c r="CA50" s="670"/>
      <c r="CB50" s="196"/>
      <c r="CC50" s="196"/>
      <c r="CD50" s="196"/>
      <c r="CE50" s="196"/>
      <c r="CF50" s="196"/>
      <c r="CG50" s="609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DA50" s="49"/>
      <c r="DJ50" s="49"/>
      <c r="DK50" s="100"/>
      <c r="DL50" s="100"/>
      <c r="DM50" s="100"/>
      <c r="DN50" s="49"/>
    </row>
    <row r="51" spans="1:124" ht="9.75" customHeight="1">
      <c r="A51" s="30">
        <v>48</v>
      </c>
      <c r="B51" s="188"/>
      <c r="C51" s="189"/>
      <c r="D51" s="189"/>
      <c r="E51" s="189"/>
      <c r="F51" s="189"/>
      <c r="G51" s="189"/>
      <c r="H51" s="483" t="s">
        <v>174</v>
      </c>
      <c r="I51" s="484"/>
      <c r="J51" s="484"/>
      <c r="K51" s="484"/>
      <c r="L51" s="484"/>
      <c r="M51" s="484"/>
      <c r="N51" s="484" t="s">
        <v>6</v>
      </c>
      <c r="O51" s="484"/>
      <c r="P51" s="484"/>
      <c r="Q51" s="484"/>
      <c r="R51" s="484"/>
      <c r="S51" s="485"/>
      <c r="T51" s="47"/>
      <c r="U51" s="47"/>
      <c r="V51" s="47"/>
      <c r="W51" s="47"/>
      <c r="X51" s="47"/>
      <c r="Y51" s="47"/>
      <c r="Z51" s="494"/>
      <c r="AA51" s="101"/>
      <c r="AB51" s="311" t="s">
        <v>165</v>
      </c>
      <c r="AC51" s="311"/>
      <c r="AD51" s="311"/>
      <c r="AE51" s="492"/>
      <c r="AF51" s="344"/>
      <c r="AG51" s="353"/>
      <c r="AH51" s="353"/>
      <c r="AI51" s="353"/>
      <c r="AJ51" s="353"/>
      <c r="AK51" s="353"/>
      <c r="AL51" s="523"/>
      <c r="AM51" s="381"/>
      <c r="AN51" s="381"/>
      <c r="AO51" s="381"/>
      <c r="AP51" s="381"/>
      <c r="AQ51" s="382"/>
      <c r="AR51" s="102" t="s">
        <v>300</v>
      </c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4"/>
      <c r="BV51" s="675"/>
      <c r="BW51" s="670"/>
      <c r="BX51" s="670"/>
      <c r="BY51" s="670"/>
      <c r="BZ51" s="670"/>
      <c r="CA51" s="670"/>
      <c r="CB51" s="196"/>
      <c r="CC51" s="196"/>
      <c r="CD51" s="196"/>
      <c r="CE51" s="196"/>
      <c r="CF51" s="196"/>
      <c r="CG51" s="609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49"/>
      <c r="DA51" s="49"/>
      <c r="DJ51" s="49"/>
      <c r="DK51" s="100"/>
      <c r="DL51" s="100"/>
      <c r="DM51" s="100"/>
      <c r="DN51" s="49"/>
    </row>
    <row r="52" spans="1:124" ht="9.75" customHeight="1">
      <c r="A52" s="30">
        <v>49</v>
      </c>
      <c r="B52" s="525" t="s">
        <v>103</v>
      </c>
      <c r="C52" s="526"/>
      <c r="D52" s="526"/>
      <c r="E52" s="526"/>
      <c r="F52" s="526"/>
      <c r="G52" s="526"/>
      <c r="H52" s="423"/>
      <c r="I52" s="424"/>
      <c r="J52" s="424"/>
      <c r="K52" s="424"/>
      <c r="L52" s="424"/>
      <c r="M52" s="480"/>
      <c r="N52" s="486"/>
      <c r="O52" s="486"/>
      <c r="P52" s="486"/>
      <c r="Q52" s="486"/>
      <c r="R52" s="486"/>
      <c r="S52" s="487"/>
      <c r="T52" s="47"/>
      <c r="U52" s="47"/>
      <c r="V52" s="47"/>
      <c r="W52" s="47"/>
      <c r="X52" s="47"/>
      <c r="Y52" s="47"/>
      <c r="Z52" s="494"/>
      <c r="AA52" s="105"/>
      <c r="AB52" s="311" t="s">
        <v>166</v>
      </c>
      <c r="AC52" s="311"/>
      <c r="AD52" s="311"/>
      <c r="AE52" s="492"/>
      <c r="AF52" s="344"/>
      <c r="AG52" s="353"/>
      <c r="AH52" s="353"/>
      <c r="AI52" s="353"/>
      <c r="AJ52" s="353"/>
      <c r="AK52" s="353"/>
      <c r="AL52" s="523"/>
      <c r="AM52" s="381"/>
      <c r="AN52" s="381"/>
      <c r="AO52" s="381"/>
      <c r="AP52" s="381"/>
      <c r="AQ52" s="382"/>
      <c r="AR52" s="652"/>
      <c r="AS52" s="653"/>
      <c r="AT52" s="653"/>
      <c r="AU52" s="653"/>
      <c r="AV52" s="653"/>
      <c r="AW52" s="653"/>
      <c r="AX52" s="442" t="s">
        <v>167</v>
      </c>
      <c r="AY52" s="443"/>
      <c r="AZ52" s="443"/>
      <c r="BA52" s="443"/>
      <c r="BB52" s="443"/>
      <c r="BC52" s="443"/>
      <c r="BD52" s="443"/>
      <c r="BE52" s="443"/>
      <c r="BF52" s="443"/>
      <c r="BG52" s="443"/>
      <c r="BH52" s="443"/>
      <c r="BI52" s="443"/>
      <c r="BJ52" s="443"/>
      <c r="BK52" s="443"/>
      <c r="BL52" s="443"/>
      <c r="BM52" s="443"/>
      <c r="BN52" s="443"/>
      <c r="BO52" s="444"/>
      <c r="BP52" s="531" t="s">
        <v>198</v>
      </c>
      <c r="BQ52" s="532"/>
      <c r="BR52" s="532"/>
      <c r="BS52" s="532"/>
      <c r="BT52" s="532"/>
      <c r="BU52" s="533"/>
      <c r="BV52" s="676"/>
      <c r="BW52" s="677"/>
      <c r="BX52" s="677"/>
      <c r="BY52" s="677"/>
      <c r="BZ52" s="677"/>
      <c r="CA52" s="677"/>
      <c r="CB52" s="245"/>
      <c r="CC52" s="245"/>
      <c r="CD52" s="245"/>
      <c r="CE52" s="245"/>
      <c r="CF52" s="245"/>
      <c r="CG52" s="678"/>
      <c r="CN52" s="86"/>
      <c r="CO52" s="86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49"/>
      <c r="DA52" s="49"/>
      <c r="DI52" s="49"/>
      <c r="DJ52" s="49"/>
      <c r="DK52" s="100"/>
      <c r="DL52" s="100"/>
      <c r="DM52" s="100"/>
      <c r="DN52" s="49"/>
    </row>
    <row r="53" spans="1:124" ht="9.75" customHeight="1">
      <c r="A53" s="30">
        <v>50</v>
      </c>
      <c r="B53" s="379" t="s">
        <v>97</v>
      </c>
      <c r="C53" s="493"/>
      <c r="D53" s="493"/>
      <c r="E53" s="493"/>
      <c r="F53" s="493"/>
      <c r="G53" s="493"/>
      <c r="H53" s="164"/>
      <c r="I53" s="165"/>
      <c r="J53" s="165"/>
      <c r="K53" s="165"/>
      <c r="L53" s="165"/>
      <c r="M53" s="165"/>
      <c r="N53" s="184"/>
      <c r="O53" s="184"/>
      <c r="P53" s="184"/>
      <c r="Q53" s="184"/>
      <c r="R53" s="184"/>
      <c r="S53" s="187"/>
      <c r="T53" s="47"/>
      <c r="U53" s="47"/>
      <c r="V53" s="47"/>
      <c r="W53" s="47"/>
      <c r="X53" s="47"/>
      <c r="Y53" s="47"/>
      <c r="Z53" s="494"/>
      <c r="AA53" s="491" t="s">
        <v>36</v>
      </c>
      <c r="AB53" s="311"/>
      <c r="AC53" s="311"/>
      <c r="AD53" s="311"/>
      <c r="AE53" s="492"/>
      <c r="AF53" s="344"/>
      <c r="AG53" s="353"/>
      <c r="AH53" s="353"/>
      <c r="AI53" s="353"/>
      <c r="AJ53" s="353"/>
      <c r="AK53" s="353"/>
      <c r="AL53" s="314"/>
      <c r="AM53" s="353"/>
      <c r="AN53" s="353"/>
      <c r="AO53" s="353"/>
      <c r="AP53" s="353"/>
      <c r="AQ53" s="649"/>
      <c r="AR53" s="654"/>
      <c r="AS53" s="655"/>
      <c r="AT53" s="655"/>
      <c r="AU53" s="655"/>
      <c r="AV53" s="655"/>
      <c r="AW53" s="655"/>
      <c r="AX53" s="529" t="s">
        <v>165</v>
      </c>
      <c r="AY53" s="530"/>
      <c r="AZ53" s="530"/>
      <c r="BA53" s="530"/>
      <c r="BB53" s="530"/>
      <c r="BC53" s="530"/>
      <c r="BD53" s="530" t="s">
        <v>166</v>
      </c>
      <c r="BE53" s="530"/>
      <c r="BF53" s="530"/>
      <c r="BG53" s="530"/>
      <c r="BH53" s="530"/>
      <c r="BI53" s="530"/>
      <c r="BJ53" s="537" t="s">
        <v>1</v>
      </c>
      <c r="BK53" s="537"/>
      <c r="BL53" s="537"/>
      <c r="BM53" s="537"/>
      <c r="BN53" s="537"/>
      <c r="BO53" s="538"/>
      <c r="BP53" s="534"/>
      <c r="BQ53" s="535"/>
      <c r="BR53" s="535"/>
      <c r="BS53" s="535"/>
      <c r="BT53" s="535"/>
      <c r="BU53" s="536"/>
      <c r="BV53" s="662"/>
      <c r="BW53" s="663"/>
      <c r="BX53" s="663"/>
      <c r="BY53" s="663"/>
      <c r="BZ53" s="663"/>
      <c r="CA53" s="663"/>
      <c r="CB53" s="197"/>
      <c r="CC53" s="197"/>
      <c r="CD53" s="197"/>
      <c r="CE53" s="197"/>
      <c r="CF53" s="197"/>
      <c r="CG53" s="540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49"/>
      <c r="DA53" s="49"/>
      <c r="DI53" s="49"/>
      <c r="DJ53" s="49"/>
      <c r="DK53" s="100"/>
      <c r="DL53" s="100"/>
      <c r="DM53" s="100"/>
      <c r="DN53" s="49"/>
    </row>
    <row r="54" spans="1:124" ht="9.75" customHeight="1" thickBot="1">
      <c r="A54" s="30">
        <v>51</v>
      </c>
      <c r="B54" s="278" t="s">
        <v>1</v>
      </c>
      <c r="C54" s="279"/>
      <c r="D54" s="279"/>
      <c r="E54" s="279"/>
      <c r="F54" s="279"/>
      <c r="G54" s="279"/>
      <c r="H54" s="213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9"/>
      <c r="T54" s="47"/>
      <c r="U54" s="47"/>
      <c r="V54" s="47"/>
      <c r="W54" s="47"/>
      <c r="X54" s="47"/>
      <c r="Y54" s="47"/>
      <c r="Z54" s="494"/>
      <c r="AA54" s="101"/>
      <c r="AB54" s="311" t="s">
        <v>165</v>
      </c>
      <c r="AC54" s="311"/>
      <c r="AD54" s="311"/>
      <c r="AE54" s="492"/>
      <c r="AF54" s="344"/>
      <c r="AG54" s="353"/>
      <c r="AH54" s="353"/>
      <c r="AI54" s="353"/>
      <c r="AJ54" s="353"/>
      <c r="AK54" s="353"/>
      <c r="AL54" s="524"/>
      <c r="AM54" s="283"/>
      <c r="AN54" s="283"/>
      <c r="AO54" s="283"/>
      <c r="AP54" s="283"/>
      <c r="AQ54" s="284"/>
      <c r="AR54" s="505" t="s">
        <v>3</v>
      </c>
      <c r="AS54" s="506"/>
      <c r="AT54" s="506"/>
      <c r="AU54" s="506"/>
      <c r="AV54" s="506"/>
      <c r="AW54" s="506"/>
      <c r="AX54" s="202"/>
      <c r="AY54" s="197"/>
      <c r="AZ54" s="197"/>
      <c r="BA54" s="197"/>
      <c r="BB54" s="197"/>
      <c r="BC54" s="197"/>
      <c r="BD54" s="197"/>
      <c r="BE54" s="197"/>
      <c r="BF54" s="197"/>
      <c r="BG54" s="197"/>
      <c r="BH54" s="197"/>
      <c r="BI54" s="197"/>
      <c r="BJ54" s="177"/>
      <c r="BK54" s="177"/>
      <c r="BL54" s="177"/>
      <c r="BM54" s="177"/>
      <c r="BN54" s="177"/>
      <c r="BO54" s="178"/>
      <c r="BP54" s="539"/>
      <c r="BQ54" s="197"/>
      <c r="BR54" s="197"/>
      <c r="BS54" s="197"/>
      <c r="BT54" s="197"/>
      <c r="BU54" s="540"/>
      <c r="BV54" s="675"/>
      <c r="BW54" s="670"/>
      <c r="BX54" s="670"/>
      <c r="BY54" s="670"/>
      <c r="BZ54" s="670"/>
      <c r="CA54" s="670"/>
      <c r="CB54" s="196"/>
      <c r="CC54" s="196"/>
      <c r="CD54" s="196"/>
      <c r="CE54" s="196"/>
      <c r="CF54" s="196"/>
      <c r="CG54" s="609"/>
      <c r="CN54" s="86"/>
      <c r="CO54" s="86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49"/>
      <c r="DA54" s="49"/>
      <c r="DI54" s="49"/>
      <c r="DJ54" s="49"/>
      <c r="DK54" s="49"/>
      <c r="DL54" s="49"/>
      <c r="DM54" s="49"/>
      <c r="DN54" s="49"/>
    </row>
    <row r="55" spans="1:124" ht="9.75" customHeight="1">
      <c r="A55" s="30">
        <v>52</v>
      </c>
      <c r="B55" s="56" t="s">
        <v>301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106"/>
      <c r="O55" s="106"/>
      <c r="P55" s="106"/>
      <c r="Q55" s="106"/>
      <c r="R55" s="106"/>
      <c r="S55" s="106"/>
      <c r="T55" s="107"/>
      <c r="U55" s="107"/>
      <c r="V55" s="107"/>
      <c r="W55" s="107"/>
      <c r="X55" s="107"/>
      <c r="Y55" s="108"/>
      <c r="Z55" s="494"/>
      <c r="AA55" s="105"/>
      <c r="AB55" s="311" t="s">
        <v>166</v>
      </c>
      <c r="AC55" s="311"/>
      <c r="AD55" s="311"/>
      <c r="AE55" s="492"/>
      <c r="AF55" s="344"/>
      <c r="AG55" s="353"/>
      <c r="AH55" s="353"/>
      <c r="AI55" s="353"/>
      <c r="AJ55" s="353"/>
      <c r="AK55" s="353"/>
      <c r="AL55" s="524"/>
      <c r="AM55" s="283"/>
      <c r="AN55" s="283"/>
      <c r="AO55" s="283"/>
      <c r="AP55" s="283"/>
      <c r="AQ55" s="284"/>
      <c r="AR55" s="510" t="s">
        <v>149</v>
      </c>
      <c r="AS55" s="511"/>
      <c r="AT55" s="511"/>
      <c r="AU55" s="511"/>
      <c r="AV55" s="511"/>
      <c r="AW55" s="511"/>
      <c r="AX55" s="195"/>
      <c r="AY55" s="196"/>
      <c r="AZ55" s="196"/>
      <c r="BA55" s="196"/>
      <c r="BB55" s="196"/>
      <c r="BC55" s="196"/>
      <c r="BD55" s="196"/>
      <c r="BE55" s="196"/>
      <c r="BF55" s="196"/>
      <c r="BG55" s="196"/>
      <c r="BH55" s="196"/>
      <c r="BI55" s="196"/>
      <c r="BJ55" s="184"/>
      <c r="BK55" s="184"/>
      <c r="BL55" s="184"/>
      <c r="BM55" s="184"/>
      <c r="BN55" s="184"/>
      <c r="BO55" s="185"/>
      <c r="BP55" s="527"/>
      <c r="BQ55" s="165"/>
      <c r="BR55" s="165"/>
      <c r="BS55" s="165"/>
      <c r="BT55" s="165"/>
      <c r="BU55" s="528"/>
      <c r="BV55" s="675"/>
      <c r="BW55" s="670"/>
      <c r="BX55" s="670"/>
      <c r="BY55" s="670"/>
      <c r="BZ55" s="670"/>
      <c r="CA55" s="670"/>
      <c r="CB55" s="196"/>
      <c r="CC55" s="196"/>
      <c r="CD55" s="196"/>
      <c r="CE55" s="196"/>
      <c r="CF55" s="196"/>
      <c r="CG55" s="609"/>
      <c r="CN55" s="86"/>
      <c r="CO55" s="86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49"/>
      <c r="DA55" s="49"/>
      <c r="DI55" s="49"/>
      <c r="DJ55" s="49"/>
      <c r="DK55" s="49"/>
      <c r="DL55" s="49"/>
      <c r="DM55" s="49"/>
      <c r="DN55" s="49"/>
    </row>
    <row r="56" spans="1:124" ht="9.75" customHeight="1">
      <c r="A56" s="30">
        <v>53</v>
      </c>
      <c r="B56" s="478" t="s">
        <v>175</v>
      </c>
      <c r="C56" s="479"/>
      <c r="D56" s="479"/>
      <c r="E56" s="479"/>
      <c r="F56" s="479"/>
      <c r="G56" s="479"/>
      <c r="H56" s="479"/>
      <c r="I56" s="479"/>
      <c r="J56" s="479"/>
      <c r="K56" s="479"/>
      <c r="L56" s="479"/>
      <c r="M56" s="479"/>
      <c r="N56" s="143" t="s">
        <v>186</v>
      </c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5"/>
      <c r="Z56" s="494"/>
      <c r="AA56" s="491" t="s">
        <v>63</v>
      </c>
      <c r="AB56" s="311"/>
      <c r="AC56" s="311"/>
      <c r="AD56" s="311"/>
      <c r="AE56" s="492"/>
      <c r="AF56" s="344"/>
      <c r="AG56" s="353"/>
      <c r="AH56" s="353"/>
      <c r="AI56" s="353"/>
      <c r="AJ56" s="353"/>
      <c r="AK56" s="353"/>
      <c r="AL56" s="314"/>
      <c r="AM56" s="353"/>
      <c r="AN56" s="353"/>
      <c r="AO56" s="353"/>
      <c r="AP56" s="353"/>
      <c r="AQ56" s="649"/>
      <c r="AR56" s="510" t="s">
        <v>148</v>
      </c>
      <c r="AS56" s="511"/>
      <c r="AT56" s="511"/>
      <c r="AU56" s="511"/>
      <c r="AV56" s="511"/>
      <c r="AW56" s="511"/>
      <c r="AX56" s="195"/>
      <c r="AY56" s="196"/>
      <c r="AZ56" s="196"/>
      <c r="BA56" s="196"/>
      <c r="BB56" s="196"/>
      <c r="BC56" s="196"/>
      <c r="BD56" s="196"/>
      <c r="BE56" s="196"/>
      <c r="BF56" s="196"/>
      <c r="BG56" s="196"/>
      <c r="BH56" s="196"/>
      <c r="BI56" s="196"/>
      <c r="BJ56" s="184"/>
      <c r="BK56" s="184"/>
      <c r="BL56" s="184"/>
      <c r="BM56" s="184"/>
      <c r="BN56" s="184"/>
      <c r="BO56" s="185"/>
      <c r="BP56" s="527"/>
      <c r="BQ56" s="165"/>
      <c r="BR56" s="165"/>
      <c r="BS56" s="165"/>
      <c r="BT56" s="165"/>
      <c r="BU56" s="528"/>
      <c r="BV56" s="675"/>
      <c r="BW56" s="670"/>
      <c r="BX56" s="670"/>
      <c r="BY56" s="670"/>
      <c r="BZ56" s="670"/>
      <c r="CA56" s="670"/>
      <c r="CB56" s="196"/>
      <c r="CC56" s="196"/>
      <c r="CD56" s="196"/>
      <c r="CE56" s="196"/>
      <c r="CF56" s="196"/>
      <c r="CG56" s="609"/>
      <c r="CN56" s="86"/>
      <c r="CO56" s="86"/>
      <c r="CP56" s="86"/>
      <c r="CQ56" s="86"/>
      <c r="CR56" s="86"/>
      <c r="CS56" s="86"/>
      <c r="CT56" s="86"/>
      <c r="CU56" s="86"/>
      <c r="CV56" s="86"/>
      <c r="CW56" s="86"/>
      <c r="CX56" s="86"/>
      <c r="CY56" s="86"/>
      <c r="CZ56" s="49"/>
      <c r="DA56" s="49"/>
      <c r="DI56" s="49"/>
      <c r="DJ56" s="49"/>
      <c r="DK56" s="49"/>
      <c r="DL56" s="49"/>
      <c r="DM56" s="49"/>
      <c r="DN56" s="49"/>
    </row>
    <row r="57" spans="1:124" ht="9.75" customHeight="1">
      <c r="A57" s="30">
        <v>54</v>
      </c>
      <c r="B57" s="476" t="s">
        <v>84</v>
      </c>
      <c r="C57" s="477"/>
      <c r="D57" s="477"/>
      <c r="E57" s="477"/>
      <c r="F57" s="477"/>
      <c r="G57" s="477"/>
      <c r="H57" s="488" t="s">
        <v>48</v>
      </c>
      <c r="I57" s="489"/>
      <c r="J57" s="489"/>
      <c r="K57" s="489"/>
      <c r="L57" s="489"/>
      <c r="M57" s="489"/>
      <c r="N57" s="656" t="s">
        <v>84</v>
      </c>
      <c r="O57" s="477"/>
      <c r="P57" s="477"/>
      <c r="Q57" s="477"/>
      <c r="R57" s="477"/>
      <c r="S57" s="477"/>
      <c r="T57" s="488" t="s">
        <v>48</v>
      </c>
      <c r="U57" s="489"/>
      <c r="V57" s="489"/>
      <c r="W57" s="489"/>
      <c r="X57" s="489"/>
      <c r="Y57" s="490"/>
      <c r="Z57" s="494"/>
      <c r="AA57" s="101"/>
      <c r="AB57" s="311" t="s">
        <v>165</v>
      </c>
      <c r="AC57" s="311"/>
      <c r="AD57" s="311"/>
      <c r="AE57" s="492"/>
      <c r="AF57" s="344"/>
      <c r="AG57" s="353"/>
      <c r="AH57" s="353"/>
      <c r="AI57" s="353"/>
      <c r="AJ57" s="353"/>
      <c r="AK57" s="353"/>
      <c r="AL57" s="314"/>
      <c r="AM57" s="353"/>
      <c r="AN57" s="353"/>
      <c r="AO57" s="353"/>
      <c r="AP57" s="353"/>
      <c r="AQ57" s="649"/>
      <c r="AR57" s="510" t="s">
        <v>2</v>
      </c>
      <c r="AS57" s="511"/>
      <c r="AT57" s="511"/>
      <c r="AU57" s="511"/>
      <c r="AV57" s="511"/>
      <c r="AW57" s="511"/>
      <c r="AX57" s="195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84"/>
      <c r="BK57" s="184"/>
      <c r="BL57" s="184"/>
      <c r="BM57" s="184"/>
      <c r="BN57" s="184"/>
      <c r="BO57" s="185"/>
      <c r="BP57" s="527"/>
      <c r="BQ57" s="165"/>
      <c r="BR57" s="165"/>
      <c r="BS57" s="165"/>
      <c r="BT57" s="165"/>
      <c r="BU57" s="528"/>
      <c r="BV57" s="675"/>
      <c r="BW57" s="670"/>
      <c r="BX57" s="670"/>
      <c r="BY57" s="670"/>
      <c r="BZ57" s="670"/>
      <c r="CA57" s="670"/>
      <c r="CB57" s="196"/>
      <c r="CC57" s="196"/>
      <c r="CD57" s="196"/>
      <c r="CE57" s="196"/>
      <c r="CF57" s="196"/>
      <c r="CG57" s="609"/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49"/>
      <c r="DA57" s="49"/>
      <c r="DI57" s="49"/>
      <c r="DJ57" s="49"/>
      <c r="DK57" s="49"/>
      <c r="DL57" s="49"/>
      <c r="DM57" s="49"/>
      <c r="DN57" s="49"/>
    </row>
    <row r="58" spans="1:124" ht="9.75" customHeight="1" thickBot="1">
      <c r="A58" s="30">
        <v>55</v>
      </c>
      <c r="B58" s="502"/>
      <c r="C58" s="503"/>
      <c r="D58" s="503"/>
      <c r="E58" s="503"/>
      <c r="F58" s="503"/>
      <c r="G58" s="504"/>
      <c r="H58" s="503"/>
      <c r="I58" s="503"/>
      <c r="J58" s="503"/>
      <c r="K58" s="503"/>
      <c r="L58" s="503"/>
      <c r="M58" s="503"/>
      <c r="N58" s="499"/>
      <c r="O58" s="500"/>
      <c r="P58" s="500"/>
      <c r="Q58" s="500"/>
      <c r="R58" s="500"/>
      <c r="S58" s="501"/>
      <c r="T58" s="659"/>
      <c r="U58" s="500"/>
      <c r="V58" s="500"/>
      <c r="W58" s="500"/>
      <c r="X58" s="500"/>
      <c r="Y58" s="660"/>
      <c r="Z58" s="495"/>
      <c r="AA58" s="109"/>
      <c r="AB58" s="650" t="s">
        <v>166</v>
      </c>
      <c r="AC58" s="650"/>
      <c r="AD58" s="650"/>
      <c r="AE58" s="651"/>
      <c r="AF58" s="373"/>
      <c r="AG58" s="374"/>
      <c r="AH58" s="374"/>
      <c r="AI58" s="374"/>
      <c r="AJ58" s="374"/>
      <c r="AK58" s="374"/>
      <c r="AL58" s="345"/>
      <c r="AM58" s="374"/>
      <c r="AN58" s="374"/>
      <c r="AO58" s="374"/>
      <c r="AP58" s="374"/>
      <c r="AQ58" s="460"/>
      <c r="AR58" s="657" t="s">
        <v>1</v>
      </c>
      <c r="AS58" s="658"/>
      <c r="AT58" s="658"/>
      <c r="AU58" s="658"/>
      <c r="AV58" s="658"/>
      <c r="AW58" s="658"/>
      <c r="AX58" s="213"/>
      <c r="AY58" s="208"/>
      <c r="AZ58" s="208"/>
      <c r="BA58" s="208"/>
      <c r="BB58" s="208"/>
      <c r="BC58" s="208"/>
      <c r="BD58" s="208"/>
      <c r="BE58" s="208"/>
      <c r="BF58" s="208"/>
      <c r="BG58" s="208"/>
      <c r="BH58" s="208"/>
      <c r="BI58" s="208"/>
      <c r="BJ58" s="208"/>
      <c r="BK58" s="208"/>
      <c r="BL58" s="208"/>
      <c r="BM58" s="208"/>
      <c r="BN58" s="208"/>
      <c r="BO58" s="277"/>
      <c r="BP58" s="375"/>
      <c r="BQ58" s="208"/>
      <c r="BR58" s="208"/>
      <c r="BS58" s="208"/>
      <c r="BT58" s="208"/>
      <c r="BU58" s="209"/>
      <c r="BV58" s="718"/>
      <c r="BW58" s="719"/>
      <c r="BX58" s="719"/>
      <c r="BY58" s="719"/>
      <c r="BZ58" s="719"/>
      <c r="CA58" s="719"/>
      <c r="CB58" s="349"/>
      <c r="CC58" s="349"/>
      <c r="CD58" s="349"/>
      <c r="CE58" s="349"/>
      <c r="CF58" s="349"/>
      <c r="CG58" s="720"/>
      <c r="CN58" s="86"/>
      <c r="CO58" s="86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49"/>
      <c r="DA58" s="49"/>
      <c r="DI58" s="49"/>
      <c r="DJ58" s="49"/>
      <c r="DK58" s="49"/>
      <c r="DL58" s="49"/>
      <c r="DM58" s="49"/>
      <c r="DN58" s="49"/>
    </row>
    <row r="59" spans="1:124" ht="9.75" customHeight="1">
      <c r="A59" s="30"/>
      <c r="B59" s="412">
        <v>1</v>
      </c>
      <c r="C59" s="412"/>
      <c r="D59" s="412"/>
      <c r="E59" s="412"/>
      <c r="F59" s="412"/>
      <c r="G59" s="412"/>
      <c r="H59" s="412">
        <v>2</v>
      </c>
      <c r="I59" s="412"/>
      <c r="J59" s="412"/>
      <c r="K59" s="412"/>
      <c r="L59" s="412"/>
      <c r="M59" s="412"/>
      <c r="N59" s="412">
        <v>3</v>
      </c>
      <c r="O59" s="412"/>
      <c r="P59" s="412"/>
      <c r="Q59" s="412"/>
      <c r="R59" s="412"/>
      <c r="S59" s="412"/>
      <c r="T59" s="412">
        <v>4</v>
      </c>
      <c r="U59" s="412"/>
      <c r="V59" s="412"/>
      <c r="W59" s="412"/>
      <c r="X59" s="412"/>
      <c r="Y59" s="412"/>
      <c r="Z59" s="412">
        <v>5</v>
      </c>
      <c r="AA59" s="412"/>
      <c r="AB59" s="412"/>
      <c r="AC59" s="412"/>
      <c r="AD59" s="412"/>
      <c r="AE59" s="412"/>
      <c r="AF59" s="412">
        <v>6</v>
      </c>
      <c r="AG59" s="412"/>
      <c r="AH59" s="412"/>
      <c r="AI59" s="412"/>
      <c r="AJ59" s="412"/>
      <c r="AK59" s="412"/>
      <c r="AL59" s="412">
        <v>7</v>
      </c>
      <c r="AM59" s="412"/>
      <c r="AN59" s="412"/>
      <c r="AO59" s="412"/>
      <c r="AP59" s="412"/>
      <c r="AQ59" s="412"/>
      <c r="AR59" s="412">
        <v>8</v>
      </c>
      <c r="AS59" s="412"/>
      <c r="AT59" s="412"/>
      <c r="AU59" s="412"/>
      <c r="AV59" s="412"/>
      <c r="AW59" s="412"/>
      <c r="AX59" s="412">
        <v>9</v>
      </c>
      <c r="AY59" s="412"/>
      <c r="AZ59" s="412"/>
      <c r="BA59" s="412"/>
      <c r="BB59" s="412"/>
      <c r="BC59" s="412"/>
      <c r="BD59" s="412">
        <v>10</v>
      </c>
      <c r="BE59" s="412"/>
      <c r="BF59" s="412"/>
      <c r="BG59" s="412"/>
      <c r="BH59" s="412"/>
      <c r="BI59" s="412"/>
      <c r="BJ59" s="661">
        <v>11</v>
      </c>
      <c r="BK59" s="661"/>
      <c r="BL59" s="661"/>
      <c r="BM59" s="661"/>
      <c r="BN59" s="661"/>
      <c r="BO59" s="661"/>
      <c r="BP59" s="661">
        <v>12</v>
      </c>
      <c r="BQ59" s="661"/>
      <c r="BR59" s="661"/>
      <c r="BS59" s="661"/>
      <c r="BT59" s="661"/>
      <c r="BU59" s="661"/>
      <c r="BV59" s="412">
        <v>13</v>
      </c>
      <c r="BW59" s="412"/>
      <c r="BX59" s="412"/>
      <c r="BY59" s="412"/>
      <c r="BZ59" s="412"/>
      <c r="CA59" s="412"/>
      <c r="CB59" s="412">
        <v>14</v>
      </c>
      <c r="CC59" s="412"/>
      <c r="CD59" s="412"/>
      <c r="CE59" s="412"/>
      <c r="CF59" s="412"/>
      <c r="CG59" s="412"/>
      <c r="DB59" s="49"/>
      <c r="DC59" s="49"/>
      <c r="DD59" s="49"/>
      <c r="DE59" s="49"/>
      <c r="DF59" s="49"/>
      <c r="DG59" s="49"/>
      <c r="DO59" s="49"/>
      <c r="DP59" s="49"/>
      <c r="DQ59" s="49"/>
      <c r="DR59" s="49"/>
      <c r="DS59" s="49"/>
      <c r="DT59" s="49"/>
    </row>
    <row r="60" spans="1:124" ht="12.75" customHeight="1">
      <c r="DB60" s="49"/>
      <c r="DC60" s="49"/>
      <c r="DD60" s="49"/>
      <c r="DE60" s="49"/>
      <c r="DF60" s="49"/>
      <c r="DG60" s="49"/>
      <c r="DO60" s="49"/>
      <c r="DP60" s="49"/>
      <c r="DQ60" s="49"/>
      <c r="DR60" s="49"/>
      <c r="DS60" s="49"/>
      <c r="DT60" s="49"/>
    </row>
    <row r="61" spans="1:124" ht="12.2" customHeight="1"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DE61" s="110"/>
      <c r="DF61" s="110"/>
      <c r="DG61" s="110"/>
      <c r="DH61" s="110"/>
      <c r="DI61" s="110"/>
      <c r="DJ61" s="110"/>
      <c r="DK61" s="49"/>
      <c r="DL61" s="49"/>
      <c r="DM61" s="49"/>
      <c r="DN61" s="49"/>
    </row>
    <row r="62" spans="1:124" ht="12.2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CH62" s="86"/>
      <c r="DK62" s="110"/>
      <c r="DL62" s="110"/>
      <c r="DM62" s="110"/>
      <c r="DN62" s="110"/>
      <c r="DO62" s="110"/>
      <c r="DP62" s="110"/>
      <c r="DQ62" s="49"/>
      <c r="DR62" s="49"/>
      <c r="DS62" s="49"/>
      <c r="DT62" s="49"/>
    </row>
    <row r="63" spans="1:124" ht="14.25" customHeight="1"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CH63" s="86"/>
      <c r="DP63" s="49"/>
      <c r="DQ63" s="49"/>
      <c r="DR63" s="49"/>
      <c r="DS63" s="49"/>
      <c r="DT63" s="49"/>
    </row>
    <row r="64" spans="1:124" ht="12.75" customHeight="1">
      <c r="DP64" s="49"/>
      <c r="DQ64" s="49"/>
      <c r="DR64" s="49"/>
      <c r="DS64" s="49"/>
      <c r="DT64" s="49"/>
    </row>
    <row r="65" spans="10:124" ht="12.2" customHeight="1">
      <c r="DP65" s="49"/>
      <c r="DQ65" s="49"/>
      <c r="DR65" s="49"/>
      <c r="DS65" s="49"/>
      <c r="DT65" s="49"/>
    </row>
    <row r="66" spans="10:124" ht="12.2" customHeight="1">
      <c r="DP66" s="49"/>
      <c r="DQ66" s="49"/>
      <c r="DR66" s="49"/>
      <c r="DS66" s="49"/>
      <c r="DT66" s="49"/>
    </row>
    <row r="67" spans="10:124" ht="12.2" customHeight="1">
      <c r="DP67" s="49"/>
      <c r="DQ67" s="49"/>
      <c r="DR67" s="49"/>
      <c r="DS67" s="49"/>
      <c r="DT67" s="49"/>
    </row>
    <row r="68" spans="10:124" ht="12.2" customHeight="1">
      <c r="DP68" s="49"/>
      <c r="DQ68" s="49"/>
      <c r="DR68" s="49"/>
      <c r="DS68" s="49"/>
      <c r="DT68" s="49"/>
    </row>
    <row r="69" spans="10:124" ht="12.75" customHeight="1">
      <c r="DP69" s="49"/>
      <c r="DQ69" s="49"/>
      <c r="DR69" s="49"/>
      <c r="DS69" s="49"/>
      <c r="DT69" s="49"/>
    </row>
    <row r="70" spans="10:124" ht="13.7" customHeight="1"/>
    <row r="71" spans="10:124" ht="12.2" customHeight="1"/>
    <row r="72" spans="10:124" ht="12.2" customHeight="1"/>
    <row r="73" spans="10:124" ht="12.2" customHeight="1"/>
    <row r="74" spans="10:124" ht="12.75" customHeight="1"/>
    <row r="75" spans="10:124" ht="13.7" customHeight="1"/>
    <row r="76" spans="10:124" ht="12.2" customHeight="1">
      <c r="J76" s="111"/>
      <c r="K76" s="111"/>
      <c r="L76" s="111"/>
      <c r="M76" s="111"/>
      <c r="N76" s="111"/>
      <c r="O76" s="111"/>
      <c r="P76" s="111"/>
      <c r="Q76" s="111"/>
      <c r="R76" s="111"/>
    </row>
    <row r="77" spans="10:124" ht="12.75" customHeight="1">
      <c r="J77" s="112"/>
      <c r="K77" s="112"/>
      <c r="L77" s="111"/>
      <c r="M77" s="111"/>
      <c r="N77" s="111"/>
      <c r="O77" s="111"/>
      <c r="P77" s="111"/>
      <c r="Q77" s="111"/>
      <c r="R77" s="111"/>
    </row>
    <row r="78" spans="10:124" ht="12.75" customHeight="1">
      <c r="J78" s="112"/>
      <c r="K78" s="112"/>
      <c r="L78" s="111"/>
      <c r="M78" s="111"/>
      <c r="N78" s="111"/>
      <c r="O78" s="111"/>
      <c r="P78" s="111"/>
      <c r="Q78" s="111"/>
      <c r="R78" s="111"/>
    </row>
    <row r="79" spans="10:124" ht="12.2" customHeight="1">
      <c r="J79" s="112"/>
      <c r="K79" s="112"/>
      <c r="L79" s="111"/>
      <c r="M79" s="111"/>
      <c r="N79" s="111"/>
      <c r="O79" s="111"/>
      <c r="P79" s="111"/>
      <c r="Q79" s="111"/>
      <c r="R79" s="111"/>
    </row>
    <row r="80" spans="10:124" ht="12.2" customHeight="1">
      <c r="J80" s="112"/>
      <c r="K80" s="112"/>
      <c r="L80" s="111"/>
      <c r="M80" s="111"/>
      <c r="N80" s="111"/>
      <c r="O80" s="111"/>
      <c r="P80" s="111"/>
      <c r="Q80" s="111"/>
      <c r="R80" s="111"/>
    </row>
    <row r="81" spans="10:99" ht="12.2" customHeight="1">
      <c r="J81" s="49"/>
      <c r="K81" s="49"/>
      <c r="L81" s="49"/>
      <c r="M81" s="49"/>
      <c r="N81" s="49"/>
      <c r="O81" s="49"/>
      <c r="P81" s="49"/>
      <c r="Q81" s="49"/>
      <c r="R81" s="49"/>
      <c r="CS81" s="49"/>
      <c r="CT81" s="49"/>
      <c r="CU81" s="49"/>
    </row>
    <row r="82" spans="10:99" ht="12.2" customHeight="1">
      <c r="J82" s="49"/>
      <c r="K82" s="49"/>
      <c r="L82" s="49"/>
      <c r="M82" s="49"/>
      <c r="N82" s="49"/>
      <c r="O82" s="49"/>
      <c r="P82" s="49"/>
      <c r="Q82" s="49"/>
      <c r="R82" s="49"/>
      <c r="CS82" s="49"/>
      <c r="CT82" s="49"/>
      <c r="CU82" s="49"/>
    </row>
    <row r="83" spans="10:99" ht="12.2" customHeight="1">
      <c r="J83" s="113"/>
      <c r="K83" s="113"/>
      <c r="L83" s="49"/>
      <c r="M83" s="49"/>
      <c r="N83" s="49"/>
      <c r="O83" s="49"/>
      <c r="P83" s="49"/>
      <c r="Q83" s="49"/>
      <c r="R83" s="49"/>
      <c r="CS83" s="49"/>
      <c r="CT83" s="49"/>
      <c r="CU83" s="49"/>
    </row>
    <row r="84" spans="10:99" ht="12.2" customHeight="1">
      <c r="J84" s="49"/>
      <c r="K84" s="49"/>
      <c r="L84" s="49"/>
      <c r="M84" s="49"/>
      <c r="N84" s="49"/>
      <c r="O84" s="49"/>
      <c r="P84" s="49"/>
      <c r="Q84" s="49"/>
      <c r="R84" s="49"/>
      <c r="CS84" s="49"/>
      <c r="CT84" s="49"/>
      <c r="CU84" s="49"/>
    </row>
    <row r="85" spans="10:99" ht="12.2" customHeight="1">
      <c r="J85" s="49"/>
      <c r="K85" s="49"/>
      <c r="L85" s="49"/>
      <c r="M85" s="49"/>
      <c r="N85" s="49"/>
      <c r="O85" s="49"/>
      <c r="P85" s="49"/>
      <c r="Q85" s="49"/>
      <c r="R85" s="49"/>
      <c r="CS85" s="49"/>
      <c r="CT85" s="49"/>
      <c r="CU85" s="49"/>
    </row>
    <row r="86" spans="10:99" ht="12.75" customHeight="1">
      <c r="J86" s="49"/>
      <c r="K86" s="49"/>
      <c r="L86" s="49"/>
      <c r="M86" s="49"/>
      <c r="N86" s="49"/>
      <c r="O86" s="49"/>
      <c r="P86" s="49"/>
      <c r="Q86" s="49"/>
      <c r="R86" s="49"/>
      <c r="CS86" s="49"/>
      <c r="CT86" s="49"/>
      <c r="CU86" s="49"/>
    </row>
    <row r="87" spans="10:99">
      <c r="J87" s="49"/>
      <c r="K87" s="49"/>
      <c r="L87" s="49"/>
      <c r="M87" s="49"/>
      <c r="N87" s="49"/>
      <c r="O87" s="49"/>
      <c r="P87" s="49"/>
      <c r="Q87" s="49"/>
      <c r="R87" s="49"/>
      <c r="CS87" s="49"/>
      <c r="CT87" s="49"/>
      <c r="CU87" s="49"/>
    </row>
  </sheetData>
  <mergeCells count="597">
    <mergeCell ref="B2:E2"/>
    <mergeCell ref="BV54:CA54"/>
    <mergeCell ref="CB54:CG54"/>
    <mergeCell ref="BV55:CA55"/>
    <mergeCell ref="CB55:CG55"/>
    <mergeCell ref="BV56:CA56"/>
    <mergeCell ref="CB56:CG56"/>
    <mergeCell ref="BV57:CA57"/>
    <mergeCell ref="CB57:CG57"/>
    <mergeCell ref="AR35:AW35"/>
    <mergeCell ref="AX35:BC35"/>
    <mergeCell ref="BD35:BI35"/>
    <mergeCell ref="AH36:AQ36"/>
    <mergeCell ref="AR36:AW36"/>
    <mergeCell ref="AX36:BC36"/>
    <mergeCell ref="BD36:BI36"/>
    <mergeCell ref="AH37:AQ37"/>
    <mergeCell ref="AR37:AW37"/>
    <mergeCell ref="AX37:BC37"/>
    <mergeCell ref="BD37:BI37"/>
    <mergeCell ref="AX43:BC43"/>
    <mergeCell ref="BD43:BI43"/>
    <mergeCell ref="AF45:AQ45"/>
    <mergeCell ref="AR45:AW45"/>
    <mergeCell ref="BV58:CA58"/>
    <mergeCell ref="CB58:CG58"/>
    <mergeCell ref="AH38:AQ38"/>
    <mergeCell ref="AR38:AW38"/>
    <mergeCell ref="AX38:BC38"/>
    <mergeCell ref="BD38:BI38"/>
    <mergeCell ref="AH39:AQ39"/>
    <mergeCell ref="AR39:AW39"/>
    <mergeCell ref="AX39:BC39"/>
    <mergeCell ref="BD39:BI39"/>
    <mergeCell ref="AH42:AQ42"/>
    <mergeCell ref="AR42:AW42"/>
    <mergeCell ref="AX42:BC42"/>
    <mergeCell ref="BD42:BI42"/>
    <mergeCell ref="AH40:AQ40"/>
    <mergeCell ref="AR40:AW40"/>
    <mergeCell ref="AX40:BC40"/>
    <mergeCell ref="BD40:BI40"/>
    <mergeCell ref="AH41:AQ41"/>
    <mergeCell ref="AR41:AW41"/>
    <mergeCell ref="AX41:BC41"/>
    <mergeCell ref="BD41:BI41"/>
    <mergeCell ref="AK43:AQ43"/>
    <mergeCell ref="AR43:AW43"/>
    <mergeCell ref="AX45:BC45"/>
    <mergeCell ref="BD45:BI45"/>
    <mergeCell ref="AF44:AQ44"/>
    <mergeCell ref="AR44:AW44"/>
    <mergeCell ref="AX44:BC44"/>
    <mergeCell ref="BD44:BI44"/>
    <mergeCell ref="BD29:BI29"/>
    <mergeCell ref="AH30:AQ30"/>
    <mergeCell ref="AR30:AW30"/>
    <mergeCell ref="AX30:BC30"/>
    <mergeCell ref="BD30:BI30"/>
    <mergeCell ref="AR32:AW32"/>
    <mergeCell ref="AX32:BC32"/>
    <mergeCell ref="BD32:BI32"/>
    <mergeCell ref="AH33:AQ33"/>
    <mergeCell ref="AR33:AW33"/>
    <mergeCell ref="AX33:BC33"/>
    <mergeCell ref="BD33:BI33"/>
    <mergeCell ref="AX34:BC34"/>
    <mergeCell ref="BD34:BI34"/>
    <mergeCell ref="BD22:BI22"/>
    <mergeCell ref="AF23:AQ23"/>
    <mergeCell ref="AR23:AW23"/>
    <mergeCell ref="AX23:BC23"/>
    <mergeCell ref="BD23:BI23"/>
    <mergeCell ref="AX24:BC24"/>
    <mergeCell ref="BD24:BI24"/>
    <mergeCell ref="AX25:BC25"/>
    <mergeCell ref="BD25:BI25"/>
    <mergeCell ref="AF19:AG22"/>
    <mergeCell ref="AH19:AQ19"/>
    <mergeCell ref="AR19:AW19"/>
    <mergeCell ref="AH24:AJ26"/>
    <mergeCell ref="AK24:AQ24"/>
    <mergeCell ref="AR24:AW24"/>
    <mergeCell ref="BJ46:BU46"/>
    <mergeCell ref="AF6:BI6"/>
    <mergeCell ref="AF7:AQ7"/>
    <mergeCell ref="AR7:AW7"/>
    <mergeCell ref="AX7:BC7"/>
    <mergeCell ref="BD7:BI7"/>
    <mergeCell ref="AF8:AG17"/>
    <mergeCell ref="AH8:AQ8"/>
    <mergeCell ref="AR8:AW8"/>
    <mergeCell ref="AX8:BC8"/>
    <mergeCell ref="BD8:BI8"/>
    <mergeCell ref="AH9:AQ9"/>
    <mergeCell ref="AR9:AW9"/>
    <mergeCell ref="AX9:BC9"/>
    <mergeCell ref="BD9:BI9"/>
    <mergeCell ref="AH10:AQ10"/>
    <mergeCell ref="AR10:AW10"/>
    <mergeCell ref="AX10:BC10"/>
    <mergeCell ref="BD10:BI10"/>
    <mergeCell ref="AH11:AQ11"/>
    <mergeCell ref="AR11:AW11"/>
    <mergeCell ref="AX11:BC11"/>
    <mergeCell ref="BD11:BI11"/>
    <mergeCell ref="AH12:AQ12"/>
    <mergeCell ref="BV53:CA53"/>
    <mergeCell ref="CB53:CG53"/>
    <mergeCell ref="BJ49:BO49"/>
    <mergeCell ref="BP49:BU49"/>
    <mergeCell ref="BJ50:BO50"/>
    <mergeCell ref="BP50:BU50"/>
    <mergeCell ref="BV47:CA47"/>
    <mergeCell ref="CB47:CG47"/>
    <mergeCell ref="BV48:CA48"/>
    <mergeCell ref="CB48:CG48"/>
    <mergeCell ref="BJ48:BO48"/>
    <mergeCell ref="BP48:BU48"/>
    <mergeCell ref="BJ47:BO47"/>
    <mergeCell ref="BP47:BU47"/>
    <mergeCell ref="BV49:CA49"/>
    <mergeCell ref="CB49:CG49"/>
    <mergeCell ref="BV50:CA50"/>
    <mergeCell ref="CB50:CG50"/>
    <mergeCell ref="BV51:CA51"/>
    <mergeCell ref="CB51:CG51"/>
    <mergeCell ref="BV52:CA52"/>
    <mergeCell ref="CB52:CG52"/>
    <mergeCell ref="BD59:BI59"/>
    <mergeCell ref="BJ59:BO59"/>
    <mergeCell ref="BP59:BU59"/>
    <mergeCell ref="BV59:CA59"/>
    <mergeCell ref="CB59:CG59"/>
    <mergeCell ref="B59:G59"/>
    <mergeCell ref="H59:M59"/>
    <mergeCell ref="N59:S59"/>
    <mergeCell ref="T59:Y59"/>
    <mergeCell ref="Z59:AE59"/>
    <mergeCell ref="AF59:AK59"/>
    <mergeCell ref="AL59:AQ59"/>
    <mergeCell ref="AR59:AW59"/>
    <mergeCell ref="AX59:BC59"/>
    <mergeCell ref="AF57:AK57"/>
    <mergeCell ref="AL57:AQ57"/>
    <mergeCell ref="AB58:AE58"/>
    <mergeCell ref="AR55:AW55"/>
    <mergeCell ref="AR52:AW53"/>
    <mergeCell ref="AR57:AW57"/>
    <mergeCell ref="H57:M57"/>
    <mergeCell ref="N57:S57"/>
    <mergeCell ref="AF58:AK58"/>
    <mergeCell ref="AL58:AQ58"/>
    <mergeCell ref="AR58:AW58"/>
    <mergeCell ref="T58:Y58"/>
    <mergeCell ref="AF56:AK56"/>
    <mergeCell ref="AL56:AQ56"/>
    <mergeCell ref="AR56:AW56"/>
    <mergeCell ref="AR54:AW54"/>
    <mergeCell ref="H54:M54"/>
    <mergeCell ref="AF53:AK53"/>
    <mergeCell ref="AL53:AQ53"/>
    <mergeCell ref="N54:S54"/>
    <mergeCell ref="AB52:AE52"/>
    <mergeCell ref="AF52:AK52"/>
    <mergeCell ref="AA53:AE53"/>
    <mergeCell ref="H58:M58"/>
    <mergeCell ref="BK44:BO44"/>
    <mergeCell ref="BP44:BU44"/>
    <mergeCell ref="BV44:CA44"/>
    <mergeCell ref="CB44:CG44"/>
    <mergeCell ref="BK42:BO42"/>
    <mergeCell ref="BP42:BU42"/>
    <mergeCell ref="BV42:CA42"/>
    <mergeCell ref="CB42:CG42"/>
    <mergeCell ref="AK25:AQ25"/>
    <mergeCell ref="AR25:AW25"/>
    <mergeCell ref="AR26:AW26"/>
    <mergeCell ref="AH27:AQ27"/>
    <mergeCell ref="AR27:AW27"/>
    <mergeCell ref="AH28:AQ28"/>
    <mergeCell ref="AR28:AW28"/>
    <mergeCell ref="AH29:AQ29"/>
    <mergeCell ref="AR29:AW29"/>
    <mergeCell ref="AH31:AQ31"/>
    <mergeCell ref="AR31:AW31"/>
    <mergeCell ref="AH34:AJ35"/>
    <mergeCell ref="AK34:AQ34"/>
    <mergeCell ref="AR34:AW34"/>
    <mergeCell ref="AX31:BC31"/>
    <mergeCell ref="BD31:BI31"/>
    <mergeCell ref="BV41:CA41"/>
    <mergeCell ref="BJ43:BJ45"/>
    <mergeCell ref="BK43:BO43"/>
    <mergeCell ref="BP43:BU43"/>
    <mergeCell ref="BV43:CA43"/>
    <mergeCell ref="CB43:CG43"/>
    <mergeCell ref="BL39:BO39"/>
    <mergeCell ref="BP39:BU39"/>
    <mergeCell ref="BV39:CA39"/>
    <mergeCell ref="CB39:CG39"/>
    <mergeCell ref="BK38:BK41"/>
    <mergeCell ref="BL38:BO38"/>
    <mergeCell ref="BP38:BU38"/>
    <mergeCell ref="BV38:CA38"/>
    <mergeCell ref="CB38:CG38"/>
    <mergeCell ref="BL40:BO40"/>
    <mergeCell ref="BP40:BU40"/>
    <mergeCell ref="BV40:CA40"/>
    <mergeCell ref="CB40:CG40"/>
    <mergeCell ref="CB41:CG41"/>
    <mergeCell ref="BK45:BO45"/>
    <mergeCell ref="BP45:BU45"/>
    <mergeCell ref="BV45:CA45"/>
    <mergeCell ref="CB45:CG45"/>
    <mergeCell ref="CB33:CG33"/>
    <mergeCell ref="BJ32:BJ42"/>
    <mergeCell ref="BK32:BK37"/>
    <mergeCell ref="BL32:BO32"/>
    <mergeCell ref="BP32:BU32"/>
    <mergeCell ref="BV32:CA32"/>
    <mergeCell ref="CB32:CG32"/>
    <mergeCell ref="CB34:CG34"/>
    <mergeCell ref="CB31:CG31"/>
    <mergeCell ref="BL37:BO37"/>
    <mergeCell ref="BL33:BO33"/>
    <mergeCell ref="BP37:BU37"/>
    <mergeCell ref="BV37:CA37"/>
    <mergeCell ref="CB37:CG37"/>
    <mergeCell ref="BL35:BO35"/>
    <mergeCell ref="BP35:BU35"/>
    <mergeCell ref="BV35:CA35"/>
    <mergeCell ref="CB35:CG35"/>
    <mergeCell ref="BL36:BO36"/>
    <mergeCell ref="BP36:BU36"/>
    <mergeCell ref="BV36:CA36"/>
    <mergeCell ref="CB36:CG36"/>
    <mergeCell ref="BL41:BO41"/>
    <mergeCell ref="BP41:BU41"/>
    <mergeCell ref="BV34:CA34"/>
    <mergeCell ref="B34:G34"/>
    <mergeCell ref="BP22:BU22"/>
    <mergeCell ref="BV22:CA22"/>
    <mergeCell ref="AK35:AQ35"/>
    <mergeCell ref="H34:M34"/>
    <mergeCell ref="BV31:CA31"/>
    <mergeCell ref="BK30:BO30"/>
    <mergeCell ref="BP30:BU30"/>
    <mergeCell ref="BV30:CA30"/>
    <mergeCell ref="BP33:BU33"/>
    <mergeCell ref="BV33:CA33"/>
    <mergeCell ref="C32:G32"/>
    <mergeCell ref="C31:G31"/>
    <mergeCell ref="H31:M31"/>
    <mergeCell ref="N31:S31"/>
    <mergeCell ref="B33:G33"/>
    <mergeCell ref="H33:M33"/>
    <mergeCell ref="N33:S33"/>
    <mergeCell ref="B30:G30"/>
    <mergeCell ref="H30:M30"/>
    <mergeCell ref="N30:S30"/>
    <mergeCell ref="N32:S32"/>
    <mergeCell ref="H32:M32"/>
    <mergeCell ref="CB30:CG30"/>
    <mergeCell ref="BJ19:BJ30"/>
    <mergeCell ref="H28:M28"/>
    <mergeCell ref="N28:S28"/>
    <mergeCell ref="B24:S24"/>
    <mergeCell ref="H26:M26"/>
    <mergeCell ref="N26:S26"/>
    <mergeCell ref="B28:D29"/>
    <mergeCell ref="E28:G28"/>
    <mergeCell ref="CB24:CG24"/>
    <mergeCell ref="BL25:BO25"/>
    <mergeCell ref="AX26:BC26"/>
    <mergeCell ref="BD26:BI26"/>
    <mergeCell ref="AX27:BC27"/>
    <mergeCell ref="BD27:BI27"/>
    <mergeCell ref="AX28:BC28"/>
    <mergeCell ref="BD28:BI28"/>
    <mergeCell ref="AX29:BC29"/>
    <mergeCell ref="AK26:AQ26"/>
    <mergeCell ref="E29:G29"/>
    <mergeCell ref="N27:S27"/>
    <mergeCell ref="AK22:AQ22"/>
    <mergeCell ref="AR22:AW22"/>
    <mergeCell ref="AX22:BC22"/>
    <mergeCell ref="BV29:CA29"/>
    <mergeCell ref="CB29:CG29"/>
    <mergeCell ref="BK24:BK29"/>
    <mergeCell ref="BL24:BO24"/>
    <mergeCell ref="BP24:BU24"/>
    <mergeCell ref="BM28:BO28"/>
    <mergeCell ref="BP28:BU28"/>
    <mergeCell ref="BV28:CA28"/>
    <mergeCell ref="CB28:CG28"/>
    <mergeCell ref="BL26:BO26"/>
    <mergeCell ref="BV27:CA27"/>
    <mergeCell ref="CB27:CG27"/>
    <mergeCell ref="CB22:CG22"/>
    <mergeCell ref="BL23:BO23"/>
    <mergeCell ref="BP23:BU23"/>
    <mergeCell ref="BV23:CA23"/>
    <mergeCell ref="CB23:CG23"/>
    <mergeCell ref="BK19:BK23"/>
    <mergeCell ref="BL19:BO19"/>
    <mergeCell ref="BP26:BU26"/>
    <mergeCell ref="BV26:CA26"/>
    <mergeCell ref="CB26:CG26"/>
    <mergeCell ref="BV24:CA24"/>
    <mergeCell ref="BP25:BU25"/>
    <mergeCell ref="BV25:CA25"/>
    <mergeCell ref="CB25:CG25"/>
    <mergeCell ref="CB19:CG19"/>
    <mergeCell ref="B25:G26"/>
    <mergeCell ref="H25:S25"/>
    <mergeCell ref="B27:G27"/>
    <mergeCell ref="H27:M27"/>
    <mergeCell ref="C23:G23"/>
    <mergeCell ref="H23:M23"/>
    <mergeCell ref="BL27:BO27"/>
    <mergeCell ref="BP27:BU27"/>
    <mergeCell ref="B22:G22"/>
    <mergeCell ref="AF24:AG43"/>
    <mergeCell ref="BL29:BO29"/>
    <mergeCell ref="BP29:BU29"/>
    <mergeCell ref="BL34:BO34"/>
    <mergeCell ref="BP34:BU34"/>
    <mergeCell ref="H29:M29"/>
    <mergeCell ref="N29:S29"/>
    <mergeCell ref="BJ31:BO31"/>
    <mergeCell ref="BP31:BU31"/>
    <mergeCell ref="B36:G37"/>
    <mergeCell ref="B35:G35"/>
    <mergeCell ref="H35:M35"/>
    <mergeCell ref="N35:S35"/>
    <mergeCell ref="N34:S34"/>
    <mergeCell ref="AH32:AQ32"/>
    <mergeCell ref="C21:G21"/>
    <mergeCell ref="H21:M21"/>
    <mergeCell ref="B20:G20"/>
    <mergeCell ref="H20:M20"/>
    <mergeCell ref="C14:G14"/>
    <mergeCell ref="H14:M14"/>
    <mergeCell ref="BP18:BU18"/>
    <mergeCell ref="BV18:CA18"/>
    <mergeCell ref="H22:M22"/>
    <mergeCell ref="BL22:BO22"/>
    <mergeCell ref="H18:M18"/>
    <mergeCell ref="AH16:AQ16"/>
    <mergeCell ref="AR16:AW16"/>
    <mergeCell ref="AX16:BC16"/>
    <mergeCell ref="BD16:BI16"/>
    <mergeCell ref="AK17:AQ17"/>
    <mergeCell ref="AR17:AW17"/>
    <mergeCell ref="AX17:BC17"/>
    <mergeCell ref="BD17:BI17"/>
    <mergeCell ref="AF18:AQ18"/>
    <mergeCell ref="AR18:AW18"/>
    <mergeCell ref="AX18:BC18"/>
    <mergeCell ref="BD18:BI18"/>
    <mergeCell ref="B19:G19"/>
    <mergeCell ref="CB18:CG18"/>
    <mergeCell ref="BP12:BU12"/>
    <mergeCell ref="BV12:CA12"/>
    <mergeCell ref="CB12:CG12"/>
    <mergeCell ref="BL13:BO13"/>
    <mergeCell ref="BP13:BU13"/>
    <mergeCell ref="BV13:CA13"/>
    <mergeCell ref="BL16:BO16"/>
    <mergeCell ref="BP16:BU16"/>
    <mergeCell ref="BV16:CA16"/>
    <mergeCell ref="CB16:CG16"/>
    <mergeCell ref="BL14:BO14"/>
    <mergeCell ref="BP14:BU14"/>
    <mergeCell ref="BV14:CA14"/>
    <mergeCell ref="CB14:CG14"/>
    <mergeCell ref="BL17:BO17"/>
    <mergeCell ref="BP17:BU17"/>
    <mergeCell ref="BV17:CA17"/>
    <mergeCell ref="CB17:CG17"/>
    <mergeCell ref="BL15:BO15"/>
    <mergeCell ref="BP15:BU15"/>
    <mergeCell ref="BV15:CA15"/>
    <mergeCell ref="CB15:CG15"/>
    <mergeCell ref="BL12:BO12"/>
    <mergeCell ref="H19:M19"/>
    <mergeCell ref="BL21:BO21"/>
    <mergeCell ref="BP21:BU21"/>
    <mergeCell ref="BV21:CA21"/>
    <mergeCell ref="CB21:CG21"/>
    <mergeCell ref="BL20:BO20"/>
    <mergeCell ref="BP20:BU20"/>
    <mergeCell ref="BV20:CA20"/>
    <mergeCell ref="BP19:BU19"/>
    <mergeCell ref="BV19:CA19"/>
    <mergeCell ref="AX20:BC20"/>
    <mergeCell ref="BD20:BI20"/>
    <mergeCell ref="AH21:AQ21"/>
    <mergeCell ref="AR21:AW21"/>
    <mergeCell ref="AX21:BC21"/>
    <mergeCell ref="BD21:BI21"/>
    <mergeCell ref="AX19:BC19"/>
    <mergeCell ref="BD19:BI19"/>
    <mergeCell ref="AH20:AQ20"/>
    <mergeCell ref="AR20:AW20"/>
    <mergeCell ref="CB20:CG20"/>
    <mergeCell ref="BK14:BK17"/>
    <mergeCell ref="B15:M15"/>
    <mergeCell ref="B16:G16"/>
    <mergeCell ref="H16:M16"/>
    <mergeCell ref="BJ9:BJ18"/>
    <mergeCell ref="B18:G18"/>
    <mergeCell ref="BK18:BO18"/>
    <mergeCell ref="AH14:AQ14"/>
    <mergeCell ref="AR14:AW14"/>
    <mergeCell ref="AX14:BC14"/>
    <mergeCell ref="BD14:BI14"/>
    <mergeCell ref="AH15:AQ15"/>
    <mergeCell ref="AR15:AW15"/>
    <mergeCell ref="AX15:BC15"/>
    <mergeCell ref="BD15:BI15"/>
    <mergeCell ref="B17:G17"/>
    <mergeCell ref="H17:M17"/>
    <mergeCell ref="BV11:CA11"/>
    <mergeCell ref="CB11:CG11"/>
    <mergeCell ref="B11:G11"/>
    <mergeCell ref="H11:M11"/>
    <mergeCell ref="B10:G10"/>
    <mergeCell ref="H10:M10"/>
    <mergeCell ref="CB13:CG13"/>
    <mergeCell ref="B13:G13"/>
    <mergeCell ref="H13:M13"/>
    <mergeCell ref="C12:G12"/>
    <mergeCell ref="H12:M12"/>
    <mergeCell ref="BL11:BO11"/>
    <mergeCell ref="BP11:BU11"/>
    <mergeCell ref="BK9:BK13"/>
    <mergeCell ref="AR12:AW12"/>
    <mergeCell ref="AX12:BC12"/>
    <mergeCell ref="BD12:BI12"/>
    <mergeCell ref="AH13:AQ13"/>
    <mergeCell ref="AR13:AW13"/>
    <mergeCell ref="AX13:BC13"/>
    <mergeCell ref="BD13:BI13"/>
    <mergeCell ref="BJ6:CG6"/>
    <mergeCell ref="BL10:BO10"/>
    <mergeCell ref="BP10:BU10"/>
    <mergeCell ref="BV10:CA10"/>
    <mergeCell ref="CB10:CG10"/>
    <mergeCell ref="CB9:CG9"/>
    <mergeCell ref="B9:G9"/>
    <mergeCell ref="H9:M9"/>
    <mergeCell ref="BL9:BO9"/>
    <mergeCell ref="BP9:BU9"/>
    <mergeCell ref="BV9:CA9"/>
    <mergeCell ref="BJ7:BO8"/>
    <mergeCell ref="BP7:CG7"/>
    <mergeCell ref="B7:G7"/>
    <mergeCell ref="H7:M7"/>
    <mergeCell ref="BP8:BU8"/>
    <mergeCell ref="BV8:CA8"/>
    <mergeCell ref="CB8:CG8"/>
    <mergeCell ref="B8:G8"/>
    <mergeCell ref="H8:M8"/>
    <mergeCell ref="BP5:BU5"/>
    <mergeCell ref="BV5:CA5"/>
    <mergeCell ref="CB5:CG5"/>
    <mergeCell ref="B5:G5"/>
    <mergeCell ref="I5:M5"/>
    <mergeCell ref="O5:S5"/>
    <mergeCell ref="U5:Y5"/>
    <mergeCell ref="AY5:BC5"/>
    <mergeCell ref="BE5:BI5"/>
    <mergeCell ref="AA5:AE5"/>
    <mergeCell ref="AG5:AK5"/>
    <mergeCell ref="AL5:AQ5"/>
    <mergeCell ref="AR5:AW5"/>
    <mergeCell ref="BK5:BO5"/>
    <mergeCell ref="AX4:BC4"/>
    <mergeCell ref="BD4:BI4"/>
    <mergeCell ref="BJ4:BO4"/>
    <mergeCell ref="BP4:BU4"/>
    <mergeCell ref="BV4:CA4"/>
    <mergeCell ref="CB4:CG4"/>
    <mergeCell ref="B4:G4"/>
    <mergeCell ref="T4:Y4"/>
    <mergeCell ref="AL4:AQ4"/>
    <mergeCell ref="AR4:AW4"/>
    <mergeCell ref="H4:M4"/>
    <mergeCell ref="N4:S4"/>
    <mergeCell ref="Z4:AE4"/>
    <mergeCell ref="AF4:AK4"/>
    <mergeCell ref="BP55:BU55"/>
    <mergeCell ref="AX53:BC53"/>
    <mergeCell ref="BD53:BI53"/>
    <mergeCell ref="AX58:BC58"/>
    <mergeCell ref="AX56:BC56"/>
    <mergeCell ref="BD56:BI56"/>
    <mergeCell ref="BD58:BI58"/>
    <mergeCell ref="AX57:BC57"/>
    <mergeCell ref="BD57:BI57"/>
    <mergeCell ref="BJ56:BO56"/>
    <mergeCell ref="BP56:BU56"/>
    <mergeCell ref="BJ57:BO57"/>
    <mergeCell ref="BP57:BU57"/>
    <mergeCell ref="BJ58:BO58"/>
    <mergeCell ref="BP58:BU58"/>
    <mergeCell ref="BP52:BU53"/>
    <mergeCell ref="BJ53:BO53"/>
    <mergeCell ref="BP54:BU54"/>
    <mergeCell ref="AF55:AK55"/>
    <mergeCell ref="AL55:AQ55"/>
    <mergeCell ref="AL52:AQ52"/>
    <mergeCell ref="AF54:AK54"/>
    <mergeCell ref="B52:G52"/>
    <mergeCell ref="BD54:BI54"/>
    <mergeCell ref="AX55:BC55"/>
    <mergeCell ref="BD55:BI55"/>
    <mergeCell ref="BJ54:BO54"/>
    <mergeCell ref="BJ55:BO55"/>
    <mergeCell ref="AL54:AQ54"/>
    <mergeCell ref="AR48:AW48"/>
    <mergeCell ref="AX48:BC48"/>
    <mergeCell ref="AR49:AW49"/>
    <mergeCell ref="AX49:BC49"/>
    <mergeCell ref="AR47:BC47"/>
    <mergeCell ref="AR50:AW50"/>
    <mergeCell ref="AX50:BC50"/>
    <mergeCell ref="AX54:BC54"/>
    <mergeCell ref="AF49:AK49"/>
    <mergeCell ref="AL49:AQ49"/>
    <mergeCell ref="AF50:AK50"/>
    <mergeCell ref="AL50:AQ50"/>
    <mergeCell ref="AF51:AK51"/>
    <mergeCell ref="AL51:AQ51"/>
    <mergeCell ref="B57:G57"/>
    <mergeCell ref="B56:M56"/>
    <mergeCell ref="N56:Y56"/>
    <mergeCell ref="H52:M52"/>
    <mergeCell ref="Z49:AE49"/>
    <mergeCell ref="H51:M51"/>
    <mergeCell ref="N51:S51"/>
    <mergeCell ref="N52:S52"/>
    <mergeCell ref="H53:M53"/>
    <mergeCell ref="N53:S53"/>
    <mergeCell ref="T57:Y57"/>
    <mergeCell ref="AA56:AE56"/>
    <mergeCell ref="AB57:AE57"/>
    <mergeCell ref="AB54:AE54"/>
    <mergeCell ref="AB55:AE55"/>
    <mergeCell ref="B51:G51"/>
    <mergeCell ref="B53:G53"/>
    <mergeCell ref="B54:G54"/>
    <mergeCell ref="Z50:Z58"/>
    <mergeCell ref="AA50:AE50"/>
    <mergeCell ref="AB51:AE51"/>
    <mergeCell ref="N58:S58"/>
    <mergeCell ref="B58:G58"/>
    <mergeCell ref="N46:S46"/>
    <mergeCell ref="H36:S36"/>
    <mergeCell ref="H37:M37"/>
    <mergeCell ref="N37:S37"/>
    <mergeCell ref="B38:G38"/>
    <mergeCell ref="H38:M38"/>
    <mergeCell ref="N38:S38"/>
    <mergeCell ref="B39:D40"/>
    <mergeCell ref="E39:G39"/>
    <mergeCell ref="H39:M39"/>
    <mergeCell ref="N39:S39"/>
    <mergeCell ref="E40:G40"/>
    <mergeCell ref="H40:M40"/>
    <mergeCell ref="N40:S40"/>
    <mergeCell ref="F2:CG2"/>
    <mergeCell ref="BV46:CG46"/>
    <mergeCell ref="AX52:BO52"/>
    <mergeCell ref="B41:G41"/>
    <mergeCell ref="H41:M41"/>
    <mergeCell ref="N41:S41"/>
    <mergeCell ref="C42:G42"/>
    <mergeCell ref="H42:M42"/>
    <mergeCell ref="N42:S42"/>
    <mergeCell ref="C43:G43"/>
    <mergeCell ref="H43:M43"/>
    <mergeCell ref="N43:S43"/>
    <mergeCell ref="AH46:AQ46"/>
    <mergeCell ref="AR46:AW46"/>
    <mergeCell ref="AX46:BC46"/>
    <mergeCell ref="BD46:BI46"/>
    <mergeCell ref="B44:G44"/>
    <mergeCell ref="H44:M44"/>
    <mergeCell ref="N44:S44"/>
    <mergeCell ref="B45:G45"/>
    <mergeCell ref="H45:M45"/>
    <mergeCell ref="N45:S45"/>
    <mergeCell ref="B46:G46"/>
    <mergeCell ref="H46:M46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W74"/>
  <sheetViews>
    <sheetView zoomScale="85" zoomScaleNormal="85" workbookViewId="0">
      <selection activeCell="K18" sqref="K18"/>
    </sheetView>
  </sheetViews>
  <sheetFormatPr defaultColWidth="8.875" defaultRowHeight="13.5"/>
  <cols>
    <col min="1" max="1" width="16.875" style="2" bestFit="1" customWidth="1"/>
    <col min="2" max="3" width="8.875" style="2"/>
    <col min="4" max="4" width="16.875" style="2" bestFit="1" customWidth="1"/>
    <col min="5" max="5" width="8.875" style="2"/>
    <col min="6" max="6" width="8.875" style="2" customWidth="1"/>
    <col min="7" max="7" width="19.375" style="2" bestFit="1" customWidth="1"/>
    <col min="8" max="9" width="8.875" style="2"/>
    <col min="10" max="10" width="13.875" style="2" bestFit="1" customWidth="1"/>
    <col min="11" max="12" width="8.875" style="2" customWidth="1"/>
    <col min="13" max="13" width="13.875" style="2" bestFit="1" customWidth="1"/>
    <col min="14" max="15" width="8.875" style="2"/>
    <col min="16" max="16" width="16.125" style="2" bestFit="1" customWidth="1"/>
    <col min="17" max="18" width="8.875" style="2"/>
    <col min="19" max="19" width="9.5" style="2" bestFit="1" customWidth="1"/>
    <col min="20" max="21" width="8.875" style="2"/>
    <col min="22" max="22" width="16.125" style="2" bestFit="1" customWidth="1"/>
    <col min="23" max="16384" width="8.875" style="2"/>
  </cols>
  <sheetData>
    <row r="2" spans="1:23">
      <c r="A2" s="1" t="s">
        <v>203</v>
      </c>
      <c r="B2" s="1" t="s">
        <v>204</v>
      </c>
      <c r="D2" s="3" t="s">
        <v>80</v>
      </c>
      <c r="E2" s="3" t="s">
        <v>204</v>
      </c>
      <c r="G2" s="4" t="s">
        <v>205</v>
      </c>
      <c r="H2" s="4" t="s">
        <v>204</v>
      </c>
      <c r="J2" s="2" t="s">
        <v>223</v>
      </c>
      <c r="M2" s="22" t="s">
        <v>275</v>
      </c>
      <c r="N2" s="6" t="s">
        <v>206</v>
      </c>
      <c r="P2" s="7" t="s">
        <v>207</v>
      </c>
      <c r="Q2" s="8" t="s">
        <v>206</v>
      </c>
      <c r="S2" s="19" t="s">
        <v>276</v>
      </c>
      <c r="T2" s="20" t="s">
        <v>206</v>
      </c>
      <c r="V2" s="23" t="s">
        <v>277</v>
      </c>
      <c r="W2" s="24" t="s">
        <v>206</v>
      </c>
    </row>
    <row r="3" spans="1:23">
      <c r="A3" s="1" t="s">
        <v>302</v>
      </c>
      <c r="B3" s="1">
        <v>0</v>
      </c>
      <c r="D3" s="3"/>
      <c r="E3" s="3"/>
      <c r="G3" s="4" t="s">
        <v>267</v>
      </c>
      <c r="H3" s="4">
        <v>1</v>
      </c>
      <c r="J3" s="9" t="s">
        <v>324</v>
      </c>
      <c r="K3" s="9" t="s">
        <v>204</v>
      </c>
      <c r="M3" s="5" t="s">
        <v>209</v>
      </c>
      <c r="N3" s="6">
        <v>3</v>
      </c>
      <c r="P3" s="7" t="s">
        <v>210</v>
      </c>
      <c r="Q3" s="8">
        <v>0</v>
      </c>
      <c r="S3" s="19" t="s">
        <v>272</v>
      </c>
      <c r="T3" s="20">
        <v>1</v>
      </c>
      <c r="V3" s="23" t="s">
        <v>278</v>
      </c>
      <c r="W3" s="24">
        <v>1</v>
      </c>
    </row>
    <row r="4" spans="1:23">
      <c r="A4" s="1" t="s">
        <v>303</v>
      </c>
      <c r="B4" s="1">
        <v>60</v>
      </c>
      <c r="D4" s="3"/>
      <c r="E4" s="3"/>
      <c r="G4" s="4"/>
      <c r="H4" s="4"/>
      <c r="J4" s="9" t="s">
        <v>344</v>
      </c>
      <c r="K4" s="9">
        <v>0</v>
      </c>
      <c r="M4" s="5" t="s">
        <v>212</v>
      </c>
      <c r="N4" s="6">
        <v>1</v>
      </c>
      <c r="P4" s="7" t="s">
        <v>213</v>
      </c>
      <c r="Q4" s="8">
        <v>1</v>
      </c>
      <c r="S4" s="19" t="s">
        <v>273</v>
      </c>
      <c r="T4" s="20">
        <v>2</v>
      </c>
      <c r="V4" s="23" t="s">
        <v>279</v>
      </c>
      <c r="W4" s="24">
        <v>2</v>
      </c>
    </row>
    <row r="5" spans="1:23">
      <c r="A5" s="1" t="s">
        <v>266</v>
      </c>
      <c r="B5" s="1">
        <v>1</v>
      </c>
      <c r="D5" s="3"/>
      <c r="E5" s="3"/>
      <c r="G5" s="4"/>
      <c r="H5" s="4"/>
      <c r="J5" s="9" t="s">
        <v>325</v>
      </c>
      <c r="K5" s="9">
        <v>1</v>
      </c>
      <c r="M5" s="5" t="s">
        <v>215</v>
      </c>
      <c r="N5" s="6">
        <v>2</v>
      </c>
      <c r="P5" s="7" t="s">
        <v>216</v>
      </c>
      <c r="Q5" s="8">
        <v>2</v>
      </c>
      <c r="S5" s="13"/>
      <c r="T5" s="13"/>
      <c r="V5" s="13"/>
      <c r="W5" s="13"/>
    </row>
    <row r="6" spans="1:23">
      <c r="A6" s="1" t="s">
        <v>304</v>
      </c>
      <c r="B6" s="1">
        <v>61</v>
      </c>
      <c r="D6" s="3"/>
      <c r="E6" s="3"/>
      <c r="G6" s="4"/>
      <c r="H6" s="4"/>
      <c r="J6" s="9" t="s">
        <v>326</v>
      </c>
      <c r="K6" s="9">
        <v>2</v>
      </c>
      <c r="N6" s="10"/>
      <c r="P6" s="7" t="s">
        <v>218</v>
      </c>
      <c r="Q6" s="8">
        <v>3</v>
      </c>
      <c r="S6" s="13"/>
      <c r="T6" s="20" t="s">
        <v>204</v>
      </c>
      <c r="V6" s="13"/>
      <c r="W6" s="24" t="s">
        <v>204</v>
      </c>
    </row>
    <row r="7" spans="1:23">
      <c r="A7" s="1" t="s">
        <v>305</v>
      </c>
      <c r="B7" s="1">
        <v>62</v>
      </c>
      <c r="D7" s="3"/>
      <c r="E7" s="3"/>
      <c r="G7" s="4"/>
      <c r="H7" s="4"/>
      <c r="J7" s="9" t="s">
        <v>327</v>
      </c>
      <c r="K7" s="9">
        <v>3</v>
      </c>
      <c r="N7" s="6" t="s">
        <v>204</v>
      </c>
      <c r="P7" s="7" t="s">
        <v>221</v>
      </c>
      <c r="Q7" s="11">
        <v>4</v>
      </c>
      <c r="S7" s="13"/>
      <c r="T7" s="21" t="str">
        <f>"="&amp;'No1'!AX5</f>
        <v>=</v>
      </c>
      <c r="V7" s="13"/>
      <c r="W7" s="25" t="str">
        <f>"="&amp;'No1'!N5</f>
        <v>=</v>
      </c>
    </row>
    <row r="8" spans="1:23">
      <c r="A8" s="1" t="s">
        <v>306</v>
      </c>
      <c r="B8" s="1">
        <v>63</v>
      </c>
      <c r="D8" s="3" t="s">
        <v>223</v>
      </c>
      <c r="E8" s="3">
        <v>81</v>
      </c>
      <c r="G8" s="4" t="s">
        <v>220</v>
      </c>
      <c r="H8" s="4">
        <v>2</v>
      </c>
      <c r="J8" s="9" t="s">
        <v>328</v>
      </c>
      <c r="K8" s="9">
        <v>4</v>
      </c>
      <c r="N8" s="12" t="str">
        <f>"="&amp;'No1'!BJ5</f>
        <v>=</v>
      </c>
      <c r="P8" s="13"/>
      <c r="Q8" s="13"/>
    </row>
    <row r="9" spans="1:23">
      <c r="A9" s="1" t="s">
        <v>307</v>
      </c>
      <c r="B9" s="1">
        <v>67</v>
      </c>
      <c r="D9" s="3" t="s">
        <v>225</v>
      </c>
      <c r="E9" s="3">
        <v>82</v>
      </c>
      <c r="J9" s="9" t="s">
        <v>329</v>
      </c>
      <c r="K9" s="9">
        <v>5</v>
      </c>
      <c r="P9" s="13"/>
      <c r="Q9" s="8" t="s">
        <v>204</v>
      </c>
    </row>
    <row r="10" spans="1:23">
      <c r="A10" s="1" t="s">
        <v>308</v>
      </c>
      <c r="B10" s="1">
        <v>68</v>
      </c>
      <c r="D10" s="3"/>
      <c r="E10" s="3"/>
      <c r="H10" s="4" t="s">
        <v>204</v>
      </c>
      <c r="J10" s="9" t="s">
        <v>330</v>
      </c>
      <c r="K10" s="9">
        <v>6</v>
      </c>
      <c r="P10" s="13"/>
      <c r="Q10" s="15" t="str">
        <f>"="&amp;'No1'!AF5</f>
        <v>=</v>
      </c>
    </row>
    <row r="11" spans="1:23">
      <c r="A11" s="1" t="s">
        <v>309</v>
      </c>
      <c r="B11" s="1">
        <v>71</v>
      </c>
      <c r="D11" s="3"/>
      <c r="E11" s="3"/>
      <c r="H11" s="14" t="str">
        <f>"="&amp;'No1'!BD5</f>
        <v>=</v>
      </c>
      <c r="J11" s="9" t="s">
        <v>331</v>
      </c>
      <c r="K11" s="9">
        <v>7</v>
      </c>
    </row>
    <row r="12" spans="1:23">
      <c r="A12" s="1" t="s">
        <v>310</v>
      </c>
      <c r="B12" s="1">
        <v>74</v>
      </c>
      <c r="D12" s="3"/>
      <c r="E12" s="3"/>
      <c r="J12" s="9" t="s">
        <v>332</v>
      </c>
      <c r="K12" s="9">
        <v>8</v>
      </c>
    </row>
    <row r="13" spans="1:23">
      <c r="A13" s="1" t="s">
        <v>311</v>
      </c>
      <c r="B13" s="1">
        <v>75</v>
      </c>
      <c r="D13" s="3"/>
      <c r="E13" s="3"/>
      <c r="J13" s="9" t="s">
        <v>231</v>
      </c>
      <c r="K13" s="9">
        <v>9</v>
      </c>
    </row>
    <row r="14" spans="1:23">
      <c r="A14" s="1" t="s">
        <v>265</v>
      </c>
      <c r="B14" s="1">
        <v>47</v>
      </c>
      <c r="J14" s="9" t="s">
        <v>333</v>
      </c>
      <c r="K14" s="9">
        <v>10</v>
      </c>
    </row>
    <row r="15" spans="1:23">
      <c r="A15" s="1" t="s">
        <v>312</v>
      </c>
      <c r="B15" s="1">
        <v>64</v>
      </c>
      <c r="E15" s="3" t="s">
        <v>204</v>
      </c>
      <c r="J15" s="9" t="s">
        <v>334</v>
      </c>
      <c r="K15" s="9">
        <v>11</v>
      </c>
    </row>
    <row r="16" spans="1:23">
      <c r="A16" s="1" t="s">
        <v>313</v>
      </c>
      <c r="B16" s="1">
        <v>65</v>
      </c>
      <c r="E16" s="16" t="str">
        <f>"="&amp;'No1'!T5</f>
        <v>=</v>
      </c>
    </row>
    <row r="17" spans="1:11">
      <c r="A17" s="1" t="s">
        <v>314</v>
      </c>
      <c r="B17" s="1">
        <v>66</v>
      </c>
      <c r="K17" s="9" t="s">
        <v>204</v>
      </c>
    </row>
    <row r="18" spans="1:11">
      <c r="A18" s="1" t="s">
        <v>315</v>
      </c>
      <c r="B18" s="1">
        <v>69</v>
      </c>
      <c r="K18" s="17" t="str">
        <f>"="&amp;'No1'!Z5</f>
        <v>=</v>
      </c>
    </row>
    <row r="19" spans="1:11">
      <c r="A19" s="1" t="s">
        <v>316</v>
      </c>
      <c r="B19" s="1">
        <v>70</v>
      </c>
    </row>
    <row r="20" spans="1:11">
      <c r="A20" s="1" t="s">
        <v>317</v>
      </c>
      <c r="B20" s="1">
        <v>72</v>
      </c>
      <c r="J20" s="2" t="s">
        <v>225</v>
      </c>
    </row>
    <row r="21" spans="1:11">
      <c r="A21" s="1" t="s">
        <v>318</v>
      </c>
      <c r="B21" s="1">
        <v>73</v>
      </c>
      <c r="J21" s="9" t="s">
        <v>324</v>
      </c>
      <c r="K21" s="9" t="s">
        <v>335</v>
      </c>
    </row>
    <row r="22" spans="1:11">
      <c r="A22" s="1" t="s">
        <v>319</v>
      </c>
      <c r="B22" s="1">
        <v>76</v>
      </c>
      <c r="J22" s="9" t="s">
        <v>344</v>
      </c>
      <c r="K22" s="9">
        <v>0</v>
      </c>
    </row>
    <row r="23" spans="1:11">
      <c r="A23" s="1" t="s">
        <v>320</v>
      </c>
      <c r="B23" s="1">
        <v>77</v>
      </c>
      <c r="J23" s="9" t="s">
        <v>325</v>
      </c>
      <c r="K23" s="9">
        <v>1</v>
      </c>
    </row>
    <row r="24" spans="1:11">
      <c r="A24" s="1" t="s">
        <v>321</v>
      </c>
      <c r="B24" s="1">
        <v>93</v>
      </c>
      <c r="J24" s="9" t="s">
        <v>336</v>
      </c>
      <c r="K24" s="9">
        <v>2</v>
      </c>
    </row>
    <row r="25" spans="1:11">
      <c r="A25" s="1" t="s">
        <v>322</v>
      </c>
      <c r="B25" s="1">
        <v>94</v>
      </c>
      <c r="J25" s="9" t="s">
        <v>327</v>
      </c>
      <c r="K25" s="9">
        <v>3</v>
      </c>
    </row>
    <row r="26" spans="1:11">
      <c r="A26" s="1" t="s">
        <v>323</v>
      </c>
      <c r="B26" s="1">
        <v>95</v>
      </c>
      <c r="J26" s="9" t="s">
        <v>337</v>
      </c>
      <c r="K26" s="9">
        <v>4</v>
      </c>
    </row>
    <row r="27" spans="1:11">
      <c r="A27" s="1" t="s">
        <v>208</v>
      </c>
      <c r="B27" s="1">
        <v>2</v>
      </c>
      <c r="J27" s="9" t="s">
        <v>329</v>
      </c>
      <c r="K27" s="9">
        <v>5</v>
      </c>
    </row>
    <row r="28" spans="1:11">
      <c r="A28" s="1" t="s">
        <v>211</v>
      </c>
      <c r="B28" s="1">
        <v>3</v>
      </c>
      <c r="J28" s="9" t="s">
        <v>338</v>
      </c>
      <c r="K28" s="9">
        <v>6</v>
      </c>
    </row>
    <row r="29" spans="1:11">
      <c r="A29" s="1" t="s">
        <v>214</v>
      </c>
      <c r="B29" s="1">
        <v>4</v>
      </c>
      <c r="J29" s="9" t="s">
        <v>331</v>
      </c>
      <c r="K29" s="9">
        <v>7</v>
      </c>
    </row>
    <row r="30" spans="1:11">
      <c r="A30" s="1" t="s">
        <v>217</v>
      </c>
      <c r="B30" s="1">
        <v>5</v>
      </c>
      <c r="J30" s="9" t="s">
        <v>339</v>
      </c>
      <c r="K30" s="9">
        <v>8</v>
      </c>
    </row>
    <row r="31" spans="1:11">
      <c r="A31" s="1" t="s">
        <v>219</v>
      </c>
      <c r="B31" s="1">
        <v>6</v>
      </c>
      <c r="J31" s="9" t="s">
        <v>231</v>
      </c>
      <c r="K31" s="9">
        <v>9</v>
      </c>
    </row>
    <row r="32" spans="1:11">
      <c r="A32" s="1" t="s">
        <v>222</v>
      </c>
      <c r="B32" s="1">
        <v>7</v>
      </c>
      <c r="J32"/>
      <c r="K32"/>
    </row>
    <row r="33" spans="1:11">
      <c r="A33" s="1" t="s">
        <v>224</v>
      </c>
      <c r="B33" s="1">
        <v>8</v>
      </c>
      <c r="J33"/>
      <c r="K33"/>
    </row>
    <row r="34" spans="1:11">
      <c r="A34" s="1" t="s">
        <v>226</v>
      </c>
      <c r="B34" s="1">
        <v>9</v>
      </c>
      <c r="J34"/>
      <c r="K34"/>
    </row>
    <row r="35" spans="1:11">
      <c r="A35" s="1" t="s">
        <v>227</v>
      </c>
      <c r="B35" s="1">
        <v>10</v>
      </c>
      <c r="J35"/>
      <c r="K35"/>
    </row>
    <row r="36" spans="1:11">
      <c r="A36" s="1" t="s">
        <v>228</v>
      </c>
      <c r="B36" s="1">
        <v>11</v>
      </c>
      <c r="J36"/>
      <c r="K36"/>
    </row>
    <row r="37" spans="1:11">
      <c r="A37" s="1" t="s">
        <v>229</v>
      </c>
      <c r="B37" s="1">
        <v>12</v>
      </c>
      <c r="J37"/>
      <c r="K37"/>
    </row>
    <row r="38" spans="1:11">
      <c r="A38" s="1" t="s">
        <v>230</v>
      </c>
      <c r="B38" s="1">
        <v>13</v>
      </c>
      <c r="J38"/>
      <c r="K38"/>
    </row>
    <row r="39" spans="1:11">
      <c r="A39" s="1" t="s">
        <v>232</v>
      </c>
      <c r="B39" s="1">
        <v>14</v>
      </c>
      <c r="J39"/>
      <c r="K39"/>
    </row>
    <row r="40" spans="1:11">
      <c r="A40" s="1" t="s">
        <v>233</v>
      </c>
      <c r="B40" s="1">
        <v>15</v>
      </c>
      <c r="J40"/>
      <c r="K40"/>
    </row>
    <row r="41" spans="1:11">
      <c r="A41" s="1" t="s">
        <v>234</v>
      </c>
      <c r="B41" s="1">
        <v>16</v>
      </c>
      <c r="J41"/>
      <c r="K41"/>
    </row>
    <row r="42" spans="1:11">
      <c r="A42" s="1" t="s">
        <v>235</v>
      </c>
      <c r="B42" s="1">
        <v>17</v>
      </c>
      <c r="J42"/>
      <c r="K42"/>
    </row>
    <row r="43" spans="1:11">
      <c r="A43" s="1" t="s">
        <v>236</v>
      </c>
      <c r="B43" s="1">
        <v>18</v>
      </c>
      <c r="J43"/>
      <c r="K43"/>
    </row>
    <row r="44" spans="1:11">
      <c r="A44" s="1" t="s">
        <v>237</v>
      </c>
      <c r="B44" s="1">
        <v>19</v>
      </c>
      <c r="J44"/>
      <c r="K44"/>
    </row>
    <row r="45" spans="1:11">
      <c r="A45" s="1" t="s">
        <v>238</v>
      </c>
      <c r="B45" s="1">
        <v>20</v>
      </c>
      <c r="J45"/>
      <c r="K45"/>
    </row>
    <row r="46" spans="1:11">
      <c r="A46" s="1" t="s">
        <v>239</v>
      </c>
      <c r="B46" s="1">
        <v>21</v>
      </c>
      <c r="J46"/>
      <c r="K46"/>
    </row>
    <row r="47" spans="1:11">
      <c r="A47" s="1" t="s">
        <v>240</v>
      </c>
      <c r="B47" s="1">
        <v>22</v>
      </c>
      <c r="J47"/>
      <c r="K47"/>
    </row>
    <row r="48" spans="1:11">
      <c r="A48" s="1" t="s">
        <v>241</v>
      </c>
      <c r="B48" s="1">
        <v>23</v>
      </c>
      <c r="J48"/>
      <c r="K48"/>
    </row>
    <row r="49" spans="1:11">
      <c r="A49" s="1" t="s">
        <v>242</v>
      </c>
      <c r="B49" s="1">
        <v>24</v>
      </c>
      <c r="J49"/>
      <c r="K49"/>
    </row>
    <row r="50" spans="1:11">
      <c r="A50" s="1" t="s">
        <v>243</v>
      </c>
      <c r="B50" s="1">
        <v>25</v>
      </c>
      <c r="J50"/>
      <c r="K50"/>
    </row>
    <row r="51" spans="1:11">
      <c r="A51" s="1" t="s">
        <v>244</v>
      </c>
      <c r="B51" s="1">
        <v>26</v>
      </c>
      <c r="J51"/>
      <c r="K51"/>
    </row>
    <row r="52" spans="1:11">
      <c r="A52" s="1" t="s">
        <v>245</v>
      </c>
      <c r="B52" s="1">
        <v>27</v>
      </c>
      <c r="J52"/>
      <c r="K52"/>
    </row>
    <row r="53" spans="1:11">
      <c r="A53" s="1" t="s">
        <v>246</v>
      </c>
      <c r="B53" s="1">
        <v>28</v>
      </c>
      <c r="J53"/>
      <c r="K53"/>
    </row>
    <row r="54" spans="1:11">
      <c r="A54" s="1" t="s">
        <v>247</v>
      </c>
      <c r="B54" s="1">
        <v>29</v>
      </c>
      <c r="J54"/>
      <c r="K54"/>
    </row>
    <row r="55" spans="1:11">
      <c r="A55" s="1" t="s">
        <v>248</v>
      </c>
      <c r="B55" s="1">
        <v>30</v>
      </c>
      <c r="J55"/>
      <c r="K55"/>
    </row>
    <row r="56" spans="1:11">
      <c r="A56" s="1" t="s">
        <v>249</v>
      </c>
      <c r="B56" s="1">
        <v>31</v>
      </c>
    </row>
    <row r="57" spans="1:11">
      <c r="A57" s="1" t="s">
        <v>250</v>
      </c>
      <c r="B57" s="1">
        <v>32</v>
      </c>
    </row>
    <row r="58" spans="1:11">
      <c r="A58" s="1" t="s">
        <v>251</v>
      </c>
      <c r="B58" s="1">
        <v>33</v>
      </c>
    </row>
    <row r="59" spans="1:11">
      <c r="A59" s="1" t="s">
        <v>252</v>
      </c>
      <c r="B59" s="1">
        <v>34</v>
      </c>
    </row>
    <row r="60" spans="1:11">
      <c r="A60" s="1" t="s">
        <v>253</v>
      </c>
      <c r="B60" s="1">
        <v>35</v>
      </c>
    </row>
    <row r="61" spans="1:11">
      <c r="A61" s="1" t="s">
        <v>254</v>
      </c>
      <c r="B61" s="1">
        <v>36</v>
      </c>
    </row>
    <row r="62" spans="1:11">
      <c r="A62" s="1" t="s">
        <v>255</v>
      </c>
      <c r="B62" s="1">
        <v>37</v>
      </c>
    </row>
    <row r="63" spans="1:11">
      <c r="A63" s="1" t="s">
        <v>256</v>
      </c>
      <c r="B63" s="1">
        <v>38</v>
      </c>
    </row>
    <row r="64" spans="1:11">
      <c r="A64" s="1" t="s">
        <v>257</v>
      </c>
      <c r="B64" s="1">
        <v>39</v>
      </c>
    </row>
    <row r="65" spans="1:2">
      <c r="A65" s="1" t="s">
        <v>258</v>
      </c>
      <c r="B65" s="1">
        <v>40</v>
      </c>
    </row>
    <row r="66" spans="1:2">
      <c r="A66" s="1" t="s">
        <v>259</v>
      </c>
      <c r="B66" s="1">
        <v>41</v>
      </c>
    </row>
    <row r="67" spans="1:2">
      <c r="A67" s="1" t="s">
        <v>260</v>
      </c>
      <c r="B67" s="1">
        <v>42</v>
      </c>
    </row>
    <row r="68" spans="1:2">
      <c r="A68" s="1" t="s">
        <v>261</v>
      </c>
      <c r="B68" s="1">
        <v>43</v>
      </c>
    </row>
    <row r="69" spans="1:2">
      <c r="A69" s="1" t="s">
        <v>262</v>
      </c>
      <c r="B69" s="1">
        <v>44</v>
      </c>
    </row>
    <row r="70" spans="1:2">
      <c r="A70" s="1" t="s">
        <v>263</v>
      </c>
      <c r="B70" s="1">
        <v>45</v>
      </c>
    </row>
    <row r="71" spans="1:2">
      <c r="A71" s="1" t="s">
        <v>264</v>
      </c>
      <c r="B71" s="1">
        <v>46</v>
      </c>
    </row>
    <row r="73" spans="1:2">
      <c r="B73" s="1" t="s">
        <v>204</v>
      </c>
    </row>
    <row r="74" spans="1:2">
      <c r="B74" s="18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No1</vt:lpstr>
      <vt:lpstr>No2</vt:lpstr>
      <vt:lpstr>リスト</vt:lpstr>
      <vt:lpstr>'No1'!Print_Area</vt:lpstr>
      <vt:lpstr>'No2'!Print_Area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sunami</cp:lastModifiedBy>
  <cp:lastPrinted>2019-11-20T01:21:22Z</cp:lastPrinted>
  <dcterms:created xsi:type="dcterms:W3CDTF">2012-06-25T01:10:26Z</dcterms:created>
  <dcterms:modified xsi:type="dcterms:W3CDTF">2020-03-13T10:01:41Z</dcterms:modified>
</cp:coreProperties>
</file>