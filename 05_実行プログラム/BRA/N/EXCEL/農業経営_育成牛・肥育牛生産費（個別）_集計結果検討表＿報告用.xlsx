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o\Box\入札プロジェクト\01_農林水産省\【BRA】農業経営統計調査集計プログラム(2022)\09_基本設計書\フェーズ2\01_差分\BRA-003_03-02_帳票仕様書\帳票イメージ\07_集計結果検討表（報告用）\レイアウト\"/>
    </mc:Choice>
  </mc:AlternateContent>
  <xr:revisionPtr revIDLastSave="0" documentId="13_ncr:1_{DAEFB75F-6B24-49AC-A998-E239AF88548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育成牛・肥育牛" sheetId="18" r:id="rId1"/>
    <sheet name="リスト" sheetId="19" state="hidden" r:id="rId2"/>
  </sheets>
  <definedNames>
    <definedName name="_xlnm.Print_Area" localSheetId="0">育成牛・肥育牛!$A$1:$S$48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" i="18" l="1"/>
  <c r="I7" i="18"/>
  <c r="M48" i="18"/>
  <c r="M47" i="18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6" i="18"/>
  <c r="L48" i="18" l="1"/>
  <c r="L47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E10" i="19" l="1"/>
  <c r="P2" i="18" s="1"/>
  <c r="B74" i="19" l="1"/>
  <c r="R2" i="18" s="1"/>
  <c r="J4" i="18" l="1"/>
  <c r="H4" i="18"/>
  <c r="K23" i="18" l="1"/>
  <c r="I23" i="18"/>
  <c r="K22" i="18"/>
  <c r="I22" i="18"/>
  <c r="K21" i="18"/>
  <c r="I21" i="18"/>
  <c r="K20" i="18"/>
  <c r="I20" i="18"/>
  <c r="K19" i="18"/>
  <c r="I19" i="18"/>
  <c r="K18" i="18"/>
  <c r="I18" i="18"/>
  <c r="K17" i="18"/>
  <c r="I17" i="18"/>
  <c r="K16" i="18"/>
  <c r="I16" i="18"/>
  <c r="K15" i="18"/>
  <c r="I15" i="18"/>
  <c r="K14" i="18"/>
  <c r="I14" i="18"/>
  <c r="K13" i="18"/>
  <c r="I13" i="18"/>
  <c r="K12" i="18"/>
  <c r="I12" i="18"/>
  <c r="K11" i="18"/>
  <c r="I11" i="18"/>
  <c r="K10" i="18"/>
  <c r="I10" i="18"/>
  <c r="K9" i="18"/>
  <c r="I9" i="18"/>
  <c r="K8" i="18"/>
  <c r="I8" i="18"/>
  <c r="K24" i="18"/>
  <c r="I24" i="18"/>
</calcChain>
</file>

<file path=xl/sharedStrings.xml><?xml version="1.0" encoding="utf-8"?>
<sst xmlns="http://schemas.openxmlformats.org/spreadsheetml/2006/main" count="181" uniqueCount="142">
  <si>
    <t>光熱動力費</t>
    <rPh sb="0" eb="2">
      <t>コウネツ</t>
    </rPh>
    <rPh sb="2" eb="5">
      <t>ドウリョクヒ</t>
    </rPh>
    <phoneticPr fontId="2"/>
  </si>
  <si>
    <t>その他諸材料費</t>
    <rPh sb="2" eb="3">
      <t>タ</t>
    </rPh>
    <rPh sb="3" eb="7">
      <t>ショザイリョウヒ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</si>
  <si>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</si>
  <si>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</si>
  <si>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3">
      <t>ジドウシャ</t>
    </rPh>
    <rPh sb="3" eb="4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</si>
  <si>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</si>
  <si>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</si>
  <si>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労働費</t>
    <rPh sb="0" eb="3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</si>
  <si>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</si>
  <si>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</si>
  <si>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</si>
  <si>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</si>
  <si>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</si>
  <si>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</si>
  <si>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</si>
  <si>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</si>
  <si>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労働時間</t>
    <rPh sb="0" eb="2">
      <t>ロウドウ</t>
    </rPh>
    <rPh sb="2" eb="4">
      <t>ジカン</t>
    </rPh>
    <phoneticPr fontId="2"/>
  </si>
  <si>
    <t>粗収益</t>
    <rPh sb="0" eb="3">
      <t>ソシュウエキ</t>
    </rPh>
    <phoneticPr fontId="2"/>
  </si>
  <si>
    <t>所得</t>
    <rPh sb="0" eb="2">
      <t>ショトク</t>
    </rPh>
    <phoneticPr fontId="2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</si>
  <si>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2"/>
  </si>
  <si>
    <t>敷料費</t>
    <rPh sb="0" eb="1">
      <t>シ</t>
    </rPh>
    <rPh sb="1" eb="2">
      <t>リョウ</t>
    </rPh>
    <rPh sb="2" eb="3">
      <t>ヒ</t>
    </rPh>
    <phoneticPr fontId="2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</si>
  <si>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</si>
  <si>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</si>
  <si>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支払地代</t>
    <rPh sb="0" eb="2">
      <t>シハラ</t>
    </rPh>
    <rPh sb="2" eb="4">
      <t>チダイ</t>
    </rPh>
    <phoneticPr fontId="2"/>
  </si>
  <si>
    <t>生産費区分</t>
    <rPh sb="0" eb="3">
      <t>セイサンヒ</t>
    </rPh>
    <rPh sb="3" eb="5">
      <t>クブン</t>
    </rPh>
    <phoneticPr fontId="2"/>
  </si>
  <si>
    <t>物財費</t>
    <rPh sb="0" eb="1">
      <t>ブツ</t>
    </rPh>
    <rPh sb="1" eb="2">
      <t>ザイ</t>
    </rPh>
    <rPh sb="2" eb="3">
      <t>ヒ</t>
    </rPh>
    <phoneticPr fontId="2"/>
  </si>
  <si>
    <t>販売価格</t>
    <rPh sb="0" eb="2">
      <t>ハンバイ</t>
    </rPh>
    <rPh sb="2" eb="4">
      <t>カカク</t>
    </rPh>
    <phoneticPr fontId="2"/>
  </si>
  <si>
    <t>月齢</t>
    <rPh sb="0" eb="2">
      <t>ゲツレイ</t>
    </rPh>
    <phoneticPr fontId="2"/>
  </si>
  <si>
    <t>販売頭数</t>
    <rPh sb="0" eb="2">
      <t>ハンバイ</t>
    </rPh>
    <rPh sb="2" eb="4">
      <t>トウスウ</t>
    </rPh>
    <phoneticPr fontId="2"/>
  </si>
  <si>
    <t>もと畜費</t>
    <rPh sb="2" eb="3">
      <t>チク</t>
    </rPh>
    <rPh sb="3" eb="4">
      <t>ヒ</t>
    </rPh>
    <phoneticPr fontId="2"/>
  </si>
  <si>
    <t>生体１００kg当たり</t>
    <rPh sb="0" eb="1">
      <t>セイニュウ</t>
    </rPh>
    <rPh sb="1" eb="2">
      <t>タイ</t>
    </rPh>
    <rPh sb="7" eb="8">
      <t>ア</t>
    </rPh>
    <phoneticPr fontId="2"/>
  </si>
  <si>
    <t>仕入れ価格</t>
    <rPh sb="0" eb="2">
      <t>シイ</t>
    </rPh>
    <rPh sb="3" eb="5">
      <t>カカク</t>
    </rPh>
    <phoneticPr fontId="2"/>
  </si>
  <si>
    <t>販売時生体重</t>
    <rPh sb="0" eb="3">
      <t>ハンバイジ</t>
    </rPh>
    <rPh sb="3" eb="5">
      <t>セイタイ</t>
    </rPh>
    <rPh sb="5" eb="6">
      <t>ジュウ</t>
    </rPh>
    <phoneticPr fontId="2"/>
  </si>
  <si>
    <t>肥育・育成期間</t>
    <rPh sb="0" eb="2">
      <t>ヒイク</t>
    </rPh>
    <rPh sb="3" eb="5">
      <t>イクセイ</t>
    </rPh>
    <rPh sb="5" eb="7">
      <t>キカン</t>
    </rPh>
    <phoneticPr fontId="2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</si>
  <si>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2"/>
  </si>
  <si>
    <t>飼料費</t>
    <rPh sb="0" eb="2">
      <t>シリョウ</t>
    </rPh>
    <rPh sb="2" eb="3">
      <t>ヒ</t>
    </rPh>
    <phoneticPr fontId="2"/>
  </si>
  <si>
    <t>（１経営体当たり）</t>
    <rPh sb="2" eb="5">
      <t>ケイエイタイ</t>
    </rPh>
    <rPh sb="5" eb="6">
      <t>ア</t>
    </rPh>
    <phoneticPr fontId="2"/>
  </si>
  <si>
    <t>地方農政局等</t>
    <rPh sb="0" eb="2">
      <t>チホウ</t>
    </rPh>
    <rPh sb="2" eb="5">
      <t>ノウセイキョク</t>
    </rPh>
    <rPh sb="5" eb="6">
      <t>トウ</t>
    </rPh>
    <phoneticPr fontId="2"/>
  </si>
  <si>
    <t>構成比</t>
    <rPh sb="0" eb="3">
      <t>コウセイヒ</t>
    </rPh>
    <phoneticPr fontId="2"/>
  </si>
  <si>
    <t>増減率</t>
    <rPh sb="0" eb="2">
      <t>ゾウゲン</t>
    </rPh>
    <rPh sb="2" eb="3">
      <t>リツ</t>
    </rPh>
    <phoneticPr fontId="2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</si>
  <si>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2"/>
  </si>
  <si>
    <t>うち家族労働費</t>
    <rPh sb="2" eb="4">
      <t>カゾク</t>
    </rPh>
    <rPh sb="4" eb="7">
      <t>ロウドウヒ</t>
    </rPh>
    <phoneticPr fontId="2"/>
  </si>
  <si>
    <t>うち家族労働時間</t>
    <rPh sb="2" eb="4">
      <t>カゾク</t>
    </rPh>
    <rPh sb="4" eb="6">
      <t>ロウドウ</t>
    </rPh>
    <rPh sb="6" eb="8">
      <t>ジカン</t>
    </rPh>
    <phoneticPr fontId="2"/>
  </si>
  <si>
    <t>うち直接労働時間</t>
    <rPh sb="2" eb="4">
      <t>チョクセツ</t>
    </rPh>
    <rPh sb="4" eb="6">
      <t>ロウドウ</t>
    </rPh>
    <rPh sb="6" eb="8">
      <t>ジカン</t>
    </rPh>
    <phoneticPr fontId="2"/>
  </si>
  <si>
    <t>　</t>
    <phoneticPr fontId="2"/>
  </si>
  <si>
    <t>区　　　　分</t>
    <rPh sb="0" eb="1">
      <t>ク</t>
    </rPh>
    <rPh sb="5" eb="6">
      <t>ブン</t>
    </rPh>
    <phoneticPr fontId="2"/>
  </si>
  <si>
    <t>単位</t>
    <rPh sb="0" eb="2">
      <t>タンイ</t>
    </rPh>
    <phoneticPr fontId="2"/>
  </si>
  <si>
    <t>増減</t>
    <rPh sb="0" eb="2">
      <t>ゾウゲン</t>
    </rPh>
    <phoneticPr fontId="2"/>
  </si>
  <si>
    <t>（％）</t>
    <phoneticPr fontId="2"/>
  </si>
  <si>
    <t>円</t>
    <rPh sb="0" eb="1">
      <t>エン</t>
    </rPh>
    <phoneticPr fontId="2"/>
  </si>
  <si>
    <t>〃</t>
    <phoneticPr fontId="2"/>
  </si>
  <si>
    <t>〃</t>
  </si>
  <si>
    <t>時間</t>
    <rPh sb="0" eb="2">
      <t>ジカン</t>
    </rPh>
    <phoneticPr fontId="2"/>
  </si>
  <si>
    <t>〃</t>
    <phoneticPr fontId="2"/>
  </si>
  <si>
    <t>もと畜
概  要</t>
    <rPh sb="2" eb="3">
      <t>チク</t>
    </rPh>
    <rPh sb="4" eb="5">
      <t>オオム</t>
    </rPh>
    <rPh sb="7" eb="8">
      <t>ヨウ</t>
    </rPh>
    <phoneticPr fontId="2"/>
  </si>
  <si>
    <t>月</t>
    <rPh sb="0" eb="1">
      <t>ツキ</t>
    </rPh>
    <phoneticPr fontId="2"/>
  </si>
  <si>
    <t>主産物
概  要</t>
    <rPh sb="0" eb="3">
      <t>シュサンブツ</t>
    </rPh>
    <rPh sb="4" eb="5">
      <t>オオム</t>
    </rPh>
    <rPh sb="7" eb="8">
      <t>ヨウ</t>
    </rPh>
    <phoneticPr fontId="2"/>
  </si>
  <si>
    <t>kg</t>
    <phoneticPr fontId="2"/>
  </si>
  <si>
    <t>〃</t>
    <phoneticPr fontId="2"/>
  </si>
  <si>
    <t>頭</t>
    <rPh sb="0" eb="1">
      <t>トウ</t>
    </rPh>
    <phoneticPr fontId="2"/>
  </si>
  <si>
    <t>流通飼料費</t>
    <rPh sb="0" eb="2">
      <t>リュウツウ</t>
    </rPh>
    <rPh sb="2" eb="5">
      <t>シリョウヒ</t>
    </rPh>
    <phoneticPr fontId="2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</si>
  <si>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</si>
  <si>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集計経営体数</t>
    <rPh sb="0" eb="2">
      <t>シュウケイ</t>
    </rPh>
    <rPh sb="2" eb="6">
      <t>ケイエイタイスウ</t>
    </rPh>
    <phoneticPr fontId="2"/>
  </si>
  <si>
    <t>経営体</t>
    <rPh sb="0" eb="3">
      <t>ケイエイタイ</t>
    </rPh>
    <phoneticPr fontId="2"/>
  </si>
  <si>
    <t>年　育成・肥育牛生産費統計　集計結果検討表（報告用）</t>
    <phoneticPr fontId="2"/>
  </si>
  <si>
    <t>都道府県等</t>
    <rPh sb="4" eb="5">
      <t>ナド</t>
    </rPh>
    <phoneticPr fontId="21"/>
  </si>
  <si>
    <t>コード</t>
    <phoneticPr fontId="22"/>
  </si>
  <si>
    <t>全国</t>
    <rPh sb="0" eb="2">
      <t>ゼンコク</t>
    </rPh>
    <phoneticPr fontId="22"/>
  </si>
  <si>
    <t>都府県平均</t>
    <rPh sb="0" eb="3">
      <t>トフケン</t>
    </rPh>
    <rPh sb="3" eb="5">
      <t>ヘイキン</t>
    </rPh>
    <phoneticPr fontId="22"/>
  </si>
  <si>
    <t>北海道</t>
    <rPh sb="0" eb="3">
      <t>ホッカイドウ</t>
    </rPh>
    <phoneticPr fontId="22"/>
  </si>
  <si>
    <t>東北</t>
    <rPh sb="0" eb="2">
      <t>トウホク</t>
    </rPh>
    <phoneticPr fontId="22"/>
  </si>
  <si>
    <t>北陸</t>
    <rPh sb="0" eb="2">
      <t>ホクリク</t>
    </rPh>
    <phoneticPr fontId="22"/>
  </si>
  <si>
    <t>関東・東山</t>
    <rPh sb="0" eb="2">
      <t>カントウ</t>
    </rPh>
    <rPh sb="3" eb="5">
      <t>ヒガシヤマ</t>
    </rPh>
    <phoneticPr fontId="22"/>
  </si>
  <si>
    <t>東海</t>
    <rPh sb="0" eb="2">
      <t>トウカイ</t>
    </rPh>
    <phoneticPr fontId="22"/>
  </si>
  <si>
    <t>近畿</t>
    <rPh sb="0" eb="2">
      <t>キンキ</t>
    </rPh>
    <phoneticPr fontId="22"/>
  </si>
  <si>
    <t>中国</t>
    <rPh sb="0" eb="2">
      <t>チュウゴク</t>
    </rPh>
    <phoneticPr fontId="22"/>
  </si>
  <si>
    <t>四国</t>
    <rPh sb="0" eb="2">
      <t>シコク</t>
    </rPh>
    <phoneticPr fontId="22"/>
  </si>
  <si>
    <t>九州</t>
    <rPh sb="0" eb="2">
      <t>キュウシュウ</t>
    </rPh>
    <phoneticPr fontId="22"/>
  </si>
  <si>
    <t>沖縄</t>
    <rPh sb="0" eb="2">
      <t>オキナワ</t>
    </rPh>
    <phoneticPr fontId="22"/>
  </si>
  <si>
    <t>北関東</t>
    <rPh sb="0" eb="1">
      <t>キタ</t>
    </rPh>
    <rPh sb="1" eb="3">
      <t>カントウ</t>
    </rPh>
    <phoneticPr fontId="22"/>
  </si>
  <si>
    <t>南関東</t>
    <rPh sb="0" eb="1">
      <t>ミナミ</t>
    </rPh>
    <rPh sb="1" eb="3">
      <t>カントウ</t>
    </rPh>
    <phoneticPr fontId="22"/>
  </si>
  <si>
    <t>東山</t>
    <rPh sb="0" eb="2">
      <t>ヒガシヤマ</t>
    </rPh>
    <phoneticPr fontId="22"/>
  </si>
  <si>
    <t>北東北</t>
    <rPh sb="0" eb="1">
      <t>キタ</t>
    </rPh>
    <rPh sb="1" eb="3">
      <t>トウホク</t>
    </rPh>
    <phoneticPr fontId="22"/>
  </si>
  <si>
    <t>南東北</t>
    <rPh sb="0" eb="1">
      <t>ミナミ</t>
    </rPh>
    <rPh sb="1" eb="3">
      <t>トウホク</t>
    </rPh>
    <phoneticPr fontId="22"/>
  </si>
  <si>
    <t>山陰</t>
    <rPh sb="0" eb="2">
      <t>サンイン</t>
    </rPh>
    <phoneticPr fontId="22"/>
  </si>
  <si>
    <t>山陽</t>
    <rPh sb="0" eb="2">
      <t>サンヨウ</t>
    </rPh>
    <phoneticPr fontId="22"/>
  </si>
  <si>
    <t>北九州</t>
    <rPh sb="0" eb="3">
      <t>キタキュウシュウ</t>
    </rPh>
    <phoneticPr fontId="22"/>
  </si>
  <si>
    <t>南九州</t>
    <rPh sb="0" eb="1">
      <t>ミナミ</t>
    </rPh>
    <rPh sb="1" eb="3">
      <t>キュウシュウ</t>
    </rPh>
    <phoneticPr fontId="22"/>
  </si>
  <si>
    <t>関東農政局</t>
    <rPh sb="0" eb="2">
      <t>カントウ</t>
    </rPh>
    <rPh sb="2" eb="5">
      <t>ノウセイキョク</t>
    </rPh>
    <phoneticPr fontId="22"/>
  </si>
  <si>
    <t>東海農政局</t>
    <rPh sb="0" eb="2">
      <t>トウカイ</t>
    </rPh>
    <rPh sb="2" eb="5">
      <t>ノウセイキョク</t>
    </rPh>
    <phoneticPr fontId="22"/>
  </si>
  <si>
    <t>中国四国局</t>
    <rPh sb="0" eb="2">
      <t>チュウゴク</t>
    </rPh>
    <rPh sb="2" eb="4">
      <t>シコク</t>
    </rPh>
    <rPh sb="4" eb="5">
      <t>キョク</t>
    </rPh>
    <phoneticPr fontId="22"/>
  </si>
  <si>
    <t>生産費区分</t>
    <rPh sb="0" eb="3">
      <t>セイサンヒ</t>
    </rPh>
    <rPh sb="3" eb="5">
      <t>クブン</t>
    </rPh>
    <phoneticPr fontId="21"/>
  </si>
  <si>
    <t>青森</t>
    <rPh sb="0" eb="2">
      <t>アオモリ</t>
    </rPh>
    <phoneticPr fontId="22"/>
  </si>
  <si>
    <t>乳用雄育成牛</t>
    <rPh sb="0" eb="1">
      <t>ニュウ</t>
    </rPh>
    <rPh sb="1" eb="2">
      <t>ヨウ</t>
    </rPh>
    <rPh sb="2" eb="3">
      <t>オス</t>
    </rPh>
    <rPh sb="3" eb="5">
      <t>イクセイ</t>
    </rPh>
    <rPh sb="5" eb="6">
      <t>ギュウ</t>
    </rPh>
    <phoneticPr fontId="22"/>
  </si>
  <si>
    <t>岩手</t>
    <rPh sb="0" eb="2">
      <t>イワテ</t>
    </rPh>
    <phoneticPr fontId="22"/>
  </si>
  <si>
    <t>交雑種育成牛</t>
    <rPh sb="0" eb="1">
      <t>コウ</t>
    </rPh>
    <rPh sb="1" eb="3">
      <t>ザッシュ</t>
    </rPh>
    <rPh sb="3" eb="5">
      <t>イクセイ</t>
    </rPh>
    <rPh sb="5" eb="6">
      <t>ギュウ</t>
    </rPh>
    <phoneticPr fontId="22"/>
  </si>
  <si>
    <t>宮城</t>
    <rPh sb="0" eb="2">
      <t>ミヤギ</t>
    </rPh>
    <phoneticPr fontId="22"/>
  </si>
  <si>
    <t>去勢若齢肥育牛</t>
    <rPh sb="0" eb="2">
      <t>キョセイ</t>
    </rPh>
    <rPh sb="2" eb="3">
      <t>ワカ</t>
    </rPh>
    <rPh sb="3" eb="4">
      <t>レイ</t>
    </rPh>
    <rPh sb="4" eb="6">
      <t>ヒイク</t>
    </rPh>
    <rPh sb="6" eb="7">
      <t>ギュウ</t>
    </rPh>
    <phoneticPr fontId="22"/>
  </si>
  <si>
    <t>秋田</t>
    <rPh sb="0" eb="2">
      <t>アキタ</t>
    </rPh>
    <phoneticPr fontId="22"/>
  </si>
  <si>
    <t>乳用雄肥育牛</t>
    <rPh sb="0" eb="1">
      <t>ニュウ</t>
    </rPh>
    <rPh sb="1" eb="2">
      <t>ヨウ</t>
    </rPh>
    <rPh sb="2" eb="3">
      <t>オス</t>
    </rPh>
    <rPh sb="3" eb="5">
      <t>ヒイク</t>
    </rPh>
    <rPh sb="5" eb="6">
      <t>ギュウ</t>
    </rPh>
    <phoneticPr fontId="21"/>
  </si>
  <si>
    <t>山形</t>
    <rPh sb="0" eb="2">
      <t>ヤマガタ</t>
    </rPh>
    <phoneticPr fontId="22"/>
  </si>
  <si>
    <t>交雑種肥育牛</t>
    <rPh sb="0" eb="1">
      <t>コウ</t>
    </rPh>
    <rPh sb="1" eb="3">
      <t>ザッシュ</t>
    </rPh>
    <rPh sb="3" eb="5">
      <t>ヒイク</t>
    </rPh>
    <rPh sb="5" eb="6">
      <t>ギュウ</t>
    </rPh>
    <phoneticPr fontId="21"/>
  </si>
  <si>
    <t>福島</t>
    <rPh sb="0" eb="2">
      <t>フクシマ</t>
    </rPh>
    <phoneticPr fontId="22"/>
  </si>
  <si>
    <t>茨城</t>
    <rPh sb="0" eb="2">
      <t>イバラキ</t>
    </rPh>
    <phoneticPr fontId="22"/>
  </si>
  <si>
    <t>栃木</t>
    <rPh sb="0" eb="2">
      <t>トチギ</t>
    </rPh>
    <phoneticPr fontId="22"/>
  </si>
  <si>
    <t>群馬</t>
    <rPh sb="0" eb="2">
      <t>グンマ</t>
    </rPh>
    <phoneticPr fontId="22"/>
  </si>
  <si>
    <t>埼玉</t>
    <rPh sb="0" eb="2">
      <t>サイタマ</t>
    </rPh>
    <phoneticPr fontId="22"/>
  </si>
  <si>
    <t>千葉</t>
    <rPh sb="0" eb="2">
      <t>チバ</t>
    </rPh>
    <phoneticPr fontId="22"/>
  </si>
  <si>
    <t>東京</t>
    <rPh sb="0" eb="2">
      <t>トウキョウ</t>
    </rPh>
    <phoneticPr fontId="22"/>
  </si>
  <si>
    <t>神奈川</t>
    <rPh sb="0" eb="3">
      <t>カナガワ</t>
    </rPh>
    <phoneticPr fontId="22"/>
  </si>
  <si>
    <t>新潟</t>
    <rPh sb="0" eb="2">
      <t>ニイガタ</t>
    </rPh>
    <phoneticPr fontId="22"/>
  </si>
  <si>
    <t>富山</t>
    <rPh sb="0" eb="2">
      <t>トヤマ</t>
    </rPh>
    <phoneticPr fontId="22"/>
  </si>
  <si>
    <t>石川</t>
    <rPh sb="0" eb="2">
      <t>イシカワ</t>
    </rPh>
    <phoneticPr fontId="22"/>
  </si>
  <si>
    <t>福井</t>
    <rPh sb="0" eb="2">
      <t>フクイ</t>
    </rPh>
    <phoneticPr fontId="22"/>
  </si>
  <si>
    <t>山梨</t>
    <rPh sb="0" eb="2">
      <t>ヤマナシ</t>
    </rPh>
    <phoneticPr fontId="22"/>
  </si>
  <si>
    <t>長野</t>
    <rPh sb="0" eb="2">
      <t>ナガノ</t>
    </rPh>
    <phoneticPr fontId="22"/>
  </si>
  <si>
    <t>岐阜</t>
    <rPh sb="0" eb="2">
      <t>ギフ</t>
    </rPh>
    <phoneticPr fontId="22"/>
  </si>
  <si>
    <t>静岡</t>
    <rPh sb="0" eb="2">
      <t>シズオカ</t>
    </rPh>
    <phoneticPr fontId="22"/>
  </si>
  <si>
    <t>愛知</t>
    <rPh sb="0" eb="2">
      <t>アイチ</t>
    </rPh>
    <phoneticPr fontId="22"/>
  </si>
  <si>
    <t>三重</t>
    <rPh sb="0" eb="2">
      <t>ミエ</t>
    </rPh>
    <phoneticPr fontId="22"/>
  </si>
  <si>
    <t>滋賀</t>
    <rPh sb="0" eb="2">
      <t>シガ</t>
    </rPh>
    <phoneticPr fontId="22"/>
  </si>
  <si>
    <t>京都</t>
    <rPh sb="0" eb="2">
      <t>キョウト</t>
    </rPh>
    <phoneticPr fontId="22"/>
  </si>
  <si>
    <t>大阪</t>
    <rPh sb="0" eb="2">
      <t>オオサカ</t>
    </rPh>
    <phoneticPr fontId="22"/>
  </si>
  <si>
    <t>兵庫</t>
    <rPh sb="0" eb="2">
      <t>ヒョウゴ</t>
    </rPh>
    <phoneticPr fontId="22"/>
  </si>
  <si>
    <t>奈良</t>
    <rPh sb="0" eb="2">
      <t>ナラ</t>
    </rPh>
    <phoneticPr fontId="22"/>
  </si>
  <si>
    <t>和歌山</t>
    <rPh sb="0" eb="3">
      <t>ワカヤマ</t>
    </rPh>
    <phoneticPr fontId="22"/>
  </si>
  <si>
    <t>鳥取</t>
    <rPh sb="0" eb="2">
      <t>トットリ</t>
    </rPh>
    <phoneticPr fontId="22"/>
  </si>
  <si>
    <t>島根</t>
    <rPh sb="0" eb="2">
      <t>シマネ</t>
    </rPh>
    <phoneticPr fontId="22"/>
  </si>
  <si>
    <t>岡山</t>
    <rPh sb="0" eb="2">
      <t>オカヤマ</t>
    </rPh>
    <phoneticPr fontId="22"/>
  </si>
  <si>
    <t>広島</t>
    <rPh sb="0" eb="2">
      <t>ヒロシマ</t>
    </rPh>
    <phoneticPr fontId="22"/>
  </si>
  <si>
    <t>山口</t>
    <rPh sb="0" eb="2">
      <t>ヤマグチ</t>
    </rPh>
    <phoneticPr fontId="22"/>
  </si>
  <si>
    <t>徳島</t>
    <rPh sb="0" eb="2">
      <t>トクシマ</t>
    </rPh>
    <phoneticPr fontId="22"/>
  </si>
  <si>
    <t>香川</t>
    <rPh sb="0" eb="2">
      <t>カガワ</t>
    </rPh>
    <phoneticPr fontId="22"/>
  </si>
  <si>
    <t>愛媛</t>
    <rPh sb="0" eb="2">
      <t>エヒメ</t>
    </rPh>
    <phoneticPr fontId="22"/>
  </si>
  <si>
    <t>高知</t>
    <rPh sb="0" eb="2">
      <t>コウチ</t>
    </rPh>
    <phoneticPr fontId="22"/>
  </si>
  <si>
    <t>福岡</t>
    <rPh sb="0" eb="2">
      <t>フクオカ</t>
    </rPh>
    <phoneticPr fontId="22"/>
  </si>
  <si>
    <t>佐賀</t>
    <rPh sb="0" eb="2">
      <t>サガ</t>
    </rPh>
    <phoneticPr fontId="22"/>
  </si>
  <si>
    <t>長崎</t>
    <rPh sb="0" eb="2">
      <t>ナガサキ</t>
    </rPh>
    <phoneticPr fontId="22"/>
  </si>
  <si>
    <t>熊本</t>
    <rPh sb="0" eb="2">
      <t>クマモト</t>
    </rPh>
    <phoneticPr fontId="22"/>
  </si>
  <si>
    <t>大分</t>
    <rPh sb="0" eb="2">
      <t>オオイタ</t>
    </rPh>
    <phoneticPr fontId="22"/>
  </si>
  <si>
    <t>宮崎</t>
    <rPh sb="0" eb="2">
      <t>ミヤザキ</t>
    </rPh>
    <phoneticPr fontId="22"/>
  </si>
  <si>
    <t>鹿児島</t>
    <rPh sb="0" eb="3">
      <t>カゴシマ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</si>
</sst>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\ ###\ ##0"/>
    <numFmt numFmtId="177" formatCode="00"/>
    <numFmt numFmtId="178" formatCode="#0&quot;年&quot;"/>
    <numFmt numFmtId="179" formatCode="#,##0;\-#,##0;0"/>
    <numFmt numFmtId="180" formatCode="#,##0.0;\-#,##0.0;0.0"/>
  </numFmts>
  <fonts count="2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Ｐゴシック"/>
      <family val="3"/>
      <charset val="128"/>
    </font>
    <font>
      <b/>
      <sz val="18"/>
      <name val="ＭＳ ゴシック"/>
      <family val="3"/>
      <charset val="128"/>
    </font>
    <font>
      <sz val="7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name val="ＭＳ 明朝"/>
      <family val="1"/>
      <charset val="128"/>
    </font>
    <font>
      <sz val="7"/>
      <name val="ＭＳ Ｐゴシック"/>
      <family val="3"/>
      <charset val="128"/>
    </font>
    <font>
      <sz val="5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7"/>
      <name val="ＭＳ ゴシック"/>
      <family val="3"/>
      <charset val="128"/>
    </font>
    <font>
      <sz val="10"/>
      <name val="ＭＳ 明朝"/>
      <family val="1"/>
      <charset val="128"/>
    </font>
    <font>
      <sz val="10.5"/>
      <name val="ＭＳ 明朝"/>
      <family val="1"/>
      <charset val="128"/>
    </font>
    <font>
      <sz val="11"/>
      <name val="明朝"/>
      <family val="1"/>
      <charset val="128"/>
    </font>
    <font>
      <sz val="6"/>
      <name val="ＭＳ 明朝"/>
      <family val="1"/>
      <charset val="128"/>
    </font>
    <font>
      <sz val="6"/>
      <name val="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 style="hair">
        <color indexed="64"/>
      </diagonal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1" fillId="0" borderId="0"/>
    <xf numFmtId="0" fontId="1" fillId="0" borderId="0">
      <alignment vertical="center"/>
    </xf>
    <xf numFmtId="0" fontId="16" fillId="0" borderId="0"/>
    <xf numFmtId="0" fontId="18" fillId="0" borderId="0"/>
    <xf numFmtId="0" fontId="20" fillId="0" borderId="0"/>
  </cellStyleXfs>
  <cellXfs count="20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9" fillId="2" borderId="50" xfId="0" applyFont="1" applyFill="1" applyBorder="1" applyAlignment="1">
      <alignment horizontal="center" vertical="center" shrinkToFit="1"/>
    </xf>
    <xf numFmtId="176" fontId="9" fillId="2" borderId="53" xfId="0" applyNumberFormat="1" applyFont="1" applyFill="1" applyBorder="1" applyAlignment="1">
      <alignment horizontal="center" vertical="center" shrinkToFit="1"/>
    </xf>
    <xf numFmtId="176" fontId="9" fillId="2" borderId="54" xfId="0" applyNumberFormat="1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distributed"/>
    </xf>
    <xf numFmtId="0" fontId="9" fillId="2" borderId="1" xfId="0" applyFont="1" applyFill="1" applyBorder="1" applyAlignment="1">
      <alignment horizontal="distributed" vertical="distributed" textRotation="255"/>
    </xf>
    <xf numFmtId="0" fontId="9" fillId="2" borderId="14" xfId="0" applyFont="1" applyFill="1" applyBorder="1" applyAlignment="1">
      <alignment horizontal="distributed" wrapText="1"/>
    </xf>
    <xf numFmtId="0" fontId="9" fillId="2" borderId="3" xfId="0" applyFont="1" applyFill="1" applyBorder="1" applyAlignment="1">
      <alignment horizontal="distributed" vertical="distributed" textRotation="255"/>
    </xf>
    <xf numFmtId="0" fontId="9" fillId="2" borderId="1" xfId="0" applyFont="1" applyFill="1" applyBorder="1" applyAlignment="1">
      <alignment horizontal="distributed" vertical="center" wrapTex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40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40" xfId="0" applyFont="1" applyFill="1" applyBorder="1" applyAlignment="1">
      <alignment wrapText="1"/>
    </xf>
    <xf numFmtId="0" fontId="9" fillId="0" borderId="49" xfId="0" applyFont="1" applyBorder="1" applyAlignment="1">
      <alignment vertical="center"/>
    </xf>
    <xf numFmtId="0" fontId="8" fillId="2" borderId="7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shrinkToFit="1"/>
    </xf>
    <xf numFmtId="0" fontId="8" fillId="2" borderId="71" xfId="0" applyFont="1" applyFill="1" applyBorder="1" applyAlignment="1">
      <alignment horizontal="distributed" vertical="center" wrapText="1"/>
    </xf>
    <xf numFmtId="0" fontId="12" fillId="2" borderId="72" xfId="0" applyFont="1" applyFill="1" applyBorder="1" applyAlignment="1">
      <alignment horizontal="distributed" vertical="center" wrapText="1"/>
    </xf>
    <xf numFmtId="0" fontId="12" fillId="2" borderId="73" xfId="0" applyFont="1" applyFill="1" applyBorder="1" applyAlignment="1">
      <alignment horizontal="center" wrapText="1"/>
    </xf>
    <xf numFmtId="0" fontId="8" fillId="2" borderId="72" xfId="0" applyFont="1" applyFill="1" applyBorder="1" applyAlignment="1">
      <alignment horizontal="distributed" vertical="center"/>
    </xf>
    <xf numFmtId="0" fontId="8" fillId="2" borderId="72" xfId="0" applyFont="1" applyFill="1" applyBorder="1" applyAlignment="1">
      <alignment horizontal="distributed" wrapText="1"/>
    </xf>
    <xf numFmtId="0" fontId="8" fillId="2" borderId="73" xfId="0" applyFont="1" applyFill="1" applyBorder="1" applyAlignment="1">
      <alignment horizontal="distributed" wrapText="1"/>
    </xf>
    <xf numFmtId="0" fontId="8" fillId="2" borderId="73" xfId="0" applyFont="1" applyFill="1" applyBorder="1" applyAlignment="1">
      <alignment horizontal="distributed" vertical="center" wrapText="1"/>
    </xf>
    <xf numFmtId="0" fontId="12" fillId="2" borderId="74" xfId="0" applyFont="1" applyFill="1" applyBorder="1" applyAlignment="1">
      <alignment wrapText="1"/>
    </xf>
    <xf numFmtId="0" fontId="8" fillId="2" borderId="72" xfId="0" applyFont="1" applyFill="1" applyBorder="1" applyAlignment="1">
      <alignment horizontal="distributed"/>
    </xf>
    <xf numFmtId="0" fontId="8" fillId="0" borderId="74" xfId="0" applyFont="1" applyBorder="1" applyAlignment="1">
      <alignment horizontal="distributed" vertical="center"/>
    </xf>
    <xf numFmtId="0" fontId="8" fillId="0" borderId="77" xfId="0" applyFont="1" applyBorder="1" applyAlignment="1">
      <alignment horizontal="distributed" vertical="center"/>
    </xf>
    <xf numFmtId="0" fontId="8" fillId="0" borderId="79" xfId="0" applyFont="1" applyBorder="1" applyAlignment="1">
      <alignment horizontal="distributed" vertical="center"/>
    </xf>
    <xf numFmtId="0" fontId="8" fillId="0" borderId="72" xfId="0" applyFont="1" applyBorder="1" applyAlignment="1">
      <alignment horizontal="distributed" vertical="center"/>
    </xf>
    <xf numFmtId="0" fontId="8" fillId="0" borderId="73" xfId="0" applyFont="1" applyBorder="1" applyAlignment="1">
      <alignment horizontal="distributed" vertical="center"/>
    </xf>
    <xf numFmtId="0" fontId="8" fillId="2" borderId="79" xfId="0" applyFont="1" applyFill="1" applyBorder="1" applyAlignment="1">
      <alignment horizontal="distributed" wrapText="1"/>
    </xf>
    <xf numFmtId="0" fontId="12" fillId="2" borderId="71" xfId="0" applyFont="1" applyFill="1" applyBorder="1" applyAlignment="1">
      <alignment horizontal="distributed" vertical="center" wrapText="1"/>
    </xf>
    <xf numFmtId="0" fontId="8" fillId="0" borderId="71" xfId="0" applyFont="1" applyBorder="1" applyAlignment="1">
      <alignment horizontal="distributed" vertical="center"/>
    </xf>
    <xf numFmtId="0" fontId="8" fillId="0" borderId="81" xfId="0" applyFont="1" applyBorder="1" applyAlignment="1">
      <alignment horizontal="distributed" vertical="center"/>
    </xf>
    <xf numFmtId="0" fontId="13" fillId="2" borderId="72" xfId="0" applyFont="1" applyFill="1" applyBorder="1" applyAlignment="1">
      <alignment horizontal="distributed" wrapText="1"/>
    </xf>
    <xf numFmtId="0" fontId="14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177" fontId="19" fillId="0" borderId="88" xfId="4" applyNumberFormat="1" applyFont="1" applyBorder="1" applyAlignment="1">
      <alignment horizontal="center" vertical="center" shrinkToFit="1"/>
    </xf>
    <xf numFmtId="177" fontId="9" fillId="0" borderId="85" xfId="3" applyNumberFormat="1" applyFont="1" applyBorder="1" applyAlignment="1">
      <alignment horizontal="center" vertical="top" wrapText="1"/>
    </xf>
    <xf numFmtId="177" fontId="19" fillId="0" borderId="91" xfId="4" applyNumberFormat="1" applyFont="1" applyBorder="1" applyAlignment="1">
      <alignment horizontal="center" vertical="center" shrinkToFit="1"/>
    </xf>
    <xf numFmtId="0" fontId="5" fillId="0" borderId="0" xfId="5" applyFont="1"/>
    <xf numFmtId="0" fontId="11" fillId="0" borderId="0" xfId="1"/>
    <xf numFmtId="0" fontId="5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0" xfId="5" applyFont="1" applyFill="1" applyAlignment="1">
      <alignment horizontal="center" vertical="center"/>
    </xf>
    <xf numFmtId="0" fontId="5" fillId="4" borderId="0" xfId="5" applyFont="1" applyFill="1"/>
    <xf numFmtId="0" fontId="5" fillId="3" borderId="0" xfId="5" applyFont="1" applyFill="1" applyAlignment="1">
      <alignment horizontal="center" vertical="center"/>
    </xf>
    <xf numFmtId="0" fontId="5" fillId="3" borderId="0" xfId="5" applyFont="1" applyFill="1"/>
    <xf numFmtId="0" fontId="8" fillId="2" borderId="8" xfId="0" applyFont="1" applyFill="1" applyBorder="1" applyAlignment="1">
      <alignment horizontal="distributed" vertical="center" wrapText="1"/>
    </xf>
    <xf numFmtId="0" fontId="10" fillId="0" borderId="92" xfId="3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right" vertical="center" shrinkToFit="1"/>
    </xf>
    <xf numFmtId="179" fontId="9" fillId="0" borderId="93" xfId="0" applyNumberFormat="1" applyFont="1" applyBorder="1" applyAlignment="1">
      <alignment horizontal="right" vertical="center" shrinkToFit="1"/>
    </xf>
    <xf numFmtId="179" fontId="9" fillId="0" borderId="7" xfId="0" applyNumberFormat="1" applyFont="1" applyBorder="1" applyAlignment="1">
      <alignment horizontal="right" vertical="center" shrinkToFit="1"/>
    </xf>
    <xf numFmtId="179" fontId="9" fillId="0" borderId="19" xfId="0" applyNumberFormat="1" applyFont="1" applyBorder="1" applyAlignment="1">
      <alignment horizontal="right" vertical="center" shrinkToFit="1"/>
    </xf>
    <xf numFmtId="179" fontId="9" fillId="0" borderId="12" xfId="0" applyNumberFormat="1" applyFont="1" applyBorder="1" applyAlignment="1">
      <alignment horizontal="right" vertical="center" shrinkToFit="1"/>
    </xf>
    <xf numFmtId="179" fontId="9" fillId="0" borderId="16" xfId="0" applyNumberFormat="1" applyFont="1" applyBorder="1" applyAlignment="1">
      <alignment horizontal="right" vertical="center" shrinkToFit="1"/>
    </xf>
    <xf numFmtId="179" fontId="9" fillId="0" borderId="23" xfId="0" applyNumberFormat="1" applyFont="1" applyBorder="1" applyAlignment="1">
      <alignment horizontal="right" vertical="center" shrinkToFit="1"/>
    </xf>
    <xf numFmtId="179" fontId="9" fillId="0" borderId="59" xfId="0" applyNumberFormat="1" applyFont="1" applyBorder="1" applyAlignment="1">
      <alignment horizontal="right" vertical="center" shrinkToFit="1"/>
    </xf>
    <xf numFmtId="179" fontId="9" fillId="0" borderId="20" xfId="0" applyNumberFormat="1" applyFont="1" applyBorder="1" applyAlignment="1">
      <alignment horizontal="right" vertical="center" shrinkToFit="1"/>
    </xf>
    <xf numFmtId="179" fontId="9" fillId="0" borderId="60" xfId="0" applyNumberFormat="1" applyFont="1" applyBorder="1" applyAlignment="1">
      <alignment horizontal="right" vertical="center" shrinkToFit="1"/>
    </xf>
    <xf numFmtId="179" fontId="9" fillId="0" borderId="15" xfId="0" applyNumberFormat="1" applyFont="1" applyBorder="1" applyAlignment="1">
      <alignment horizontal="right" vertical="center" shrinkToFit="1"/>
    </xf>
    <xf numFmtId="179" fontId="9" fillId="0" borderId="65" xfId="0" applyNumberFormat="1" applyFont="1" applyBorder="1" applyAlignment="1">
      <alignment horizontal="right" vertical="center" shrinkToFit="1"/>
    </xf>
    <xf numFmtId="179" fontId="9" fillId="0" borderId="21" xfId="0" applyNumberFormat="1" applyFont="1" applyBorder="1" applyAlignment="1">
      <alignment horizontal="right" vertical="center" shrinkToFit="1"/>
    </xf>
    <xf numFmtId="179" fontId="9" fillId="0" borderId="61" xfId="0" applyNumberFormat="1" applyFont="1" applyBorder="1" applyAlignment="1">
      <alignment horizontal="right" vertical="center" shrinkToFit="1"/>
    </xf>
    <xf numFmtId="179" fontId="9" fillId="0" borderId="62" xfId="0" applyNumberFormat="1" applyFont="1" applyBorder="1" applyAlignment="1">
      <alignment horizontal="right" vertical="center" shrinkToFit="1"/>
    </xf>
    <xf numFmtId="179" fontId="9" fillId="0" borderId="10" xfId="0" applyNumberFormat="1" applyFont="1" applyBorder="1" applyAlignment="1">
      <alignment horizontal="right" vertical="center" shrinkToFit="1"/>
    </xf>
    <xf numFmtId="179" fontId="9" fillId="0" borderId="22" xfId="0" applyNumberFormat="1" applyFont="1" applyBorder="1" applyAlignment="1">
      <alignment horizontal="right" vertical="center" shrinkToFit="1"/>
    </xf>
    <xf numFmtId="179" fontId="9" fillId="0" borderId="66" xfId="0" applyNumberFormat="1" applyFont="1" applyBorder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179" fontId="9" fillId="0" borderId="63" xfId="0" applyNumberFormat="1" applyFont="1" applyBorder="1" applyAlignment="1">
      <alignment horizontal="right" vertical="center" shrinkToFit="1"/>
    </xf>
    <xf numFmtId="179" fontId="9" fillId="0" borderId="17" xfId="0" applyNumberFormat="1" applyFont="1" applyBorder="1" applyAlignment="1">
      <alignment horizontal="right" vertical="center" shrinkToFit="1"/>
    </xf>
    <xf numFmtId="179" fontId="9" fillId="0" borderId="8" xfId="0" applyNumberFormat="1" applyFont="1" applyBorder="1" applyAlignment="1">
      <alignment horizontal="center" vertical="center" shrinkToFit="1"/>
    </xf>
    <xf numFmtId="179" fontId="9" fillId="0" borderId="8" xfId="0" applyNumberFormat="1" applyFont="1" applyBorder="1" applyAlignment="1">
      <alignment horizontal="right" vertical="center" shrinkToFit="1"/>
    </xf>
    <xf numFmtId="179" fontId="9" fillId="0" borderId="94" xfId="0" applyNumberFormat="1" applyFont="1" applyBorder="1" applyAlignment="1">
      <alignment horizontal="right" vertical="center" shrinkToFit="1"/>
    </xf>
    <xf numFmtId="179" fontId="9" fillId="0" borderId="64" xfId="0" applyNumberFormat="1" applyFont="1" applyBorder="1" applyAlignment="1">
      <alignment horizontal="right" vertical="center" shrinkToFit="1"/>
    </xf>
    <xf numFmtId="180" fontId="9" fillId="0" borderId="9" xfId="0" applyNumberFormat="1" applyFont="1" applyBorder="1" applyAlignment="1">
      <alignment horizontal="right" vertical="center" shrinkToFit="1"/>
    </xf>
    <xf numFmtId="180" fontId="9" fillId="0" borderId="12" xfId="0" applyNumberFormat="1" applyFont="1" applyBorder="1" applyAlignment="1">
      <alignment horizontal="right" vertical="center" shrinkToFit="1"/>
    </xf>
    <xf numFmtId="180" fontId="9" fillId="0" borderId="20" xfId="0" applyNumberFormat="1" applyFont="1" applyBorder="1" applyAlignment="1">
      <alignment horizontal="right" vertical="center" shrinkToFit="1"/>
    </xf>
    <xf numFmtId="180" fontId="9" fillId="0" borderId="11" xfId="0" applyNumberFormat="1" applyFont="1" applyBorder="1" applyAlignment="1">
      <alignment horizontal="right" vertical="center" shrinkToFit="1"/>
    </xf>
    <xf numFmtId="180" fontId="9" fillId="0" borderId="10" xfId="0" applyNumberFormat="1" applyFont="1" applyBorder="1" applyAlignment="1">
      <alignment horizontal="right" vertical="center" shrinkToFit="1"/>
    </xf>
    <xf numFmtId="180" fontId="9" fillId="0" borderId="8" xfId="0" applyNumberFormat="1" applyFont="1" applyBorder="1" applyAlignment="1">
      <alignment horizontal="right" vertical="center" shrinkToFit="1"/>
    </xf>
    <xf numFmtId="180" fontId="9" fillId="0" borderId="13" xfId="0" applyNumberFormat="1" applyFont="1" applyBorder="1" applyAlignment="1">
      <alignment horizontal="right" vertical="center" shrinkToFit="1"/>
    </xf>
    <xf numFmtId="0" fontId="9" fillId="0" borderId="86" xfId="3" applyFont="1" applyBorder="1" applyAlignment="1">
      <alignment horizontal="center" vertical="top" wrapText="1"/>
    </xf>
    <xf numFmtId="0" fontId="9" fillId="0" borderId="87" xfId="3" applyFont="1" applyBorder="1" applyAlignment="1">
      <alignment horizontal="center" vertical="top" wrapText="1"/>
    </xf>
    <xf numFmtId="0" fontId="9" fillId="0" borderId="89" xfId="3" applyFont="1" applyBorder="1" applyAlignment="1">
      <alignment horizontal="center" vertical="top" wrapText="1"/>
    </xf>
    <xf numFmtId="0" fontId="9" fillId="0" borderId="90" xfId="3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179" fontId="9" fillId="0" borderId="7" xfId="0" applyNumberFormat="1" applyFont="1" applyBorder="1" applyAlignment="1">
      <alignment horizontal="left" vertical="center" shrinkToFit="1"/>
    </xf>
    <xf numFmtId="179" fontId="9" fillId="0" borderId="9" xfId="0" applyNumberFormat="1" applyFont="1" applyBorder="1" applyAlignment="1">
      <alignment horizontal="left" vertical="center" shrinkToFit="1"/>
    </xf>
    <xf numFmtId="179" fontId="9" fillId="0" borderId="26" xfId="0" applyNumberFormat="1" applyFont="1" applyBorder="1" applyAlignment="1">
      <alignment horizontal="left" vertical="center" shrinkToFit="1"/>
    </xf>
    <xf numFmtId="0" fontId="9" fillId="0" borderId="29" xfId="0" applyFont="1" applyBorder="1" applyAlignment="1">
      <alignment horizontal="distributed" vertical="center"/>
    </xf>
    <xf numFmtId="0" fontId="9" fillId="0" borderId="9" xfId="0" applyFont="1" applyBorder="1" applyAlignment="1">
      <alignment horizontal="distributed" vertical="center"/>
    </xf>
    <xf numFmtId="0" fontId="9" fillId="0" borderId="29" xfId="0" applyFont="1" applyBorder="1" applyAlignment="1">
      <alignment horizontal="distributed" vertical="center" shrinkToFit="1"/>
    </xf>
    <xf numFmtId="0" fontId="9" fillId="0" borderId="9" xfId="0" applyFont="1" applyBorder="1" applyAlignment="1">
      <alignment horizontal="distributed" vertical="center" shrinkToFit="1"/>
    </xf>
    <xf numFmtId="0" fontId="9" fillId="0" borderId="80" xfId="0" applyFont="1" applyBorder="1" applyAlignment="1">
      <alignment horizontal="distributed" vertical="center" shrinkToFit="1"/>
    </xf>
    <xf numFmtId="0" fontId="9" fillId="2" borderId="1" xfId="0" applyFont="1" applyFill="1" applyBorder="1" applyAlignment="1">
      <alignment horizontal="distributed" vertical="center" wrapText="1"/>
    </xf>
    <xf numFmtId="0" fontId="9" fillId="2" borderId="0" xfId="0" applyFont="1" applyFill="1" applyAlignment="1">
      <alignment horizontal="distributed" vertical="center" wrapText="1"/>
    </xf>
    <xf numFmtId="0" fontId="10" fillId="2" borderId="29" xfId="0" applyFont="1" applyFill="1" applyBorder="1" applyAlignment="1">
      <alignment horizontal="distributed" vertical="center" wrapText="1"/>
    </xf>
    <xf numFmtId="0" fontId="10" fillId="2" borderId="9" xfId="0" applyFont="1" applyFill="1" applyBorder="1" applyAlignment="1">
      <alignment horizontal="distributed" vertical="center" wrapText="1"/>
    </xf>
    <xf numFmtId="0" fontId="10" fillId="2" borderId="30" xfId="0" applyFont="1" applyFill="1" applyBorder="1" applyAlignment="1">
      <alignment horizontal="distributed" vertical="center" wrapText="1"/>
    </xf>
    <xf numFmtId="179" fontId="3" fillId="0" borderId="7" xfId="0" applyNumberFormat="1" applyFont="1" applyBorder="1" applyAlignment="1">
      <alignment horizontal="left"/>
    </xf>
    <xf numFmtId="179" fontId="3" fillId="0" borderId="9" xfId="0" applyNumberFormat="1" applyFont="1" applyBorder="1" applyAlignment="1">
      <alignment horizontal="left"/>
    </xf>
    <xf numFmtId="179" fontId="3" fillId="0" borderId="26" xfId="0" applyNumberFormat="1" applyFont="1" applyBorder="1" applyAlignment="1">
      <alignment horizontal="left"/>
    </xf>
    <xf numFmtId="0" fontId="9" fillId="2" borderId="34" xfId="0" applyFont="1" applyFill="1" applyBorder="1" applyAlignment="1">
      <alignment horizontal="distributed" wrapText="1"/>
    </xf>
    <xf numFmtId="0" fontId="9" fillId="2" borderId="9" xfId="0" applyFont="1" applyFill="1" applyBorder="1" applyAlignment="1">
      <alignment horizontal="distributed" wrapText="1"/>
    </xf>
    <xf numFmtId="179" fontId="9" fillId="0" borderId="66" xfId="0" applyNumberFormat="1" applyFont="1" applyBorder="1" applyAlignment="1">
      <alignment horizontal="left" vertical="center" shrinkToFit="1"/>
    </xf>
    <xf numFmtId="179" fontId="9" fillId="0" borderId="20" xfId="0" applyNumberFormat="1" applyFont="1" applyBorder="1" applyAlignment="1">
      <alignment horizontal="left" vertical="center" shrinkToFit="1"/>
    </xf>
    <xf numFmtId="179" fontId="9" fillId="0" borderId="82" xfId="0" applyNumberFormat="1" applyFont="1" applyBorder="1" applyAlignment="1">
      <alignment horizontal="left" vertical="center" shrinkToFit="1"/>
    </xf>
    <xf numFmtId="0" fontId="9" fillId="2" borderId="38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9" fillId="0" borderId="47" xfId="0" applyFont="1" applyBorder="1" applyAlignment="1">
      <alignment horizontal="distributed" vertical="center"/>
    </xf>
    <xf numFmtId="0" fontId="9" fillId="0" borderId="10" xfId="0" applyFont="1" applyBorder="1" applyAlignment="1">
      <alignment horizontal="distributed" vertical="center"/>
    </xf>
    <xf numFmtId="0" fontId="9" fillId="2" borderId="41" xfId="0" applyFont="1" applyFill="1" applyBorder="1" applyAlignment="1">
      <alignment horizontal="distributed" wrapText="1"/>
    </xf>
    <xf numFmtId="0" fontId="9" fillId="2" borderId="12" xfId="0" applyFont="1" applyFill="1" applyBorder="1" applyAlignment="1">
      <alignment horizontal="distributed" wrapText="1"/>
    </xf>
    <xf numFmtId="0" fontId="9" fillId="2" borderId="31" xfId="0" applyFont="1" applyFill="1" applyBorder="1" applyAlignment="1">
      <alignment horizontal="distributed" wrapText="1"/>
    </xf>
    <xf numFmtId="0" fontId="9" fillId="2" borderId="20" xfId="0" applyFont="1" applyFill="1" applyBorder="1" applyAlignment="1">
      <alignment horizontal="distributed" wrapText="1"/>
    </xf>
    <xf numFmtId="0" fontId="9" fillId="0" borderId="42" xfId="0" applyFont="1" applyBorder="1" applyAlignment="1">
      <alignment horizontal="distributed" vertical="center"/>
    </xf>
    <xf numFmtId="0" fontId="9" fillId="0" borderId="13" xfId="0" applyFont="1" applyBorder="1" applyAlignment="1">
      <alignment horizontal="distributed" vertical="center"/>
    </xf>
    <xf numFmtId="179" fontId="9" fillId="0" borderId="18" xfId="0" applyNumberFormat="1" applyFont="1" applyBorder="1" applyAlignment="1">
      <alignment horizontal="left" vertical="center" shrinkToFit="1"/>
    </xf>
    <xf numFmtId="179" fontId="9" fillId="0" borderId="13" xfId="0" applyNumberFormat="1" applyFont="1" applyBorder="1" applyAlignment="1">
      <alignment horizontal="left" vertical="center" shrinkToFit="1"/>
    </xf>
    <xf numFmtId="179" fontId="9" fillId="0" borderId="27" xfId="0" applyNumberFormat="1" applyFont="1" applyBorder="1" applyAlignment="1">
      <alignment horizontal="left" vertical="center" shrinkToFit="1"/>
    </xf>
    <xf numFmtId="0" fontId="10" fillId="2" borderId="43" xfId="0" applyFont="1" applyFill="1" applyBorder="1" applyAlignment="1">
      <alignment horizontal="distributed" vertical="center" wrapText="1"/>
    </xf>
    <xf numFmtId="0" fontId="10" fillId="2" borderId="28" xfId="0" applyFont="1" applyFill="1" applyBorder="1" applyAlignment="1">
      <alignment horizontal="distributed" vertical="center" wrapText="1"/>
    </xf>
    <xf numFmtId="0" fontId="9" fillId="2" borderId="44" xfId="0" applyFont="1" applyFill="1" applyBorder="1" applyAlignment="1">
      <alignment horizontal="distributed" vertical="center" wrapText="1"/>
    </xf>
    <xf numFmtId="0" fontId="9" fillId="2" borderId="8" xfId="0" applyFont="1" applyFill="1" applyBorder="1" applyAlignment="1">
      <alignment horizontal="distributed" vertical="center" wrapText="1"/>
    </xf>
    <xf numFmtId="0" fontId="9" fillId="0" borderId="34" xfId="0" applyFont="1" applyBorder="1" applyAlignment="1">
      <alignment horizontal="distributed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distributed" vertical="center"/>
    </xf>
    <xf numFmtId="0" fontId="9" fillId="0" borderId="12" xfId="0" applyFont="1" applyBorder="1" applyAlignment="1">
      <alignment horizontal="distributed" vertical="center"/>
    </xf>
    <xf numFmtId="0" fontId="9" fillId="0" borderId="2" xfId="0" applyFont="1" applyBorder="1" applyAlignment="1">
      <alignment horizontal="distributed" vertical="center"/>
    </xf>
    <xf numFmtId="0" fontId="9" fillId="0" borderId="80" xfId="0" applyFont="1" applyBorder="1" applyAlignment="1">
      <alignment horizontal="distributed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distributed" vertical="center"/>
    </xf>
    <xf numFmtId="0" fontId="9" fillId="0" borderId="11" xfId="0" applyFont="1" applyBorder="1" applyAlignment="1">
      <alignment horizontal="distributed" vertical="center"/>
    </xf>
    <xf numFmtId="0" fontId="9" fillId="0" borderId="75" xfId="0" applyFont="1" applyBorder="1" applyAlignment="1">
      <alignment horizontal="distributed" vertical="center"/>
    </xf>
    <xf numFmtId="0" fontId="9" fillId="0" borderId="35" xfId="0" applyFont="1" applyBorder="1" applyAlignment="1">
      <alignment horizontal="distributed" vertical="center"/>
    </xf>
    <xf numFmtId="0" fontId="9" fillId="0" borderId="76" xfId="0" applyFont="1" applyBorder="1" applyAlignment="1">
      <alignment horizontal="distributed" vertical="center"/>
    </xf>
    <xf numFmtId="0" fontId="9" fillId="2" borderId="32" xfId="0" applyFont="1" applyFill="1" applyBorder="1" applyAlignment="1">
      <alignment horizontal="distributed" vertical="distributed" wrapText="1"/>
    </xf>
    <xf numFmtId="0" fontId="10" fillId="2" borderId="33" xfId="0" applyFont="1" applyFill="1" applyBorder="1" applyAlignment="1">
      <alignment horizontal="distributed" wrapText="1"/>
    </xf>
    <xf numFmtId="0" fontId="10" fillId="2" borderId="11" xfId="0" applyFont="1" applyFill="1" applyBorder="1" applyAlignment="1">
      <alignment horizontal="distributed" wrapText="1"/>
    </xf>
    <xf numFmtId="0" fontId="10" fillId="2" borderId="11" xfId="0" applyFont="1" applyFill="1" applyBorder="1" applyAlignment="1">
      <alignment wrapText="1"/>
    </xf>
    <xf numFmtId="0" fontId="9" fillId="2" borderId="29" xfId="0" applyFont="1" applyFill="1" applyBorder="1" applyAlignment="1">
      <alignment horizontal="distributed"/>
    </xf>
    <xf numFmtId="0" fontId="9" fillId="2" borderId="9" xfId="0" applyFont="1" applyFill="1" applyBorder="1" applyAlignment="1">
      <alignment horizontal="distributed"/>
    </xf>
    <xf numFmtId="0" fontId="9" fillId="2" borderId="35" xfId="0" applyFont="1" applyFill="1" applyBorder="1" applyAlignment="1">
      <alignment horizontal="distributed" wrapText="1"/>
    </xf>
    <xf numFmtId="0" fontId="9" fillId="2" borderId="10" xfId="0" applyFont="1" applyFill="1" applyBorder="1" applyAlignment="1">
      <alignment horizontal="distributed" wrapText="1"/>
    </xf>
    <xf numFmtId="0" fontId="9" fillId="2" borderId="35" xfId="0" applyFont="1" applyFill="1" applyBorder="1" applyAlignment="1">
      <alignment horizontal="distributed" vertical="center" wrapText="1"/>
    </xf>
    <xf numFmtId="0" fontId="9" fillId="2" borderId="10" xfId="0" applyFont="1" applyFill="1" applyBorder="1" applyAlignment="1">
      <alignment horizontal="distributed" vertical="center" wrapText="1"/>
    </xf>
    <xf numFmtId="0" fontId="9" fillId="2" borderId="31" xfId="0" applyFont="1" applyFill="1" applyBorder="1" applyAlignment="1">
      <alignment horizontal="distributed" vertical="center" wrapText="1"/>
    </xf>
    <xf numFmtId="0" fontId="10" fillId="2" borderId="20" xfId="0" applyFont="1" applyFill="1" applyBorder="1" applyAlignment="1">
      <alignment horizontal="distributed" wrapText="1"/>
    </xf>
    <xf numFmtId="0" fontId="10" fillId="2" borderId="20" xfId="0" applyFont="1" applyFill="1" applyBorder="1" applyAlignment="1">
      <alignment wrapText="1"/>
    </xf>
    <xf numFmtId="0" fontId="9" fillId="2" borderId="29" xfId="0" applyFont="1" applyFill="1" applyBorder="1" applyAlignment="1">
      <alignment horizontal="distributed" vertical="center"/>
    </xf>
    <xf numFmtId="0" fontId="9" fillId="2" borderId="9" xfId="0" applyFont="1" applyFill="1" applyBorder="1" applyAlignment="1">
      <alignment horizontal="distributed" vertical="center"/>
    </xf>
    <xf numFmtId="178" fontId="9" fillId="2" borderId="83" xfId="3" applyNumberFormat="1" applyFont="1" applyFill="1" applyBorder="1" applyAlignment="1">
      <alignment horizontal="center" vertical="center" shrinkToFit="1"/>
    </xf>
    <xf numFmtId="178" fontId="9" fillId="2" borderId="84" xfId="3" applyNumberFormat="1" applyFont="1" applyFill="1" applyBorder="1" applyAlignment="1">
      <alignment horizontal="center" vertical="center" shrinkToFit="1"/>
    </xf>
    <xf numFmtId="178" fontId="9" fillId="2" borderId="68" xfId="3" applyNumberFormat="1" applyFont="1" applyFill="1" applyBorder="1" applyAlignment="1">
      <alignment horizontal="center" vertical="center" shrinkToFit="1"/>
    </xf>
    <xf numFmtId="178" fontId="9" fillId="2" borderId="70" xfId="3" applyNumberFormat="1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54" xfId="0" applyFont="1" applyFill="1" applyBorder="1" applyAlignment="1">
      <alignment horizontal="center" vertical="center" shrinkToFi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67" xfId="0" applyFont="1" applyFill="1" applyBorder="1" applyAlignment="1">
      <alignment horizontal="center" vertical="center" wrapText="1"/>
    </xf>
    <xf numFmtId="0" fontId="9" fillId="2" borderId="69" xfId="0" applyFont="1" applyFill="1" applyBorder="1" applyAlignment="1">
      <alignment horizontal="center" vertical="center" wrapText="1"/>
    </xf>
    <xf numFmtId="180" fontId="9" fillId="0" borderId="57" xfId="0" applyNumberFormat="1" applyFont="1" applyBorder="1" applyAlignment="1">
      <alignment horizontal="right" vertical="center" shrinkToFit="1"/>
    </xf>
    <xf numFmtId="180" fontId="9" fillId="0" borderId="58" xfId="0" applyNumberFormat="1" applyFont="1" applyBorder="1" applyAlignment="1">
      <alignment horizontal="right" vertical="center" shrinkToFit="1"/>
    </xf>
    <xf numFmtId="39" fontId="9" fillId="0" borderId="11" xfId="0" applyNumberFormat="1" applyFont="1" applyBorder="1" applyAlignment="1">
      <alignment horizontal="right" vertical="center" shrinkToFit="1"/>
    </xf>
    <xf numFmtId="39" fontId="9" fillId="0" borderId="9" xfId="0" applyNumberFormat="1" applyFont="1" applyBorder="1" applyAlignment="1">
      <alignment horizontal="right" vertical="center" shrinkToFit="1"/>
    </xf>
    <xf numFmtId="39" fontId="9" fillId="0" borderId="48" xfId="0" applyNumberFormat="1" applyFont="1" applyBorder="1" applyAlignment="1">
      <alignment horizontal="right" vertical="center" shrinkToFit="1"/>
    </xf>
    <xf numFmtId="39" fontId="9" fillId="0" borderId="7" xfId="0" applyNumberFormat="1" applyFont="1" applyBorder="1" applyAlignment="1">
      <alignment horizontal="right" vertical="center" shrinkToFit="1"/>
    </xf>
    <xf numFmtId="39" fontId="9" fillId="0" borderId="24" xfId="0" applyNumberFormat="1" applyFont="1" applyBorder="1" applyAlignment="1">
      <alignment horizontal="right" vertical="center" shrinkToFit="1"/>
    </xf>
    <xf numFmtId="39" fontId="9" fillId="0" borderId="19" xfId="0" applyNumberFormat="1" applyFont="1" applyBorder="1" applyAlignment="1">
      <alignment horizontal="right" vertical="center" shrinkToFit="1"/>
    </xf>
    <xf numFmtId="180" fontId="9" fillId="0" borderId="48" xfId="0" applyNumberFormat="1" applyFont="1" applyBorder="1" applyAlignment="1">
      <alignment horizontal="right" vertical="center" shrinkToFit="1"/>
    </xf>
    <xf numFmtId="180" fontId="9" fillId="0" borderId="24" xfId="0" applyNumberFormat="1" applyFont="1" applyBorder="1" applyAlignment="1">
      <alignment horizontal="right" vertical="center" shrinkToFit="1"/>
    </xf>
    <xf numFmtId="180" fontId="9" fillId="0" borderId="16" xfId="0" applyNumberFormat="1" applyFont="1" applyBorder="1" applyAlignment="1">
      <alignment horizontal="right" vertical="center" shrinkToFit="1"/>
    </xf>
    <xf numFmtId="180" fontId="9" fillId="0" borderId="7" xfId="0" applyNumberFormat="1" applyFont="1" applyBorder="1" applyAlignment="1">
      <alignment horizontal="right" vertical="center" shrinkToFit="1"/>
    </xf>
    <xf numFmtId="180" fontId="9" fillId="0" borderId="23" xfId="0" applyNumberFormat="1" applyFont="1" applyBorder="1" applyAlignment="1">
      <alignment horizontal="right" vertical="center" shrinkToFit="1"/>
    </xf>
    <xf numFmtId="180" fontId="9" fillId="0" borderId="19" xfId="0" applyNumberFormat="1" applyFont="1" applyBorder="1" applyAlignment="1">
      <alignment horizontal="right" vertical="center" shrinkToFit="1"/>
    </xf>
    <xf numFmtId="180" fontId="9" fillId="0" borderId="15" xfId="0" applyNumberFormat="1" applyFont="1" applyBorder="1" applyAlignment="1">
      <alignment horizontal="right" vertical="center" shrinkToFit="1"/>
    </xf>
    <xf numFmtId="180" fontId="9" fillId="0" borderId="22" xfId="0" applyNumberFormat="1" applyFont="1" applyBorder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180" fontId="9" fillId="0" borderId="17" xfId="0" applyNumberFormat="1" applyFont="1" applyBorder="1" applyAlignment="1">
      <alignment horizontal="right" vertical="center" shrinkToFit="1"/>
    </xf>
    <xf numFmtId="180" fontId="9" fillId="0" borderId="18" xfId="0" applyNumberFormat="1" applyFont="1" applyBorder="1" applyAlignment="1">
      <alignment horizontal="right" vertical="center" shrinkToFit="1"/>
    </xf>
    <xf numFmtId="180" fontId="9" fillId="0" borderId="25" xfId="0" applyNumberFormat="1" applyFont="1" applyBorder="1" applyAlignment="1">
      <alignment horizontal="right" vertical="center" shrinkToFit="1"/>
    </xf>
  </cellXfs>
  <cellStyles count="6">
    <cellStyle name="標準" xfId="0" builtinId="0"/>
    <cellStyle name="標準 2" xfId="1" xr:uid="{00000000-0005-0000-0000-000001000000}"/>
    <cellStyle name="標準 2 2" xfId="3" xr:uid="{3E75B5DA-A603-4F7B-9D29-20B316733E64}"/>
    <cellStyle name="標準 3" xfId="2" xr:uid="{3C68FBC2-1287-4DED-8C4F-6BC3E3A19C6C}"/>
    <cellStyle name="標準 4" xfId="5" xr:uid="{6C24DD3B-29B4-4E8A-9D35-D0BBFE8A92FD}"/>
    <cellStyle name="標準_BDA1S0T05201" xfId="4" xr:uid="{D37A20EF-6258-40B4-9D6F-0FA7B6A6132C}"/>
  </cellStyles>
  <dxfs count="0"/>
  <tableStyles count="0" defaultTableStyle="TableStyleMedium9" defaultPivotStyle="PivotStyleLight16"/>
  <colors>
    <mruColors>
      <color rgb="FFCCFF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showGridLines="0" tabSelected="1" zoomScaleNormal="100" zoomScaleSheetLayoutView="100" workbookViewId="0">
      <selection sqref="A1:C1"/>
    </sheetView>
  </sheetViews>
  <sheetFormatPr defaultColWidth="9" defaultRowHeight="12"/>
  <cols>
    <col min="1" max="4" width="2.625" style="1" customWidth="1"/>
    <col min="5" max="5" width="2.625" style="2" customWidth="1"/>
    <col min="6" max="6" width="8.625" style="2" customWidth="1"/>
    <col min="7" max="7" width="3.625" style="2" customWidth="1"/>
    <col min="8" max="8" width="10.625" style="2" customWidth="1"/>
    <col min="9" max="9" width="6.625" style="2" customWidth="1"/>
    <col min="10" max="10" width="10.625" style="1" customWidth="1"/>
    <col min="11" max="11" width="6.625" style="1" customWidth="1"/>
    <col min="12" max="12" width="7.625" style="1" customWidth="1"/>
    <col min="13" max="13" width="8.625" style="1" customWidth="1"/>
    <col min="14" max="14" width="30.625" style="1" customWidth="1"/>
    <col min="15" max="15" width="2.75" style="1" customWidth="1"/>
    <col min="16" max="16" width="11.875" style="1" customWidth="1"/>
    <col min="17" max="17" width="2.875" style="1" customWidth="1"/>
    <col min="18" max="18" width="10.125" style="1" customWidth="1"/>
    <col min="19" max="19" width="9.625" style="1" customWidth="1"/>
    <col min="20" max="20" width="3.625" style="1" customWidth="1"/>
    <col min="21" max="21" width="12.5" style="1" bestFit="1" customWidth="1"/>
    <col min="22" max="22" width="14.75" style="1" bestFit="1" customWidth="1"/>
    <col min="23" max="16384" width="9" style="1"/>
  </cols>
  <sheetData>
    <row r="1" spans="1:22" s="3" customFormat="1" ht="12.95" customHeight="1">
      <c r="A1" s="97"/>
      <c r="B1" s="97"/>
      <c r="C1" s="97"/>
      <c r="D1" s="46" t="s">
        <v>64</v>
      </c>
      <c r="E1" s="6"/>
      <c r="F1" s="6"/>
      <c r="G1" s="47"/>
      <c r="H1" s="6"/>
      <c r="I1" s="6"/>
      <c r="J1" s="6"/>
      <c r="K1" s="4"/>
      <c r="L1" s="4"/>
      <c r="M1" s="4"/>
      <c r="N1" s="6"/>
      <c r="O1" s="93" t="s">
        <v>24</v>
      </c>
      <c r="P1" s="94"/>
      <c r="Q1" s="95" t="s">
        <v>37</v>
      </c>
      <c r="R1" s="96"/>
      <c r="S1"/>
      <c r="T1" s="5"/>
      <c r="U1" s="5"/>
    </row>
    <row r="2" spans="1:22" s="3" customFormat="1" ht="12.95" customHeight="1" thickBot="1">
      <c r="A2" s="3" t="s">
        <v>44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  <c r="O2" s="48"/>
      <c r="P2" s="49" t="str">
        <f>IF(O2&gt;0,DGET(リスト!D2:E7,"生産費区分",リスト!E9:E10),"")</f>
        <v/>
      </c>
      <c r="Q2" s="50"/>
      <c r="R2" s="60" t="str">
        <f>IF(Q2&lt;&gt;"",DGET(リスト!A2:B71,"都道府県等",リスト!B73:B74),"")</f>
        <v/>
      </c>
      <c r="S2"/>
      <c r="T2" s="5"/>
      <c r="U2" s="5"/>
    </row>
    <row r="3" spans="1:22" s="3" customFormat="1" ht="12.95" customHeight="1" thickBot="1">
      <c r="A3" s="7"/>
    </row>
    <row r="4" spans="1:22" ht="12.2" customHeight="1">
      <c r="A4" s="179" t="s">
        <v>45</v>
      </c>
      <c r="B4" s="180"/>
      <c r="C4" s="180"/>
      <c r="D4" s="180"/>
      <c r="E4" s="180"/>
      <c r="F4" s="180"/>
      <c r="G4" s="183" t="s">
        <v>46</v>
      </c>
      <c r="H4" s="173" t="str">
        <f>IF($A$1&lt;&gt;"",$A$1,"")</f>
        <v/>
      </c>
      <c r="I4" s="8" t="s">
        <v>38</v>
      </c>
      <c r="J4" s="175" t="str">
        <f>IF($A$1&lt;&gt;"",$A$1-1,"")</f>
        <v/>
      </c>
      <c r="K4" s="8" t="s">
        <v>38</v>
      </c>
      <c r="L4" s="16" t="s">
        <v>39</v>
      </c>
      <c r="M4" s="177" t="s">
        <v>47</v>
      </c>
      <c r="N4" s="119" t="s">
        <v>40</v>
      </c>
      <c r="O4" s="120"/>
      <c r="P4" s="120"/>
      <c r="Q4" s="120"/>
      <c r="R4" s="120"/>
      <c r="S4" s="121"/>
    </row>
    <row r="5" spans="1:22" ht="12.2" customHeight="1" thickBot="1">
      <c r="A5" s="181"/>
      <c r="B5" s="182"/>
      <c r="C5" s="182"/>
      <c r="D5" s="182"/>
      <c r="E5" s="182"/>
      <c r="F5" s="182"/>
      <c r="G5" s="184"/>
      <c r="H5" s="174"/>
      <c r="I5" s="9" t="s">
        <v>48</v>
      </c>
      <c r="J5" s="176"/>
      <c r="K5" s="9" t="s">
        <v>48</v>
      </c>
      <c r="L5" s="10" t="s">
        <v>48</v>
      </c>
      <c r="M5" s="178"/>
      <c r="N5" s="122"/>
      <c r="O5" s="123"/>
      <c r="P5" s="123"/>
      <c r="Q5" s="123"/>
      <c r="R5" s="123"/>
      <c r="S5" s="124"/>
      <c r="U5" s="42"/>
      <c r="V5" s="42"/>
    </row>
    <row r="6" spans="1:22" ht="12.2" customHeight="1">
      <c r="A6" s="114" t="s">
        <v>62</v>
      </c>
      <c r="B6" s="115"/>
      <c r="C6" s="115"/>
      <c r="D6" s="115"/>
      <c r="E6" s="115"/>
      <c r="F6" s="115"/>
      <c r="G6" s="41" t="s">
        <v>63</v>
      </c>
      <c r="H6" s="61"/>
      <c r="I6" s="62"/>
      <c r="J6" s="63"/>
      <c r="K6" s="62"/>
      <c r="L6" s="86" t="str">
        <f>IF(H6="-", "-", IF(J6="-", "-", IF(ABS(J6)=0, "-", ROUND(100*(H6-J6)/ABS(J6), 10))))</f>
        <v>-</v>
      </c>
      <c r="M6" s="64" t="str">
        <f>IF(H6-J6=0,"",H6-J6)</f>
        <v/>
      </c>
      <c r="N6" s="116"/>
      <c r="O6" s="117"/>
      <c r="P6" s="117"/>
      <c r="Q6" s="117"/>
      <c r="R6" s="117"/>
      <c r="S6" s="118"/>
      <c r="U6" s="43"/>
      <c r="V6" s="44"/>
    </row>
    <row r="7" spans="1:22" ht="12.2" customHeight="1">
      <c r="A7" s="106" t="s">
        <v>25</v>
      </c>
      <c r="B7" s="107"/>
      <c r="C7" s="107"/>
      <c r="D7" s="107"/>
      <c r="E7" s="107"/>
      <c r="F7" s="107"/>
      <c r="G7" s="23" t="s">
        <v>49</v>
      </c>
      <c r="H7" s="65"/>
      <c r="I7" s="185" t="str">
        <f t="shared" ref="I7:K23" si="0">IFERROR(H7/$H$24%," ")</f>
        <v xml:space="preserve"> </v>
      </c>
      <c r="J7" s="66"/>
      <c r="K7" s="185" t="str">
        <f t="shared" si="0"/>
        <v xml:space="preserve"> </v>
      </c>
      <c r="L7" s="87" t="str">
        <f t="shared" ref="L7:L48" si="1">IF(H7="-", "-", IF(J7="-", "-", IF(ABS(J7)=0, "-", ROUND(100*(H7-J7)/ABS(J7), 10))))</f>
        <v>-</v>
      </c>
      <c r="M7" s="67" t="str">
        <f t="shared" ref="M7:M48" si="2">IF(H7-J7=0,"",H7-J7)</f>
        <v/>
      </c>
      <c r="N7" s="98"/>
      <c r="O7" s="99"/>
      <c r="P7" s="99"/>
      <c r="Q7" s="99"/>
      <c r="R7" s="99"/>
      <c r="S7" s="100"/>
      <c r="U7" s="43"/>
      <c r="V7" s="44"/>
    </row>
    <row r="8" spans="1:22" ht="12.2" customHeight="1">
      <c r="A8" s="17"/>
      <c r="B8" s="108" t="s">
        <v>29</v>
      </c>
      <c r="C8" s="109"/>
      <c r="D8" s="109"/>
      <c r="E8" s="109"/>
      <c r="F8" s="109"/>
      <c r="G8" s="24" t="s">
        <v>50</v>
      </c>
      <c r="H8" s="61"/>
      <c r="I8" s="186" t="str">
        <f t="shared" si="0"/>
        <v xml:space="preserve"> </v>
      </c>
      <c r="J8" s="63"/>
      <c r="K8" s="186" t="str">
        <f t="shared" ref="K8:K23" si="3">IFERROR(J8/$J$24%," ")</f>
        <v xml:space="preserve"> </v>
      </c>
      <c r="L8" s="86" t="str">
        <f t="shared" si="1"/>
        <v>-</v>
      </c>
      <c r="M8" s="64" t="str">
        <f t="shared" si="2"/>
        <v/>
      </c>
      <c r="N8" s="111"/>
      <c r="O8" s="112"/>
      <c r="P8" s="112"/>
      <c r="Q8" s="112"/>
      <c r="R8" s="112"/>
      <c r="S8" s="113"/>
      <c r="U8" s="43"/>
      <c r="V8" s="44"/>
    </row>
    <row r="9" spans="1:22" ht="12.2" customHeight="1">
      <c r="A9" s="17"/>
      <c r="B9" s="110" t="s">
        <v>35</v>
      </c>
      <c r="C9" s="109"/>
      <c r="D9" s="109"/>
      <c r="E9" s="109"/>
      <c r="F9" s="109"/>
      <c r="G9" s="24" t="s">
        <v>51</v>
      </c>
      <c r="H9" s="61"/>
      <c r="I9" s="186" t="str">
        <f t="shared" si="0"/>
        <v xml:space="preserve"> </v>
      </c>
      <c r="J9" s="63"/>
      <c r="K9" s="186" t="str">
        <f t="shared" si="3"/>
        <v xml:space="preserve"> </v>
      </c>
      <c r="L9" s="86" t="str">
        <f t="shared" si="1"/>
        <v>-</v>
      </c>
      <c r="M9" s="64" t="str">
        <f t="shared" si="2"/>
        <v/>
      </c>
      <c r="N9" s="98"/>
      <c r="O9" s="99"/>
      <c r="P9" s="99"/>
      <c r="Q9" s="99"/>
      <c r="R9" s="99"/>
      <c r="S9" s="100"/>
      <c r="U9" s="43"/>
      <c r="V9" s="44"/>
    </row>
    <row r="10" spans="1:22" ht="12.2" customHeight="1">
      <c r="A10" s="19"/>
      <c r="B10" s="20"/>
      <c r="C10" s="101" t="s">
        <v>60</v>
      </c>
      <c r="D10" s="102"/>
      <c r="E10" s="102"/>
      <c r="F10" s="102"/>
      <c r="G10" s="21" t="s">
        <v>51</v>
      </c>
      <c r="H10" s="61"/>
      <c r="I10" s="186" t="str">
        <f t="shared" si="0"/>
        <v xml:space="preserve"> </v>
      </c>
      <c r="J10" s="63"/>
      <c r="K10" s="186" t="str">
        <f t="shared" si="3"/>
        <v xml:space="preserve"> </v>
      </c>
      <c r="L10" s="86" t="str">
        <f t="shared" si="1"/>
        <v>-</v>
      </c>
      <c r="M10" s="64" t="str">
        <f t="shared" si="2"/>
        <v/>
      </c>
      <c r="N10" s="98"/>
      <c r="O10" s="99"/>
      <c r="P10" s="99"/>
      <c r="Q10" s="99"/>
      <c r="R10" s="99"/>
      <c r="S10" s="100"/>
      <c r="U10" s="43"/>
      <c r="V10" s="44"/>
    </row>
    <row r="11" spans="1:22" ht="12.2" customHeight="1">
      <c r="A11" s="19"/>
      <c r="B11" s="22"/>
      <c r="C11" s="103" t="s">
        <v>61</v>
      </c>
      <c r="D11" s="104"/>
      <c r="E11" s="104"/>
      <c r="F11" s="105"/>
      <c r="G11" s="21" t="s">
        <v>51</v>
      </c>
      <c r="H11" s="61"/>
      <c r="I11" s="186" t="str">
        <f t="shared" si="0"/>
        <v xml:space="preserve"> </v>
      </c>
      <c r="J11" s="63"/>
      <c r="K11" s="186" t="str">
        <f t="shared" si="3"/>
        <v xml:space="preserve"> </v>
      </c>
      <c r="L11" s="86" t="str">
        <f t="shared" si="1"/>
        <v>-</v>
      </c>
      <c r="M11" s="64" t="str">
        <f t="shared" si="2"/>
        <v/>
      </c>
      <c r="N11" s="98"/>
      <c r="O11" s="99"/>
      <c r="P11" s="99"/>
      <c r="Q11" s="99"/>
      <c r="R11" s="99"/>
      <c r="S11" s="100"/>
      <c r="U11" s="43"/>
      <c r="V11" s="44"/>
    </row>
    <row r="12" spans="1:22" ht="12.2" customHeight="1">
      <c r="A12" s="17"/>
      <c r="B12" s="108" t="s">
        <v>20</v>
      </c>
      <c r="C12" s="109"/>
      <c r="D12" s="109"/>
      <c r="E12" s="109"/>
      <c r="F12" s="109"/>
      <c r="G12" s="24" t="s">
        <v>51</v>
      </c>
      <c r="H12" s="61"/>
      <c r="I12" s="186" t="str">
        <f t="shared" si="0"/>
        <v xml:space="preserve"> </v>
      </c>
      <c r="J12" s="63"/>
      <c r="K12" s="186" t="str">
        <f t="shared" si="3"/>
        <v xml:space="preserve"> </v>
      </c>
      <c r="L12" s="86" t="str">
        <f t="shared" si="1"/>
        <v>-</v>
      </c>
      <c r="M12" s="64" t="str">
        <f t="shared" si="2"/>
        <v/>
      </c>
      <c r="N12" s="98"/>
      <c r="O12" s="99"/>
      <c r="P12" s="99"/>
      <c r="Q12" s="99"/>
      <c r="R12" s="99"/>
      <c r="S12" s="100"/>
      <c r="U12" s="43"/>
      <c r="V12" s="44"/>
    </row>
    <row r="13" spans="1:22" ht="12.2" customHeight="1">
      <c r="A13" s="17"/>
      <c r="B13" s="108" t="s">
        <v>0</v>
      </c>
      <c r="C13" s="109"/>
      <c r="D13" s="109"/>
      <c r="E13" s="109"/>
      <c r="F13" s="109"/>
      <c r="G13" s="24" t="s">
        <v>51</v>
      </c>
      <c r="H13" s="61"/>
      <c r="I13" s="186" t="str">
        <f t="shared" si="0"/>
        <v xml:space="preserve"> </v>
      </c>
      <c r="J13" s="63"/>
      <c r="K13" s="186" t="str">
        <f t="shared" si="3"/>
        <v xml:space="preserve"> </v>
      </c>
      <c r="L13" s="86" t="str">
        <f t="shared" si="1"/>
        <v>-</v>
      </c>
      <c r="M13" s="64" t="str">
        <f t="shared" si="2"/>
        <v/>
      </c>
      <c r="N13" s="98"/>
      <c r="O13" s="99"/>
      <c r="P13" s="99"/>
      <c r="Q13" s="99"/>
      <c r="R13" s="99"/>
      <c r="S13" s="100"/>
      <c r="U13" s="43"/>
      <c r="V13" s="44"/>
    </row>
    <row r="14" spans="1:22" ht="12.2" customHeight="1">
      <c r="A14" s="17"/>
      <c r="B14" s="108" t="s">
        <v>1</v>
      </c>
      <c r="C14" s="109"/>
      <c r="D14" s="109"/>
      <c r="E14" s="109"/>
      <c r="F14" s="109"/>
      <c r="G14" s="24" t="s">
        <v>51</v>
      </c>
      <c r="H14" s="61"/>
      <c r="I14" s="186" t="str">
        <f t="shared" si="0"/>
        <v xml:space="preserve"> </v>
      </c>
      <c r="J14" s="63"/>
      <c r="K14" s="186" t="str">
        <f t="shared" si="3"/>
        <v xml:space="preserve"> </v>
      </c>
      <c r="L14" s="86" t="str">
        <f t="shared" si="1"/>
        <v>-</v>
      </c>
      <c r="M14" s="64" t="str">
        <f t="shared" si="2"/>
        <v/>
      </c>
      <c r="N14" s="98"/>
      <c r="O14" s="99"/>
      <c r="P14" s="99"/>
      <c r="Q14" s="99"/>
      <c r="R14" s="99"/>
      <c r="S14" s="100"/>
      <c r="U14" s="43"/>
      <c r="V14" s="44"/>
    </row>
    <row r="15" spans="1:22" ht="12.2" customHeight="1">
      <c r="A15" s="17"/>
      <c r="B15" s="108" t="s">
        <v>21</v>
      </c>
      <c r="C15" s="109"/>
      <c r="D15" s="109"/>
      <c r="E15" s="109"/>
      <c r="F15" s="109"/>
      <c r="G15" s="24" t="s">
        <v>51</v>
      </c>
      <c r="H15" s="61"/>
      <c r="I15" s="186" t="str">
        <f t="shared" si="0"/>
        <v xml:space="preserve"> </v>
      </c>
      <c r="J15" s="63"/>
      <c r="K15" s="186" t="str">
        <f t="shared" si="3"/>
        <v xml:space="preserve"> </v>
      </c>
      <c r="L15" s="86" t="str">
        <f t="shared" si="1"/>
        <v>-</v>
      </c>
      <c r="M15" s="64" t="str">
        <f t="shared" si="2"/>
        <v/>
      </c>
      <c r="N15" s="98"/>
      <c r="O15" s="99"/>
      <c r="P15" s="99"/>
      <c r="Q15" s="99"/>
      <c r="R15" s="99"/>
      <c r="S15" s="100"/>
      <c r="U15" s="43"/>
      <c r="V15" s="44"/>
    </row>
    <row r="16" spans="1:22" ht="12.2" customHeight="1">
      <c r="A16" s="17"/>
      <c r="B16" s="108" t="s">
        <v>2</v>
      </c>
      <c r="C16" s="109"/>
      <c r="D16" s="109"/>
      <c r="E16" s="109"/>
      <c r="F16" s="109"/>
      <c r="G16" s="24" t="s">
        <v>51</v>
      </c>
      <c r="H16" s="61"/>
      <c r="I16" s="186" t="str">
        <f t="shared" si="0"/>
        <v xml:space="preserve"> </v>
      </c>
      <c r="J16" s="63"/>
      <c r="K16" s="186" t="str">
        <f t="shared" si="3"/>
        <v xml:space="preserve"> </v>
      </c>
      <c r="L16" s="86" t="str">
        <f t="shared" si="1"/>
        <v>-</v>
      </c>
      <c r="M16" s="64" t="str">
        <f t="shared" si="2"/>
        <v/>
      </c>
      <c r="N16" s="98"/>
      <c r="O16" s="99"/>
      <c r="P16" s="99"/>
      <c r="Q16" s="99"/>
      <c r="R16" s="99"/>
      <c r="S16" s="100"/>
      <c r="U16" s="43"/>
      <c r="V16" s="44"/>
    </row>
    <row r="17" spans="1:22" ht="12.2" customHeight="1">
      <c r="A17" s="17"/>
      <c r="B17" s="108" t="s">
        <v>22</v>
      </c>
      <c r="C17" s="109"/>
      <c r="D17" s="109"/>
      <c r="E17" s="109"/>
      <c r="F17" s="109"/>
      <c r="G17" s="24" t="s">
        <v>51</v>
      </c>
      <c r="H17" s="61"/>
      <c r="I17" s="186" t="str">
        <f t="shared" si="0"/>
        <v xml:space="preserve"> </v>
      </c>
      <c r="J17" s="63"/>
      <c r="K17" s="186" t="str">
        <f t="shared" si="3"/>
        <v xml:space="preserve"> </v>
      </c>
      <c r="L17" s="86" t="str">
        <f t="shared" si="1"/>
        <v>-</v>
      </c>
      <c r="M17" s="64" t="str">
        <f t="shared" si="2"/>
        <v/>
      </c>
      <c r="N17" s="98"/>
      <c r="O17" s="99"/>
      <c r="P17" s="99"/>
      <c r="Q17" s="99"/>
      <c r="R17" s="99"/>
      <c r="S17" s="100"/>
      <c r="U17" s="43"/>
      <c r="V17" s="44"/>
    </row>
    <row r="18" spans="1:22" ht="12.2" customHeight="1">
      <c r="A18" s="17"/>
      <c r="B18" s="108" t="s">
        <v>3</v>
      </c>
      <c r="C18" s="109"/>
      <c r="D18" s="109"/>
      <c r="E18" s="109"/>
      <c r="F18" s="109"/>
      <c r="G18" s="24" t="s">
        <v>51</v>
      </c>
      <c r="H18" s="61"/>
      <c r="I18" s="186" t="str">
        <f t="shared" si="0"/>
        <v xml:space="preserve"> </v>
      </c>
      <c r="J18" s="63"/>
      <c r="K18" s="186" t="str">
        <f t="shared" si="3"/>
        <v xml:space="preserve"> </v>
      </c>
      <c r="L18" s="86" t="str">
        <f t="shared" si="1"/>
        <v>-</v>
      </c>
      <c r="M18" s="64" t="str">
        <f t="shared" si="2"/>
        <v/>
      </c>
      <c r="N18" s="98"/>
      <c r="O18" s="99"/>
      <c r="P18" s="99"/>
      <c r="Q18" s="99"/>
      <c r="R18" s="99"/>
      <c r="S18" s="100"/>
      <c r="U18" s="43"/>
      <c r="V18" s="45"/>
    </row>
    <row r="19" spans="1:22" ht="12.2" customHeight="1">
      <c r="A19" s="17"/>
      <c r="B19" s="108" t="s">
        <v>4</v>
      </c>
      <c r="C19" s="109"/>
      <c r="D19" s="109"/>
      <c r="E19" s="109"/>
      <c r="F19" s="109"/>
      <c r="G19" s="24" t="s">
        <v>51</v>
      </c>
      <c r="H19" s="61"/>
      <c r="I19" s="186" t="str">
        <f t="shared" si="0"/>
        <v xml:space="preserve"> </v>
      </c>
      <c r="J19" s="63"/>
      <c r="K19" s="186" t="str">
        <f t="shared" si="3"/>
        <v xml:space="preserve"> </v>
      </c>
      <c r="L19" s="86" t="str">
        <f t="shared" si="1"/>
        <v>-</v>
      </c>
      <c r="M19" s="64" t="str">
        <f t="shared" si="2"/>
        <v/>
      </c>
      <c r="N19" s="98"/>
      <c r="O19" s="99"/>
      <c r="P19" s="99"/>
      <c r="Q19" s="99"/>
      <c r="R19" s="99"/>
      <c r="S19" s="100"/>
      <c r="U19" s="43"/>
      <c r="V19" s="44"/>
    </row>
    <row r="20" spans="1:22" ht="12.2" customHeight="1">
      <c r="A20" s="17"/>
      <c r="B20" s="108" t="s">
        <v>5</v>
      </c>
      <c r="C20" s="109"/>
      <c r="D20" s="109"/>
      <c r="E20" s="109"/>
      <c r="F20" s="109"/>
      <c r="G20" s="24" t="s">
        <v>51</v>
      </c>
      <c r="H20" s="61"/>
      <c r="I20" s="186" t="str">
        <f t="shared" si="0"/>
        <v xml:space="preserve"> </v>
      </c>
      <c r="J20" s="63"/>
      <c r="K20" s="186" t="str">
        <f t="shared" si="3"/>
        <v xml:space="preserve"> </v>
      </c>
      <c r="L20" s="86" t="str">
        <f t="shared" si="1"/>
        <v>-</v>
      </c>
      <c r="M20" s="64" t="str">
        <f t="shared" si="2"/>
        <v/>
      </c>
      <c r="N20" s="98"/>
      <c r="O20" s="99"/>
      <c r="P20" s="99"/>
      <c r="Q20" s="99"/>
      <c r="R20" s="99"/>
      <c r="S20" s="100"/>
      <c r="U20" s="43"/>
      <c r="V20" s="44"/>
    </row>
    <row r="21" spans="1:22" ht="12.2" customHeight="1">
      <c r="A21" s="18"/>
      <c r="B21" s="108" t="s">
        <v>6</v>
      </c>
      <c r="C21" s="109"/>
      <c r="D21" s="109"/>
      <c r="E21" s="109"/>
      <c r="F21" s="109"/>
      <c r="G21" s="24" t="s">
        <v>51</v>
      </c>
      <c r="H21" s="61"/>
      <c r="I21" s="186" t="str">
        <f t="shared" si="0"/>
        <v xml:space="preserve"> </v>
      </c>
      <c r="J21" s="63"/>
      <c r="K21" s="186" t="str">
        <f t="shared" si="3"/>
        <v xml:space="preserve"> </v>
      </c>
      <c r="L21" s="86" t="str">
        <f t="shared" si="1"/>
        <v>-</v>
      </c>
      <c r="M21" s="64" t="str">
        <f t="shared" si="2"/>
        <v/>
      </c>
      <c r="N21" s="98"/>
      <c r="O21" s="99"/>
      <c r="P21" s="99"/>
      <c r="Q21" s="99"/>
      <c r="R21" s="99"/>
      <c r="S21" s="100"/>
      <c r="U21" s="43"/>
      <c r="V21" s="44"/>
    </row>
    <row r="22" spans="1:22" ht="12.2" customHeight="1">
      <c r="A22" s="168" t="s">
        <v>7</v>
      </c>
      <c r="B22" s="169"/>
      <c r="C22" s="169"/>
      <c r="D22" s="169"/>
      <c r="E22" s="169"/>
      <c r="F22" s="170"/>
      <c r="G22" s="25" t="s">
        <v>51</v>
      </c>
      <c r="H22" s="61"/>
      <c r="I22" s="186" t="str">
        <f t="shared" si="0"/>
        <v xml:space="preserve"> </v>
      </c>
      <c r="J22" s="63"/>
      <c r="K22" s="186" t="str">
        <f t="shared" si="3"/>
        <v xml:space="preserve"> </v>
      </c>
      <c r="L22" s="86" t="str">
        <f t="shared" si="1"/>
        <v>-</v>
      </c>
      <c r="M22" s="64" t="str">
        <f t="shared" si="2"/>
        <v/>
      </c>
      <c r="N22" s="98"/>
      <c r="O22" s="99"/>
      <c r="P22" s="99"/>
      <c r="Q22" s="99"/>
      <c r="R22" s="99"/>
      <c r="S22" s="100"/>
      <c r="U22" s="43"/>
      <c r="V22" s="44"/>
    </row>
    <row r="23" spans="1:22" ht="12.2" customHeight="1">
      <c r="A23" s="15"/>
      <c r="B23" s="171" t="s">
        <v>41</v>
      </c>
      <c r="C23" s="172"/>
      <c r="D23" s="172"/>
      <c r="E23" s="172"/>
      <c r="F23" s="172"/>
      <c r="G23" s="26" t="s">
        <v>51</v>
      </c>
      <c r="H23" s="61"/>
      <c r="I23" s="186" t="str">
        <f t="shared" si="0"/>
        <v xml:space="preserve"> </v>
      </c>
      <c r="J23" s="63"/>
      <c r="K23" s="186" t="str">
        <f t="shared" si="3"/>
        <v xml:space="preserve"> </v>
      </c>
      <c r="L23" s="86" t="str">
        <f t="shared" si="1"/>
        <v>-</v>
      </c>
      <c r="M23" s="64" t="str">
        <f t="shared" si="2"/>
        <v/>
      </c>
      <c r="N23" s="98"/>
      <c r="O23" s="99"/>
      <c r="P23" s="99"/>
      <c r="Q23" s="99"/>
      <c r="R23" s="99"/>
      <c r="S23" s="100"/>
      <c r="U23" s="43"/>
      <c r="V23" s="44"/>
    </row>
    <row r="24" spans="1:22" ht="12.2" customHeight="1">
      <c r="A24" s="114" t="s">
        <v>8</v>
      </c>
      <c r="B24" s="115"/>
      <c r="C24" s="115"/>
      <c r="D24" s="115"/>
      <c r="E24" s="115"/>
      <c r="F24" s="115"/>
      <c r="G24" s="27" t="s">
        <v>51</v>
      </c>
      <c r="H24" s="61"/>
      <c r="I24" s="186" t="str">
        <f>IFERROR(H24/$H$24%," ")</f>
        <v xml:space="preserve"> </v>
      </c>
      <c r="J24" s="63"/>
      <c r="K24" s="186" t="str">
        <f>IFERROR(J24/$J$24%," ")</f>
        <v xml:space="preserve"> </v>
      </c>
      <c r="L24" s="86" t="str">
        <f t="shared" si="1"/>
        <v>-</v>
      </c>
      <c r="M24" s="64" t="str">
        <f t="shared" si="2"/>
        <v/>
      </c>
      <c r="N24" s="98"/>
      <c r="O24" s="99"/>
      <c r="P24" s="99"/>
      <c r="Q24" s="99"/>
      <c r="R24" s="99"/>
      <c r="S24" s="100"/>
      <c r="U24" s="43"/>
      <c r="V24" s="44"/>
    </row>
    <row r="25" spans="1:22" ht="12.2" customHeight="1">
      <c r="A25" s="114" t="s">
        <v>9</v>
      </c>
      <c r="B25" s="115"/>
      <c r="C25" s="115"/>
      <c r="D25" s="115"/>
      <c r="E25" s="115"/>
      <c r="F25" s="115"/>
      <c r="G25" s="27" t="s">
        <v>51</v>
      </c>
      <c r="H25" s="61"/>
      <c r="I25" s="68"/>
      <c r="J25" s="63"/>
      <c r="K25" s="68"/>
      <c r="L25" s="86" t="str">
        <f t="shared" si="1"/>
        <v>-</v>
      </c>
      <c r="M25" s="64" t="str">
        <f t="shared" si="2"/>
        <v/>
      </c>
      <c r="N25" s="98"/>
      <c r="O25" s="99"/>
      <c r="P25" s="99"/>
      <c r="Q25" s="99"/>
      <c r="R25" s="99"/>
      <c r="S25" s="100"/>
      <c r="U25" s="43"/>
      <c r="V25" s="44"/>
    </row>
    <row r="26" spans="1:22" ht="12.2" customHeight="1">
      <c r="A26" s="129" t="s">
        <v>10</v>
      </c>
      <c r="B26" s="130"/>
      <c r="C26" s="130"/>
      <c r="D26" s="130"/>
      <c r="E26" s="130"/>
      <c r="F26" s="130"/>
      <c r="G26" s="28" t="s">
        <v>51</v>
      </c>
      <c r="H26" s="61"/>
      <c r="I26" s="68"/>
      <c r="J26" s="63"/>
      <c r="K26" s="68"/>
      <c r="L26" s="86" t="str">
        <f t="shared" si="1"/>
        <v>-</v>
      </c>
      <c r="M26" s="64" t="str">
        <f t="shared" si="2"/>
        <v/>
      </c>
      <c r="N26" s="98"/>
      <c r="O26" s="99"/>
      <c r="P26" s="99"/>
      <c r="Q26" s="99"/>
      <c r="R26" s="99"/>
      <c r="S26" s="100"/>
      <c r="U26" s="43"/>
      <c r="V26" s="44"/>
    </row>
    <row r="27" spans="1:22" ht="12.2" customHeight="1">
      <c r="A27" s="114" t="s">
        <v>11</v>
      </c>
      <c r="B27" s="115"/>
      <c r="C27" s="115"/>
      <c r="D27" s="115"/>
      <c r="E27" s="115"/>
      <c r="F27" s="115"/>
      <c r="G27" s="27" t="s">
        <v>51</v>
      </c>
      <c r="H27" s="61"/>
      <c r="I27" s="68"/>
      <c r="J27" s="63"/>
      <c r="K27" s="68"/>
      <c r="L27" s="86" t="str">
        <f t="shared" si="1"/>
        <v>-</v>
      </c>
      <c r="M27" s="64" t="str">
        <f t="shared" si="2"/>
        <v/>
      </c>
      <c r="N27" s="98"/>
      <c r="O27" s="99"/>
      <c r="P27" s="99"/>
      <c r="Q27" s="99"/>
      <c r="R27" s="99"/>
      <c r="S27" s="100"/>
      <c r="U27" s="43"/>
      <c r="V27" s="44"/>
    </row>
    <row r="28" spans="1:22" ht="12.2" customHeight="1">
      <c r="A28" s="114" t="s">
        <v>23</v>
      </c>
      <c r="B28" s="115"/>
      <c r="C28" s="115"/>
      <c r="D28" s="115"/>
      <c r="E28" s="115"/>
      <c r="F28" s="115"/>
      <c r="G28" s="27" t="s">
        <v>51</v>
      </c>
      <c r="H28" s="61"/>
      <c r="I28" s="68"/>
      <c r="J28" s="63"/>
      <c r="K28" s="68"/>
      <c r="L28" s="86" t="str">
        <f t="shared" si="1"/>
        <v>-</v>
      </c>
      <c r="M28" s="64" t="str">
        <f t="shared" si="2"/>
        <v/>
      </c>
      <c r="N28" s="98"/>
      <c r="O28" s="99"/>
      <c r="P28" s="99"/>
      <c r="Q28" s="99"/>
      <c r="R28" s="99"/>
      <c r="S28" s="100"/>
      <c r="U28" s="43"/>
      <c r="V28" s="44"/>
    </row>
    <row r="29" spans="1:22" ht="12.2" customHeight="1">
      <c r="A29" s="129" t="s">
        <v>12</v>
      </c>
      <c r="B29" s="130"/>
      <c r="C29" s="130"/>
      <c r="D29" s="130"/>
      <c r="E29" s="130"/>
      <c r="F29" s="130"/>
      <c r="G29" s="28" t="s">
        <v>51</v>
      </c>
      <c r="H29" s="61"/>
      <c r="I29" s="68"/>
      <c r="J29" s="63"/>
      <c r="K29" s="68"/>
      <c r="L29" s="86" t="str">
        <f t="shared" si="1"/>
        <v>-</v>
      </c>
      <c r="M29" s="64" t="str">
        <f t="shared" si="2"/>
        <v/>
      </c>
      <c r="N29" s="98"/>
      <c r="O29" s="99"/>
      <c r="P29" s="99"/>
      <c r="Q29" s="99"/>
      <c r="R29" s="99"/>
      <c r="S29" s="100"/>
      <c r="U29" s="43"/>
      <c r="V29" s="44"/>
    </row>
    <row r="30" spans="1:22" ht="12.2" customHeight="1">
      <c r="A30" s="114" t="s">
        <v>13</v>
      </c>
      <c r="B30" s="115"/>
      <c r="C30" s="115"/>
      <c r="D30" s="115"/>
      <c r="E30" s="115"/>
      <c r="F30" s="115"/>
      <c r="G30" s="27" t="s">
        <v>51</v>
      </c>
      <c r="H30" s="61"/>
      <c r="I30" s="68"/>
      <c r="J30" s="63"/>
      <c r="K30" s="68"/>
      <c r="L30" s="86" t="str">
        <f t="shared" si="1"/>
        <v>-</v>
      </c>
      <c r="M30" s="64" t="str">
        <f t="shared" si="2"/>
        <v/>
      </c>
      <c r="N30" s="98"/>
      <c r="O30" s="99"/>
      <c r="P30" s="99"/>
      <c r="Q30" s="99"/>
      <c r="R30" s="99"/>
      <c r="S30" s="100"/>
      <c r="U30" s="43"/>
      <c r="V30" s="44"/>
    </row>
    <row r="31" spans="1:22" ht="12.2" customHeight="1">
      <c r="A31" s="114" t="s">
        <v>14</v>
      </c>
      <c r="B31" s="115"/>
      <c r="C31" s="115"/>
      <c r="D31" s="115"/>
      <c r="E31" s="115"/>
      <c r="F31" s="115"/>
      <c r="G31" s="27" t="s">
        <v>51</v>
      </c>
      <c r="H31" s="61"/>
      <c r="I31" s="68"/>
      <c r="J31" s="63"/>
      <c r="K31" s="68"/>
      <c r="L31" s="86" t="str">
        <f t="shared" si="1"/>
        <v>-</v>
      </c>
      <c r="M31" s="64" t="str">
        <f t="shared" si="2"/>
        <v/>
      </c>
      <c r="N31" s="98"/>
      <c r="O31" s="99"/>
      <c r="P31" s="99"/>
      <c r="Q31" s="99"/>
      <c r="R31" s="99"/>
      <c r="S31" s="100"/>
      <c r="U31" s="43"/>
      <c r="V31" s="44"/>
    </row>
    <row r="32" spans="1:22" ht="12.2" customHeight="1">
      <c r="A32" s="129" t="s">
        <v>15</v>
      </c>
      <c r="B32" s="130"/>
      <c r="C32" s="130"/>
      <c r="D32" s="130"/>
      <c r="E32" s="130"/>
      <c r="F32" s="130"/>
      <c r="G32" s="28" t="s">
        <v>51</v>
      </c>
      <c r="H32" s="61"/>
      <c r="I32" s="68"/>
      <c r="J32" s="63"/>
      <c r="K32" s="68"/>
      <c r="L32" s="86" t="str">
        <f t="shared" si="1"/>
        <v>-</v>
      </c>
      <c r="M32" s="64" t="str">
        <f t="shared" si="2"/>
        <v/>
      </c>
      <c r="N32" s="98"/>
      <c r="O32" s="99"/>
      <c r="P32" s="99"/>
      <c r="Q32" s="99"/>
      <c r="R32" s="99"/>
      <c r="S32" s="100"/>
      <c r="U32" s="43"/>
      <c r="V32" s="44"/>
    </row>
    <row r="33" spans="1:22" ht="12.2" customHeight="1">
      <c r="A33" s="11"/>
      <c r="B33" s="166" t="s">
        <v>30</v>
      </c>
      <c r="C33" s="167"/>
      <c r="D33" s="167"/>
      <c r="E33" s="167"/>
      <c r="F33" s="167"/>
      <c r="G33" s="29" t="s">
        <v>51</v>
      </c>
      <c r="H33" s="69"/>
      <c r="I33" s="70"/>
      <c r="J33" s="71"/>
      <c r="K33" s="72"/>
      <c r="L33" s="88" t="str">
        <f t="shared" si="1"/>
        <v>-</v>
      </c>
      <c r="M33" s="73" t="str">
        <f t="shared" si="2"/>
        <v/>
      </c>
      <c r="N33" s="98"/>
      <c r="O33" s="99"/>
      <c r="P33" s="99"/>
      <c r="Q33" s="99"/>
      <c r="R33" s="99"/>
      <c r="S33" s="100"/>
      <c r="U33" s="43"/>
      <c r="V33" s="44"/>
    </row>
    <row r="34" spans="1:22" ht="12.2" customHeight="1">
      <c r="A34" s="158" t="s">
        <v>16</v>
      </c>
      <c r="B34" s="159"/>
      <c r="C34" s="160"/>
      <c r="D34" s="160"/>
      <c r="E34" s="160"/>
      <c r="F34" s="161"/>
      <c r="G34" s="30" t="s">
        <v>52</v>
      </c>
      <c r="H34" s="187"/>
      <c r="I34" s="74"/>
      <c r="J34" s="189"/>
      <c r="K34" s="74"/>
      <c r="L34" s="89" t="str">
        <f t="shared" si="1"/>
        <v>-</v>
      </c>
      <c r="M34" s="191" t="str">
        <f t="shared" si="2"/>
        <v/>
      </c>
      <c r="N34" s="98"/>
      <c r="O34" s="99"/>
      <c r="P34" s="99"/>
      <c r="Q34" s="99"/>
      <c r="R34" s="99"/>
      <c r="S34" s="100"/>
      <c r="U34" s="43"/>
      <c r="V34" s="45"/>
    </row>
    <row r="35" spans="1:22" ht="12.2" customHeight="1">
      <c r="A35" s="12"/>
      <c r="B35" s="162" t="s">
        <v>42</v>
      </c>
      <c r="C35" s="163"/>
      <c r="D35" s="163"/>
      <c r="E35" s="163"/>
      <c r="F35" s="163"/>
      <c r="G35" s="31" t="s">
        <v>53</v>
      </c>
      <c r="H35" s="188"/>
      <c r="I35" s="68"/>
      <c r="J35" s="190"/>
      <c r="K35" s="68"/>
      <c r="L35" s="86" t="str">
        <f t="shared" si="1"/>
        <v>-</v>
      </c>
      <c r="M35" s="192" t="str">
        <f t="shared" si="2"/>
        <v/>
      </c>
      <c r="N35" s="98"/>
      <c r="O35" s="99"/>
      <c r="P35" s="99"/>
      <c r="Q35" s="99"/>
      <c r="R35" s="99"/>
      <c r="S35" s="100"/>
      <c r="U35" s="43"/>
      <c r="V35" s="44"/>
    </row>
    <row r="36" spans="1:22" ht="12.2" customHeight="1">
      <c r="A36" s="14"/>
      <c r="B36" s="164" t="s">
        <v>43</v>
      </c>
      <c r="C36" s="165"/>
      <c r="D36" s="165"/>
      <c r="E36" s="165"/>
      <c r="F36" s="165"/>
      <c r="G36" s="28" t="s">
        <v>53</v>
      </c>
      <c r="H36" s="188"/>
      <c r="I36" s="70"/>
      <c r="J36" s="190"/>
      <c r="K36" s="68"/>
      <c r="L36" s="86" t="str">
        <f t="shared" si="1"/>
        <v>-</v>
      </c>
      <c r="M36" s="192" t="str">
        <f t="shared" si="2"/>
        <v/>
      </c>
      <c r="N36" s="98"/>
      <c r="O36" s="99"/>
      <c r="P36" s="99"/>
      <c r="Q36" s="99"/>
      <c r="R36" s="99"/>
      <c r="S36" s="100"/>
      <c r="U36" s="43"/>
      <c r="V36" s="44"/>
    </row>
    <row r="37" spans="1:22" ht="12.2" customHeight="1">
      <c r="A37" s="141" t="s">
        <v>54</v>
      </c>
      <c r="B37" s="142"/>
      <c r="C37" s="142"/>
      <c r="D37" s="153" t="s">
        <v>27</v>
      </c>
      <c r="E37" s="154"/>
      <c r="F37" s="155"/>
      <c r="G37" s="32" t="s">
        <v>55</v>
      </c>
      <c r="H37" s="89"/>
      <c r="I37" s="75"/>
      <c r="J37" s="193"/>
      <c r="K37" s="74"/>
      <c r="L37" s="89" t="str">
        <f t="shared" si="1"/>
        <v>-</v>
      </c>
      <c r="M37" s="194" t="str">
        <f t="shared" si="2"/>
        <v/>
      </c>
      <c r="N37" s="98"/>
      <c r="O37" s="99"/>
      <c r="P37" s="99"/>
      <c r="Q37" s="99"/>
      <c r="R37" s="99"/>
      <c r="S37" s="100"/>
      <c r="U37" s="43"/>
      <c r="V37" s="44"/>
    </row>
    <row r="38" spans="1:22" ht="12.2" customHeight="1">
      <c r="A38" s="151"/>
      <c r="B38" s="152"/>
      <c r="C38" s="152"/>
      <c r="D38" s="156" t="s">
        <v>31</v>
      </c>
      <c r="E38" s="126"/>
      <c r="F38" s="157"/>
      <c r="G38" s="33" t="s">
        <v>49</v>
      </c>
      <c r="H38" s="76"/>
      <c r="I38" s="70"/>
      <c r="J38" s="71"/>
      <c r="K38" s="70"/>
      <c r="L38" s="90" t="str">
        <f t="shared" si="1"/>
        <v>-</v>
      </c>
      <c r="M38" s="77" t="str">
        <f t="shared" si="2"/>
        <v/>
      </c>
      <c r="N38" s="98"/>
      <c r="O38" s="99"/>
      <c r="P38" s="99"/>
      <c r="Q38" s="99"/>
      <c r="R38" s="99"/>
      <c r="S38" s="100"/>
      <c r="U38" s="43"/>
      <c r="V38" s="44"/>
    </row>
    <row r="39" spans="1:22" ht="12.2" customHeight="1">
      <c r="A39" s="141" t="s">
        <v>56</v>
      </c>
      <c r="B39" s="142"/>
      <c r="C39" s="142"/>
      <c r="D39" s="147" t="s">
        <v>27</v>
      </c>
      <c r="E39" s="148"/>
      <c r="F39" s="149"/>
      <c r="G39" s="34" t="s">
        <v>55</v>
      </c>
      <c r="H39" s="87"/>
      <c r="I39" s="75"/>
      <c r="J39" s="195"/>
      <c r="K39" s="75"/>
      <c r="L39" s="87" t="str">
        <f t="shared" si="1"/>
        <v>-</v>
      </c>
      <c r="M39" s="197" t="str">
        <f t="shared" si="2"/>
        <v/>
      </c>
      <c r="N39" s="98"/>
      <c r="O39" s="99"/>
      <c r="P39" s="99"/>
      <c r="Q39" s="99"/>
      <c r="R39" s="99"/>
      <c r="S39" s="100"/>
      <c r="U39" s="43"/>
      <c r="V39" s="44"/>
    </row>
    <row r="40" spans="1:22" ht="12.2" customHeight="1">
      <c r="A40" s="143"/>
      <c r="B40" s="144"/>
      <c r="C40" s="144"/>
      <c r="D40" s="101" t="s">
        <v>32</v>
      </c>
      <c r="E40" s="102"/>
      <c r="F40" s="150"/>
      <c r="G40" s="35" t="s">
        <v>57</v>
      </c>
      <c r="H40" s="86"/>
      <c r="I40" s="68"/>
      <c r="J40" s="196"/>
      <c r="K40" s="68"/>
      <c r="L40" s="86" t="str">
        <f t="shared" si="1"/>
        <v>-</v>
      </c>
      <c r="M40" s="198" t="str">
        <f t="shared" si="2"/>
        <v/>
      </c>
      <c r="N40" s="98"/>
      <c r="O40" s="99"/>
      <c r="P40" s="99"/>
      <c r="Q40" s="99"/>
      <c r="R40" s="99"/>
      <c r="S40" s="100"/>
      <c r="U40" s="43"/>
      <c r="V40" s="44"/>
    </row>
    <row r="41" spans="1:22" ht="12.2" customHeight="1">
      <c r="A41" s="145"/>
      <c r="B41" s="146"/>
      <c r="C41" s="146"/>
      <c r="D41" s="101" t="s">
        <v>26</v>
      </c>
      <c r="E41" s="102"/>
      <c r="F41" s="150"/>
      <c r="G41" s="36" t="s">
        <v>49</v>
      </c>
      <c r="H41" s="69"/>
      <c r="I41" s="72"/>
      <c r="J41" s="78"/>
      <c r="K41" s="72"/>
      <c r="L41" s="88" t="str">
        <f t="shared" si="1"/>
        <v>-</v>
      </c>
      <c r="M41" s="73" t="str">
        <f t="shared" si="2"/>
        <v/>
      </c>
      <c r="N41" s="98"/>
      <c r="O41" s="99"/>
      <c r="P41" s="99"/>
      <c r="Q41" s="99"/>
      <c r="R41" s="99"/>
      <c r="S41" s="100"/>
      <c r="U41" s="43"/>
      <c r="V41" s="44"/>
    </row>
    <row r="42" spans="1:22" ht="12.2" customHeight="1">
      <c r="A42" s="125" t="s">
        <v>33</v>
      </c>
      <c r="B42" s="126"/>
      <c r="C42" s="126"/>
      <c r="D42" s="126"/>
      <c r="E42" s="126"/>
      <c r="F42" s="126"/>
      <c r="G42" s="33" t="s">
        <v>55</v>
      </c>
      <c r="H42" s="90"/>
      <c r="I42" s="70"/>
      <c r="J42" s="199"/>
      <c r="K42" s="70"/>
      <c r="L42" s="90" t="str">
        <f t="shared" si="1"/>
        <v>-</v>
      </c>
      <c r="M42" s="200" t="str">
        <f t="shared" si="2"/>
        <v/>
      </c>
      <c r="N42" s="98"/>
      <c r="O42" s="99"/>
      <c r="P42" s="99"/>
      <c r="Q42" s="99"/>
      <c r="R42" s="99"/>
      <c r="S42" s="100"/>
      <c r="U42" s="43"/>
      <c r="V42" s="44"/>
    </row>
    <row r="43" spans="1:22" ht="12.2" customHeight="1">
      <c r="A43" s="127" t="s">
        <v>17</v>
      </c>
      <c r="B43" s="128"/>
      <c r="C43" s="128"/>
      <c r="D43" s="128"/>
      <c r="E43" s="128"/>
      <c r="F43" s="128"/>
      <c r="G43" s="37" t="s">
        <v>49</v>
      </c>
      <c r="H43" s="65"/>
      <c r="I43" s="75"/>
      <c r="J43" s="66"/>
      <c r="K43" s="75"/>
      <c r="L43" s="87" t="str">
        <f t="shared" si="1"/>
        <v>-</v>
      </c>
      <c r="M43" s="67" t="str">
        <f t="shared" si="2"/>
        <v/>
      </c>
      <c r="N43" s="98"/>
      <c r="O43" s="99"/>
      <c r="P43" s="99"/>
      <c r="Q43" s="99"/>
      <c r="R43" s="99"/>
      <c r="S43" s="100"/>
      <c r="U43" s="43"/>
      <c r="V43" s="45"/>
    </row>
    <row r="44" spans="1:22" ht="12.2" customHeight="1">
      <c r="A44" s="129" t="s">
        <v>18</v>
      </c>
      <c r="B44" s="130"/>
      <c r="C44" s="130"/>
      <c r="D44" s="130"/>
      <c r="E44" s="130"/>
      <c r="F44" s="130"/>
      <c r="G44" s="27" t="s">
        <v>58</v>
      </c>
      <c r="H44" s="61"/>
      <c r="I44" s="68"/>
      <c r="J44" s="63"/>
      <c r="K44" s="68"/>
      <c r="L44" s="86" t="str">
        <f t="shared" si="1"/>
        <v>-</v>
      </c>
      <c r="M44" s="64" t="str">
        <f t="shared" si="2"/>
        <v/>
      </c>
      <c r="N44" s="98"/>
      <c r="O44" s="99"/>
      <c r="P44" s="99"/>
      <c r="Q44" s="99"/>
      <c r="R44" s="99"/>
      <c r="S44" s="100"/>
      <c r="U44" s="43"/>
      <c r="V44" s="44"/>
    </row>
    <row r="45" spans="1:22" ht="12.2" customHeight="1" thickBot="1">
      <c r="A45" s="13"/>
      <c r="B45" s="136" t="s">
        <v>19</v>
      </c>
      <c r="C45" s="137"/>
      <c r="D45" s="137"/>
      <c r="E45" s="137"/>
      <c r="F45" s="137"/>
      <c r="G45" s="38" t="s">
        <v>58</v>
      </c>
      <c r="H45" s="79"/>
      <c r="I45" s="80"/>
      <c r="J45" s="81"/>
      <c r="K45" s="80"/>
      <c r="L45" s="88" t="str">
        <f t="shared" si="1"/>
        <v>-</v>
      </c>
      <c r="M45" s="73" t="str">
        <f t="shared" si="2"/>
        <v/>
      </c>
      <c r="N45" s="98"/>
      <c r="O45" s="99"/>
      <c r="P45" s="99"/>
      <c r="Q45" s="99"/>
      <c r="R45" s="99"/>
      <c r="S45" s="100"/>
      <c r="U45" s="43"/>
      <c r="V45" s="44"/>
    </row>
    <row r="46" spans="1:22" ht="12.2" customHeight="1" thickTop="1">
      <c r="A46" s="138" t="s">
        <v>36</v>
      </c>
      <c r="B46" s="139"/>
      <c r="C46" s="139"/>
      <c r="D46" s="139"/>
      <c r="E46" s="139"/>
      <c r="F46" s="139"/>
      <c r="G46" s="59"/>
      <c r="H46" s="82"/>
      <c r="I46" s="83"/>
      <c r="J46" s="82"/>
      <c r="K46" s="83"/>
      <c r="L46" s="91"/>
      <c r="M46" s="84"/>
      <c r="N46" s="98"/>
      <c r="O46" s="99"/>
      <c r="P46" s="99"/>
      <c r="Q46" s="99"/>
      <c r="R46" s="99"/>
      <c r="S46" s="100"/>
      <c r="U46" s="43"/>
      <c r="V46" s="44"/>
    </row>
    <row r="47" spans="1:22" ht="12.2" customHeight="1">
      <c r="A47" s="140" t="s">
        <v>34</v>
      </c>
      <c r="B47" s="102"/>
      <c r="C47" s="102"/>
      <c r="D47" s="102"/>
      <c r="E47" s="102"/>
      <c r="F47" s="102"/>
      <c r="G47" s="39" t="s">
        <v>59</v>
      </c>
      <c r="H47" s="201"/>
      <c r="I47" s="80"/>
      <c r="J47" s="202"/>
      <c r="K47" s="68"/>
      <c r="L47" s="86" t="str">
        <f t="shared" si="1"/>
        <v>-</v>
      </c>
      <c r="M47" s="198" t="str">
        <f t="shared" si="2"/>
        <v/>
      </c>
      <c r="N47" s="98"/>
      <c r="O47" s="99"/>
      <c r="P47" s="99"/>
      <c r="Q47" s="99"/>
      <c r="R47" s="99"/>
      <c r="S47" s="100"/>
      <c r="U47" s="43"/>
      <c r="V47" s="44"/>
    </row>
    <row r="48" spans="1:22" ht="12.2" customHeight="1" thickBot="1">
      <c r="A48" s="131" t="s">
        <v>28</v>
      </c>
      <c r="B48" s="132"/>
      <c r="C48" s="132"/>
      <c r="D48" s="132"/>
      <c r="E48" s="132"/>
      <c r="F48" s="132"/>
      <c r="G48" s="40" t="s">
        <v>50</v>
      </c>
      <c r="H48" s="92"/>
      <c r="I48" s="85"/>
      <c r="J48" s="203"/>
      <c r="K48" s="85"/>
      <c r="L48" s="92" t="str">
        <f t="shared" si="1"/>
        <v>-</v>
      </c>
      <c r="M48" s="204" t="str">
        <f t="shared" si="2"/>
        <v/>
      </c>
      <c r="N48" s="133"/>
      <c r="O48" s="134"/>
      <c r="P48" s="134"/>
      <c r="Q48" s="134"/>
      <c r="R48" s="134"/>
      <c r="S48" s="135"/>
      <c r="U48" s="43"/>
      <c r="V48" s="44"/>
    </row>
  </sheetData>
  <mergeCells count="97">
    <mergeCell ref="H4:H5"/>
    <mergeCell ref="J4:J5"/>
    <mergeCell ref="M4:M5"/>
    <mergeCell ref="B12:F12"/>
    <mergeCell ref="N12:S12"/>
    <mergeCell ref="A4:F5"/>
    <mergeCell ref="G4:G5"/>
    <mergeCell ref="B13:F13"/>
    <mergeCell ref="N13:S13"/>
    <mergeCell ref="B14:F14"/>
    <mergeCell ref="N14:S14"/>
    <mergeCell ref="N15:S15"/>
    <mergeCell ref="B15:F15"/>
    <mergeCell ref="B17:F17"/>
    <mergeCell ref="N17:S17"/>
    <mergeCell ref="B18:F18"/>
    <mergeCell ref="N18:S18"/>
    <mergeCell ref="B16:F16"/>
    <mergeCell ref="N16:S16"/>
    <mergeCell ref="B19:F19"/>
    <mergeCell ref="N19:S19"/>
    <mergeCell ref="B20:F20"/>
    <mergeCell ref="N20:S20"/>
    <mergeCell ref="B21:F21"/>
    <mergeCell ref="N21:S21"/>
    <mergeCell ref="A22:F22"/>
    <mergeCell ref="N22:S22"/>
    <mergeCell ref="B23:F23"/>
    <mergeCell ref="N23:S23"/>
    <mergeCell ref="A24:F24"/>
    <mergeCell ref="N24:S24"/>
    <mergeCell ref="A25:F25"/>
    <mergeCell ref="N25:S25"/>
    <mergeCell ref="A26:F26"/>
    <mergeCell ref="N26:S26"/>
    <mergeCell ref="A27:F27"/>
    <mergeCell ref="N27:S27"/>
    <mergeCell ref="A28:F28"/>
    <mergeCell ref="N28:S28"/>
    <mergeCell ref="A29:F29"/>
    <mergeCell ref="N29:S29"/>
    <mergeCell ref="A30:F30"/>
    <mergeCell ref="N30:S30"/>
    <mergeCell ref="A31:F31"/>
    <mergeCell ref="N31:S31"/>
    <mergeCell ref="A32:F32"/>
    <mergeCell ref="N32:S32"/>
    <mergeCell ref="B33:F33"/>
    <mergeCell ref="N33:S33"/>
    <mergeCell ref="A34:F34"/>
    <mergeCell ref="N34:S34"/>
    <mergeCell ref="B35:F35"/>
    <mergeCell ref="N35:S35"/>
    <mergeCell ref="B36:F36"/>
    <mergeCell ref="N36:S36"/>
    <mergeCell ref="A37:C38"/>
    <mergeCell ref="D37:F37"/>
    <mergeCell ref="N37:S37"/>
    <mergeCell ref="D38:F38"/>
    <mergeCell ref="N38:S38"/>
    <mergeCell ref="A39:C41"/>
    <mergeCell ref="D39:F39"/>
    <mergeCell ref="N39:S39"/>
    <mergeCell ref="D40:F40"/>
    <mergeCell ref="N40:S40"/>
    <mergeCell ref="D41:F41"/>
    <mergeCell ref="N41:S41"/>
    <mergeCell ref="A48:F48"/>
    <mergeCell ref="N48:S48"/>
    <mergeCell ref="B45:F45"/>
    <mergeCell ref="N45:S45"/>
    <mergeCell ref="A46:F46"/>
    <mergeCell ref="N46:S46"/>
    <mergeCell ref="A47:F47"/>
    <mergeCell ref="N47:S47"/>
    <mergeCell ref="A42:F42"/>
    <mergeCell ref="N42:S42"/>
    <mergeCell ref="A43:F43"/>
    <mergeCell ref="N43:S43"/>
    <mergeCell ref="A44:F44"/>
    <mergeCell ref="N44:S44"/>
    <mergeCell ref="O1:P1"/>
    <mergeCell ref="Q1:R1"/>
    <mergeCell ref="A1:C1"/>
    <mergeCell ref="N10:S10"/>
    <mergeCell ref="N11:S11"/>
    <mergeCell ref="C10:F10"/>
    <mergeCell ref="C11:F11"/>
    <mergeCell ref="A7:F7"/>
    <mergeCell ref="B8:F8"/>
    <mergeCell ref="N7:S7"/>
    <mergeCell ref="B9:F9"/>
    <mergeCell ref="N9:S9"/>
    <mergeCell ref="N8:S8"/>
    <mergeCell ref="A6:F6"/>
    <mergeCell ref="N6:S6"/>
    <mergeCell ref="N4:S5"/>
  </mergeCells>
  <phoneticPr fontId="2"/>
  <printOptions horizontalCentered="1" verticalCentered="1"/>
  <pageMargins left="0.39370078740157483" right="0.39370078740157483" top="0.59055118110236227" bottom="0.39370078740157483" header="0.31496062992125984" footer="0.19685039370078741"/>
  <pageSetup paperSize="9" scale="9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4F1D-6DFE-4485-AC87-BC69DDE6E264}">
  <dimension ref="A2:E74"/>
  <sheetViews>
    <sheetView workbookViewId="0">
      <selection activeCell="E10" sqref="E10"/>
    </sheetView>
  </sheetViews>
  <sheetFormatPr defaultColWidth="9" defaultRowHeight="13.5"/>
  <cols>
    <col min="1" max="1" width="16.875" style="51" bestFit="1" customWidth="1"/>
    <col min="2" max="2" width="9" style="51"/>
    <col min="3" max="3" width="9" style="52"/>
    <col min="4" max="4" width="17.25" style="52" bestFit="1" customWidth="1"/>
    <col min="5" max="16384" width="9" style="52"/>
  </cols>
  <sheetData>
    <row r="2" spans="1:5">
      <c r="A2" s="53" t="s">
        <v>65</v>
      </c>
      <c r="B2" s="53" t="s">
        <v>66</v>
      </c>
      <c r="D2" s="54" t="s">
        <v>91</v>
      </c>
      <c r="E2" s="54" t="s">
        <v>66</v>
      </c>
    </row>
    <row r="3" spans="1:5">
      <c r="A3" s="53" t="s">
        <v>67</v>
      </c>
      <c r="B3" s="53">
        <v>0</v>
      </c>
      <c r="D3" s="54" t="s">
        <v>93</v>
      </c>
      <c r="E3" s="54">
        <v>92</v>
      </c>
    </row>
    <row r="4" spans="1:5">
      <c r="A4" s="53" t="s">
        <v>68</v>
      </c>
      <c r="B4" s="53">
        <v>60</v>
      </c>
      <c r="D4" s="54" t="s">
        <v>95</v>
      </c>
      <c r="E4" s="54">
        <v>93</v>
      </c>
    </row>
    <row r="5" spans="1:5">
      <c r="A5" s="53" t="s">
        <v>69</v>
      </c>
      <c r="B5" s="53">
        <v>1</v>
      </c>
      <c r="D5" s="54" t="s">
        <v>97</v>
      </c>
      <c r="E5" s="54">
        <v>94</v>
      </c>
    </row>
    <row r="6" spans="1:5">
      <c r="A6" s="53" t="s">
        <v>70</v>
      </c>
      <c r="B6" s="53">
        <v>61</v>
      </c>
      <c r="D6" s="54" t="s">
        <v>99</v>
      </c>
      <c r="E6" s="54">
        <v>95</v>
      </c>
    </row>
    <row r="7" spans="1:5">
      <c r="A7" s="53" t="s">
        <v>71</v>
      </c>
      <c r="B7" s="53">
        <v>62</v>
      </c>
      <c r="D7" s="54" t="s">
        <v>101</v>
      </c>
      <c r="E7" s="54">
        <v>96</v>
      </c>
    </row>
    <row r="8" spans="1:5">
      <c r="A8" s="53" t="s">
        <v>72</v>
      </c>
      <c r="B8" s="53">
        <v>63</v>
      </c>
    </row>
    <row r="9" spans="1:5">
      <c r="A9" s="53" t="s">
        <v>73</v>
      </c>
      <c r="B9" s="53">
        <v>67</v>
      </c>
      <c r="E9" s="55" t="s">
        <v>66</v>
      </c>
    </row>
    <row r="10" spans="1:5">
      <c r="A10" s="53" t="s">
        <v>74</v>
      </c>
      <c r="B10" s="53">
        <v>68</v>
      </c>
      <c r="E10" s="56" t="str">
        <f>"="&amp;育成牛・肥育牛!O2</f>
        <v>=</v>
      </c>
    </row>
    <row r="11" spans="1:5">
      <c r="A11" s="53" t="s">
        <v>75</v>
      </c>
      <c r="B11" s="53">
        <v>71</v>
      </c>
    </row>
    <row r="12" spans="1:5">
      <c r="A12" s="53" t="s">
        <v>76</v>
      </c>
      <c r="B12" s="53">
        <v>74</v>
      </c>
    </row>
    <row r="13" spans="1:5">
      <c r="A13" s="53" t="s">
        <v>77</v>
      </c>
      <c r="B13" s="53">
        <v>75</v>
      </c>
    </row>
    <row r="14" spans="1:5">
      <c r="A14" s="53" t="s">
        <v>78</v>
      </c>
      <c r="B14" s="53">
        <v>47</v>
      </c>
    </row>
    <row r="15" spans="1:5">
      <c r="A15" s="53" t="s">
        <v>79</v>
      </c>
      <c r="B15" s="53">
        <v>64</v>
      </c>
    </row>
    <row r="16" spans="1:5">
      <c r="A16" s="53" t="s">
        <v>80</v>
      </c>
      <c r="B16" s="53">
        <v>65</v>
      </c>
    </row>
    <row r="17" spans="1:2">
      <c r="A17" s="53" t="s">
        <v>81</v>
      </c>
      <c r="B17" s="53">
        <v>66</v>
      </c>
    </row>
    <row r="18" spans="1:2">
      <c r="A18" s="53" t="s">
        <v>82</v>
      </c>
      <c r="B18" s="53">
        <v>69</v>
      </c>
    </row>
    <row r="19" spans="1:2">
      <c r="A19" s="53" t="s">
        <v>83</v>
      </c>
      <c r="B19" s="53">
        <v>70</v>
      </c>
    </row>
    <row r="20" spans="1:2">
      <c r="A20" s="53" t="s">
        <v>84</v>
      </c>
      <c r="B20" s="53">
        <v>72</v>
      </c>
    </row>
    <row r="21" spans="1:2">
      <c r="A21" s="53" t="s">
        <v>85</v>
      </c>
      <c r="B21" s="53">
        <v>73</v>
      </c>
    </row>
    <row r="22" spans="1:2">
      <c r="A22" s="53" t="s">
        <v>86</v>
      </c>
      <c r="B22" s="53">
        <v>76</v>
      </c>
    </row>
    <row r="23" spans="1:2">
      <c r="A23" s="53" t="s">
        <v>87</v>
      </c>
      <c r="B23" s="53">
        <v>77</v>
      </c>
    </row>
    <row r="24" spans="1:2">
      <c r="A24" s="53" t="s">
        <v>88</v>
      </c>
      <c r="B24" s="53">
        <v>93</v>
      </c>
    </row>
    <row r="25" spans="1:2">
      <c r="A25" s="53" t="s">
        <v>89</v>
      </c>
      <c r="B25" s="53">
        <v>94</v>
      </c>
    </row>
    <row r="26" spans="1:2">
      <c r="A26" s="53" t="s">
        <v>90</v>
      </c>
      <c r="B26" s="53">
        <v>95</v>
      </c>
    </row>
    <row r="27" spans="1:2">
      <c r="A27" s="53" t="s">
        <v>92</v>
      </c>
      <c r="B27" s="53">
        <v>2</v>
      </c>
    </row>
    <row r="28" spans="1:2">
      <c r="A28" s="53" t="s">
        <v>94</v>
      </c>
      <c r="B28" s="53">
        <v>3</v>
      </c>
    </row>
    <row r="29" spans="1:2">
      <c r="A29" s="53" t="s">
        <v>96</v>
      </c>
      <c r="B29" s="53">
        <v>4</v>
      </c>
    </row>
    <row r="30" spans="1:2">
      <c r="A30" s="53" t="s">
        <v>98</v>
      </c>
      <c r="B30" s="53">
        <v>5</v>
      </c>
    </row>
    <row r="31" spans="1:2">
      <c r="A31" s="53" t="s">
        <v>100</v>
      </c>
      <c r="B31" s="53">
        <v>6</v>
      </c>
    </row>
    <row r="32" spans="1:2">
      <c r="A32" s="53" t="s">
        <v>102</v>
      </c>
      <c r="B32" s="53">
        <v>7</v>
      </c>
    </row>
    <row r="33" spans="1:2">
      <c r="A33" s="53" t="s">
        <v>103</v>
      </c>
      <c r="B33" s="53">
        <v>8</v>
      </c>
    </row>
    <row r="34" spans="1:2">
      <c r="A34" s="53" t="s">
        <v>104</v>
      </c>
      <c r="B34" s="53">
        <v>9</v>
      </c>
    </row>
    <row r="35" spans="1:2">
      <c r="A35" s="53" t="s">
        <v>105</v>
      </c>
      <c r="B35" s="53">
        <v>10</v>
      </c>
    </row>
    <row r="36" spans="1:2">
      <c r="A36" s="53" t="s">
        <v>106</v>
      </c>
      <c r="B36" s="53">
        <v>11</v>
      </c>
    </row>
    <row r="37" spans="1:2">
      <c r="A37" s="53" t="s">
        <v>107</v>
      </c>
      <c r="B37" s="53">
        <v>12</v>
      </c>
    </row>
    <row r="38" spans="1:2">
      <c r="A38" s="53" t="s">
        <v>108</v>
      </c>
      <c r="B38" s="53">
        <v>13</v>
      </c>
    </row>
    <row r="39" spans="1:2">
      <c r="A39" s="53" t="s">
        <v>109</v>
      </c>
      <c r="B39" s="53">
        <v>14</v>
      </c>
    </row>
    <row r="40" spans="1:2">
      <c r="A40" s="53" t="s">
        <v>110</v>
      </c>
      <c r="B40" s="53">
        <v>15</v>
      </c>
    </row>
    <row r="41" spans="1:2">
      <c r="A41" s="53" t="s">
        <v>111</v>
      </c>
      <c r="B41" s="53">
        <v>16</v>
      </c>
    </row>
    <row r="42" spans="1:2">
      <c r="A42" s="53" t="s">
        <v>112</v>
      </c>
      <c r="B42" s="53">
        <v>17</v>
      </c>
    </row>
    <row r="43" spans="1:2">
      <c r="A43" s="53" t="s">
        <v>113</v>
      </c>
      <c r="B43" s="53">
        <v>18</v>
      </c>
    </row>
    <row r="44" spans="1:2">
      <c r="A44" s="53" t="s">
        <v>114</v>
      </c>
      <c r="B44" s="53">
        <v>19</v>
      </c>
    </row>
    <row r="45" spans="1:2">
      <c r="A45" s="53" t="s">
        <v>115</v>
      </c>
      <c r="B45" s="53">
        <v>20</v>
      </c>
    </row>
    <row r="46" spans="1:2">
      <c r="A46" s="53" t="s">
        <v>116</v>
      </c>
      <c r="B46" s="53">
        <v>21</v>
      </c>
    </row>
    <row r="47" spans="1:2">
      <c r="A47" s="53" t="s">
        <v>117</v>
      </c>
      <c r="B47" s="53">
        <v>22</v>
      </c>
    </row>
    <row r="48" spans="1:2">
      <c r="A48" s="53" t="s">
        <v>118</v>
      </c>
      <c r="B48" s="53">
        <v>23</v>
      </c>
    </row>
    <row r="49" spans="1:2">
      <c r="A49" s="53" t="s">
        <v>119</v>
      </c>
      <c r="B49" s="53">
        <v>24</v>
      </c>
    </row>
    <row r="50" spans="1:2">
      <c r="A50" s="53" t="s">
        <v>120</v>
      </c>
      <c r="B50" s="53">
        <v>25</v>
      </c>
    </row>
    <row r="51" spans="1:2">
      <c r="A51" s="53" t="s">
        <v>121</v>
      </c>
      <c r="B51" s="53">
        <v>26</v>
      </c>
    </row>
    <row r="52" spans="1:2">
      <c r="A52" s="53" t="s">
        <v>122</v>
      </c>
      <c r="B52" s="53">
        <v>27</v>
      </c>
    </row>
    <row r="53" spans="1:2">
      <c r="A53" s="53" t="s">
        <v>123</v>
      </c>
      <c r="B53" s="53">
        <v>28</v>
      </c>
    </row>
    <row r="54" spans="1:2">
      <c r="A54" s="53" t="s">
        <v>124</v>
      </c>
      <c r="B54" s="53">
        <v>29</v>
      </c>
    </row>
    <row r="55" spans="1:2">
      <c r="A55" s="53" t="s">
        <v>125</v>
      </c>
      <c r="B55" s="53">
        <v>30</v>
      </c>
    </row>
    <row r="56" spans="1:2">
      <c r="A56" s="53" t="s">
        <v>126</v>
      </c>
      <c r="B56" s="53">
        <v>31</v>
      </c>
    </row>
    <row r="57" spans="1:2">
      <c r="A57" s="53" t="s">
        <v>127</v>
      </c>
      <c r="B57" s="53">
        <v>32</v>
      </c>
    </row>
    <row r="58" spans="1:2">
      <c r="A58" s="53" t="s">
        <v>128</v>
      </c>
      <c r="B58" s="53">
        <v>33</v>
      </c>
    </row>
    <row r="59" spans="1:2">
      <c r="A59" s="53" t="s">
        <v>129</v>
      </c>
      <c r="B59" s="53">
        <v>34</v>
      </c>
    </row>
    <row r="60" spans="1:2">
      <c r="A60" s="53" t="s">
        <v>130</v>
      </c>
      <c r="B60" s="53">
        <v>35</v>
      </c>
    </row>
    <row r="61" spans="1:2">
      <c r="A61" s="53" t="s">
        <v>131</v>
      </c>
      <c r="B61" s="53">
        <v>36</v>
      </c>
    </row>
    <row r="62" spans="1:2">
      <c r="A62" s="53" t="s">
        <v>132</v>
      </c>
      <c r="B62" s="53">
        <v>37</v>
      </c>
    </row>
    <row r="63" spans="1:2">
      <c r="A63" s="53" t="s">
        <v>133</v>
      </c>
      <c r="B63" s="53">
        <v>38</v>
      </c>
    </row>
    <row r="64" spans="1:2">
      <c r="A64" s="53" t="s">
        <v>134</v>
      </c>
      <c r="B64" s="53">
        <v>39</v>
      </c>
    </row>
    <row r="65" spans="1:2">
      <c r="A65" s="53" t="s">
        <v>135</v>
      </c>
      <c r="B65" s="53">
        <v>40</v>
      </c>
    </row>
    <row r="66" spans="1:2">
      <c r="A66" s="53" t="s">
        <v>136</v>
      </c>
      <c r="B66" s="53">
        <v>41</v>
      </c>
    </row>
    <row r="67" spans="1:2">
      <c r="A67" s="53" t="s">
        <v>137</v>
      </c>
      <c r="B67" s="53">
        <v>42</v>
      </c>
    </row>
    <row r="68" spans="1:2">
      <c r="A68" s="53" t="s">
        <v>138</v>
      </c>
      <c r="B68" s="53">
        <v>43</v>
      </c>
    </row>
    <row r="69" spans="1:2">
      <c r="A69" s="53" t="s">
        <v>139</v>
      </c>
      <c r="B69" s="53">
        <v>44</v>
      </c>
    </row>
    <row r="70" spans="1:2">
      <c r="A70" s="53" t="s">
        <v>140</v>
      </c>
      <c r="B70" s="53">
        <v>45</v>
      </c>
    </row>
    <row r="71" spans="1:2">
      <c r="A71" s="53" t="s">
        <v>141</v>
      </c>
      <c r="B71" s="53">
        <v>46</v>
      </c>
    </row>
    <row r="73" spans="1:2">
      <c r="B73" s="57" t="s">
        <v>66</v>
      </c>
    </row>
    <row r="74" spans="1:2">
      <c r="B74" s="58" t="str">
        <f>"="&amp;育成牛・肥育牛!Q2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育成牛・肥育牛</vt:lpstr>
      <vt:lpstr>リスト</vt:lpstr>
      <vt:lpstr>育成牛・肥育牛!Print_Area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　</cp:lastModifiedBy>
  <cp:lastPrinted>2022-10-25T11:35:48Z</cp:lastPrinted>
  <dcterms:created xsi:type="dcterms:W3CDTF">2003-10-30T02:07:33Z</dcterms:created>
  <dcterms:modified xsi:type="dcterms:W3CDTF">2023-03-17T02:00:21Z</dcterms:modified>
</cp:coreProperties>
</file>