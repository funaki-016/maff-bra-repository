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RA\trunk\Excel\"/>
    </mc:Choice>
  </mc:AlternateContent>
  <xr:revisionPtr revIDLastSave="0" documentId="13_ncr:1_{95083745-57A7-4F35-B8B1-54802DF4EE06}" xr6:coauthVersionLast="47" xr6:coauthVersionMax="47" xr10:uidLastSave="{00000000-0000-0000-0000-000000000000}"/>
  <bookViews>
    <workbookView xWindow="4605" yWindow="1545" windowWidth="21600" windowHeight="11385" tabRatio="455" xr2:uid="{00000000-000D-0000-FFFF-FFFF00000000}"/>
  </bookViews>
  <sheets>
    <sheet name="No1" sheetId="6" r:id="rId1"/>
    <sheet name="No2" sheetId="7" r:id="rId2"/>
    <sheet name="No3" sheetId="5" r:id="rId3"/>
  </sheets>
  <definedNames>
    <definedName name="_xlnm.Print_Area" localSheetId="0">'No1'!$A$1:$AZ$48</definedName>
    <definedName name="_xlnm.Print_Area" localSheetId="1">'No2'!$A$1:$DE$43</definedName>
    <definedName name="_xlnm.Print_Area" localSheetId="2">'No3'!$A$1:$DL$45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91029"/>
</workbook>
</file>

<file path=xl/calcChain.xml><?xml version="1.0" encoding="utf-8"?>
<calcChain xmlns="http://schemas.openxmlformats.org/spreadsheetml/2006/main">
  <c r="BT45" i="5" l="1"/>
  <c r="BT44" i="5"/>
  <c r="BT43" i="5"/>
  <c r="BQ42" i="5"/>
  <c r="BN42" i="5"/>
  <c r="CC26" i="5"/>
  <c r="CC25" i="5"/>
  <c r="CC24" i="5"/>
  <c r="CC23" i="5"/>
  <c r="CC22" i="5"/>
  <c r="CC21" i="5"/>
  <c r="CC20" i="5"/>
  <c r="CC19" i="5"/>
  <c r="CC18" i="5"/>
  <c r="CC17" i="5"/>
  <c r="BT39" i="5"/>
  <c r="BT38" i="5"/>
  <c r="BT37" i="5"/>
  <c r="BT36" i="5"/>
  <c r="BT35" i="5"/>
  <c r="BT34" i="5"/>
  <c r="BT30" i="5"/>
  <c r="BT26" i="5"/>
  <c r="BT25" i="5"/>
  <c r="BT24" i="5"/>
  <c r="BT23" i="5"/>
  <c r="BT22" i="5"/>
  <c r="BT21" i="5"/>
  <c r="BT20" i="5"/>
  <c r="BT19" i="5"/>
  <c r="BT18" i="5"/>
  <c r="BT17" i="5"/>
  <c r="BT12" i="5"/>
  <c r="BT11" i="5"/>
  <c r="W29" i="5"/>
  <c r="W28" i="5"/>
  <c r="W27" i="5"/>
  <c r="W26" i="5"/>
  <c r="W25" i="5"/>
  <c r="W24" i="5"/>
  <c r="W23" i="5"/>
  <c r="W22" i="5"/>
  <c r="W19" i="5"/>
  <c r="W18" i="5"/>
  <c r="W8" i="5"/>
  <c r="W7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8" i="5"/>
  <c r="N7" i="5"/>
  <c r="CS13" i="7"/>
  <c r="CS12" i="7"/>
  <c r="CS11" i="7"/>
  <c r="CS10" i="7"/>
  <c r="CS9" i="7"/>
  <c r="CS8" i="7"/>
  <c r="CS7" i="7"/>
  <c r="CH34" i="7"/>
  <c r="CH33" i="7"/>
  <c r="CH32" i="7"/>
  <c r="CH31" i="7"/>
  <c r="CH30" i="7"/>
  <c r="CH29" i="7"/>
  <c r="CH28" i="7"/>
  <c r="BY34" i="7"/>
  <c r="BY33" i="7"/>
  <c r="BY32" i="7"/>
  <c r="BY31" i="7"/>
  <c r="BY30" i="7"/>
  <c r="BY29" i="7"/>
  <c r="BY28" i="7"/>
  <c r="BP34" i="7"/>
  <c r="BP33" i="7"/>
  <c r="BP32" i="7"/>
  <c r="BP31" i="7"/>
  <c r="BP30" i="7"/>
  <c r="BP29" i="7"/>
  <c r="BP28" i="7"/>
  <c r="BP22" i="7"/>
  <c r="BP21" i="7"/>
  <c r="BP20" i="7"/>
  <c r="BP15" i="7"/>
  <c r="BP14" i="7"/>
  <c r="BP13" i="7"/>
  <c r="BP8" i="7"/>
  <c r="BP7" i="7"/>
  <c r="AF42" i="7"/>
  <c r="AF41" i="7"/>
  <c r="AF40" i="7"/>
  <c r="W43" i="7"/>
  <c r="W42" i="7"/>
  <c r="W41" i="7"/>
  <c r="W40" i="7"/>
  <c r="N43" i="7"/>
  <c r="N42" i="7"/>
  <c r="N41" i="7"/>
  <c r="N40" i="7"/>
  <c r="N35" i="7"/>
  <c r="N34" i="7"/>
  <c r="N33" i="7"/>
  <c r="N32" i="7"/>
  <c r="N31" i="7"/>
  <c r="N30" i="7"/>
  <c r="N29" i="7"/>
  <c r="N28" i="7"/>
  <c r="N27" i="7"/>
  <c r="N26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V39" i="6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AT2" i="5"/>
  <c r="AP2" i="7"/>
  <c r="S25" i="6" l="1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N40" i="5" l="1"/>
  <c r="N39" i="5"/>
  <c r="N38" i="5"/>
  <c r="N37" i="5"/>
  <c r="N36" i="5"/>
  <c r="N35" i="5"/>
  <c r="N41" i="5"/>
  <c r="H6" i="5" l="1"/>
  <c r="H5" i="7"/>
  <c r="Z39" i="7" s="1"/>
  <c r="O5" i="6"/>
  <c r="A1" i="6"/>
  <c r="BN33" i="5" l="1"/>
  <c r="A1" i="5"/>
  <c r="BN29" i="5"/>
  <c r="A1" i="7"/>
  <c r="K5" i="7"/>
  <c r="H24" i="7"/>
  <c r="H39" i="7"/>
  <c r="BJ5" i="7"/>
  <c r="BJ11" i="7"/>
  <c r="BJ18" i="7"/>
  <c r="BJ26" i="7"/>
  <c r="BS26" i="7"/>
  <c r="CB26" i="7"/>
  <c r="CM5" i="7"/>
  <c r="Q39" i="7"/>
  <c r="Q6" i="5"/>
  <c r="H16" i="5"/>
  <c r="Q16" i="5"/>
  <c r="H34" i="5"/>
  <c r="BN16" i="5"/>
  <c r="BW16" i="5"/>
  <c r="BN10" i="5"/>
  <c r="K6" i="5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1" i="6"/>
  <c r="Y42" i="6"/>
  <c r="Y43" i="6"/>
  <c r="Y44" i="6"/>
  <c r="Y45" i="6"/>
  <c r="Y47" i="6"/>
  <c r="Y48" i="6"/>
  <c r="Y7" i="6"/>
  <c r="V41" i="6"/>
  <c r="V42" i="6"/>
  <c r="V43" i="6"/>
  <c r="V44" i="6"/>
  <c r="V45" i="6"/>
  <c r="V47" i="6"/>
  <c r="V48" i="6"/>
  <c r="BQ29" i="5" l="1"/>
  <c r="BQ33" i="5"/>
  <c r="BQ10" i="5"/>
  <c r="BZ16" i="5"/>
  <c r="BQ16" i="5"/>
  <c r="K34" i="5"/>
  <c r="T16" i="5"/>
  <c r="K16" i="5"/>
  <c r="T6" i="5"/>
  <c r="AC39" i="7"/>
  <c r="T39" i="7"/>
  <c r="CP5" i="7"/>
  <c r="CE26" i="7"/>
  <c r="BV26" i="7"/>
  <c r="BM26" i="7"/>
  <c r="BM18" i="7"/>
  <c r="BM11" i="7"/>
  <c r="BM5" i="7"/>
  <c r="K39" i="7"/>
  <c r="K24" i="7"/>
</calcChain>
</file>

<file path=xl/sharedStrings.xml><?xml version="1.0" encoding="utf-8"?>
<sst xmlns="http://schemas.openxmlformats.org/spreadsheetml/2006/main" count="300" uniqueCount="165">
  <si>
    <t>センサス番号</t>
    <rPh sb="4" eb="6">
      <t>バンゴウ</t>
    </rPh>
    <phoneticPr fontId="3"/>
  </si>
  <si>
    <t>【経営の規模（経営体当たり）】</t>
    <rPh sb="1" eb="3">
      <t>ケイエイ</t>
    </rPh>
    <rPh sb="4" eb="6">
      <t>キボ</t>
    </rPh>
    <rPh sb="7" eb="10">
      <t>ケイエイタイ</t>
    </rPh>
    <rPh sb="10" eb="11">
      <t>ア</t>
    </rPh>
    <phoneticPr fontId="3"/>
  </si>
  <si>
    <t>増減率(%)</t>
  </si>
  <si>
    <t>(円)</t>
    <rPh sb="0" eb="1">
      <t>エン</t>
    </rPh>
    <phoneticPr fontId="3"/>
  </si>
  <si>
    <t>(頭)</t>
    <rPh sb="0" eb="1">
      <t>エン</t>
    </rPh>
    <rPh sb="1" eb="2">
      <t>トウ</t>
    </rPh>
    <phoneticPr fontId="3"/>
  </si>
  <si>
    <t>物財費</t>
    <rPh sb="0" eb="2">
      <t>ブツザイ</t>
    </rPh>
    <rPh sb="2" eb="3">
      <t>ヒ</t>
    </rPh>
    <phoneticPr fontId="3"/>
  </si>
  <si>
    <t>種付料</t>
    <rPh sb="0" eb="2">
      <t>タネツ</t>
    </rPh>
    <rPh sb="2" eb="3">
      <t>リョウ</t>
    </rPh>
    <phoneticPr fontId="3"/>
  </si>
  <si>
    <t>流通飼料費</t>
    <rPh sb="0" eb="2">
      <t>リュウツウ</t>
    </rPh>
    <rPh sb="2" eb="5">
      <t>シリョウヒ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</si>
  <si>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</si>
  <si>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3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</si>
  <si>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</si>
  <si>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</si>
  <si>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3"/>
  </si>
  <si>
    <t>建物費</t>
    <rPh sb="0" eb="2">
      <t>タテモノ</t>
    </rPh>
    <rPh sb="2" eb="3">
      <t>ヒ</t>
    </rPh>
    <phoneticPr fontId="3"/>
  </si>
  <si>
    <t>自動車費</t>
    <rPh sb="0" eb="3">
      <t>ジドウシャ</t>
    </rPh>
    <rPh sb="3" eb="4">
      <t>ヒ</t>
    </rPh>
    <phoneticPr fontId="3"/>
  </si>
  <si>
    <t>農機具費</t>
    <rPh sb="0" eb="3">
      <t>ノウキグ</t>
    </rPh>
    <rPh sb="3" eb="4">
      <t>ヒ</t>
    </rPh>
    <phoneticPr fontId="3"/>
  </si>
  <si>
    <t>生産管理費</t>
    <rPh sb="0" eb="2">
      <t>セイサン</t>
    </rPh>
    <rPh sb="2" eb="4">
      <t>カンリ</t>
    </rPh>
    <rPh sb="4" eb="5">
      <t>ヒ</t>
    </rPh>
    <phoneticPr fontId="3"/>
  </si>
  <si>
    <t>(kg)</t>
    <rPh sb="0" eb="1">
      <t>エン</t>
    </rPh>
    <phoneticPr fontId="3"/>
  </si>
  <si>
    <t>労働費</t>
    <rPh sb="0" eb="3">
      <t>ロウドウヒ</t>
    </rPh>
    <phoneticPr fontId="3"/>
  </si>
  <si>
    <t>計</t>
    <rPh sb="0" eb="1">
      <t>ケイ</t>
    </rPh>
    <phoneticPr fontId="3"/>
  </si>
  <si>
    <t>調査始未償還残高</t>
    <rPh sb="0" eb="2">
      <t>チョウサ</t>
    </rPh>
    <rPh sb="2" eb="3">
      <t>ハジメ</t>
    </rPh>
    <rPh sb="3" eb="6">
      <t>ミショウカン</t>
    </rPh>
    <rPh sb="6" eb="8">
      <t>ザンダカ</t>
    </rPh>
    <phoneticPr fontId="3"/>
  </si>
  <si>
    <t>濃厚飼料</t>
    <rPh sb="0" eb="2">
      <t>ノウコウ</t>
    </rPh>
    <rPh sb="2" eb="4">
      <t>シリョウ</t>
    </rPh>
    <phoneticPr fontId="3"/>
  </si>
  <si>
    <t>費用合計</t>
    <rPh sb="0" eb="2">
      <t>ヒヨウ</t>
    </rPh>
    <rPh sb="2" eb="4">
      <t>ゴウケイ</t>
    </rPh>
    <phoneticPr fontId="3"/>
  </si>
  <si>
    <t>粗飼料</t>
    <rPh sb="0" eb="3">
      <t>ソシリョウ</t>
    </rPh>
    <phoneticPr fontId="3"/>
  </si>
  <si>
    <t>副産物価額</t>
    <rPh sb="0" eb="3">
      <t>フクサンブツ</t>
    </rPh>
    <rPh sb="3" eb="5">
      <t>カガク</t>
    </rPh>
    <phoneticPr fontId="3"/>
  </si>
  <si>
    <t>生産費</t>
    <rPh sb="0" eb="3">
      <t>セイサンヒ</t>
    </rPh>
    <phoneticPr fontId="3"/>
  </si>
  <si>
    <t>支払地代</t>
    <rPh sb="0" eb="2">
      <t>シハラ</t>
    </rPh>
    <rPh sb="2" eb="4">
      <t>チダイ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</si>
  <si>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</si>
  <si>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</si>
  <si>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家族</t>
    <rPh sb="0" eb="2">
      <t>カゾク</t>
    </rPh>
    <phoneticPr fontId="3"/>
  </si>
  <si>
    <t>雇用</t>
    <rPh sb="0" eb="2">
      <t>コヨウ</t>
    </rPh>
    <phoneticPr fontId="3"/>
  </si>
  <si>
    <t>合計</t>
    <rPh sb="0" eb="1">
      <t>ゴウ</t>
    </rPh>
    <rPh sb="1" eb="2">
      <t>ケイ</t>
    </rPh>
    <phoneticPr fontId="3"/>
  </si>
  <si>
    <t>(時間)</t>
    <rPh sb="0" eb="1">
      <t>エン</t>
    </rPh>
    <rPh sb="1" eb="3">
      <t>ジカン</t>
    </rPh>
    <phoneticPr fontId="3"/>
  </si>
  <si>
    <t>直接労働時間</t>
    <rPh sb="0" eb="2">
      <t>チョクセツ</t>
    </rPh>
    <rPh sb="2" eb="4">
      <t>ロウドウ</t>
    </rPh>
    <rPh sb="4" eb="6">
      <t>ジカン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</si>
  <si>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</si>
  <si>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3"/>
  </si>
  <si>
    <t>その他</t>
    <rPh sb="2" eb="3">
      <t>タ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</si>
  <si>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</si>
  <si>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自給牧草労働時間</t>
    <rPh sb="0" eb="2">
      <t>ジキュウ</t>
    </rPh>
    <rPh sb="2" eb="4">
      <t>ボクソウ</t>
    </rPh>
    <rPh sb="4" eb="6">
      <t>ロウドウ</t>
    </rPh>
    <rPh sb="6" eb="8">
      <t>ジカン</t>
    </rPh>
    <phoneticPr fontId="3"/>
  </si>
  <si>
    <t>単　　価(円)</t>
    <rPh sb="0" eb="1">
      <t>タン</t>
    </rPh>
    <rPh sb="3" eb="4">
      <t>アタイ</t>
    </rPh>
    <rPh sb="5" eb="6">
      <t>エン</t>
    </rPh>
    <phoneticPr fontId="3"/>
  </si>
  <si>
    <t>数　　量(kg)</t>
    <rPh sb="0" eb="1">
      <t>カズ</t>
    </rPh>
    <rPh sb="3" eb="4">
      <t>リョウ</t>
    </rPh>
    <phoneticPr fontId="3"/>
  </si>
  <si>
    <t>増減率(%)</t>
    <phoneticPr fontId="3"/>
  </si>
  <si>
    <t>販売</t>
    <rPh sb="0" eb="2">
      <t>ハンバイ</t>
    </rPh>
    <phoneticPr fontId="3"/>
  </si>
  <si>
    <t>自家農業仕向</t>
    <rPh sb="0" eb="2">
      <t>ジカ</t>
    </rPh>
    <rPh sb="2" eb="4">
      <t>ノウギョウ</t>
    </rPh>
    <rPh sb="4" eb="6">
      <t>シムケ</t>
    </rPh>
    <phoneticPr fontId="3"/>
  </si>
  <si>
    <t>穀類計</t>
    <rPh sb="0" eb="1">
      <t>コク</t>
    </rPh>
    <rPh sb="1" eb="2">
      <t>タグイ</t>
    </rPh>
    <rPh sb="2" eb="3">
      <t>ケイ</t>
    </rPh>
    <phoneticPr fontId="3"/>
  </si>
  <si>
    <t>大麦</t>
    <rPh sb="0" eb="2">
      <t>オオムギ</t>
    </rPh>
    <phoneticPr fontId="3"/>
  </si>
  <si>
    <t>植物性かす類</t>
    <rPh sb="0" eb="3">
      <t>ショクブツセイ</t>
    </rPh>
    <rPh sb="5" eb="6">
      <t>ルイ</t>
    </rPh>
    <phoneticPr fontId="3"/>
  </si>
  <si>
    <t>配合飼料</t>
    <rPh sb="0" eb="2">
      <t>ハイゴウ</t>
    </rPh>
    <rPh sb="2" eb="4">
      <t>シリョウ</t>
    </rPh>
    <phoneticPr fontId="3"/>
  </si>
  <si>
    <t>使用地面積(ａ)</t>
    <rPh sb="0" eb="2">
      <t>シヨウ</t>
    </rPh>
    <rPh sb="2" eb="3">
      <t>チ</t>
    </rPh>
    <rPh sb="3" eb="5">
      <t>メンセキ</t>
    </rPh>
    <phoneticPr fontId="3"/>
  </si>
  <si>
    <t>10ａ当たり地代(円)</t>
    <rPh sb="3" eb="4">
      <t>ア</t>
    </rPh>
    <rPh sb="6" eb="8">
      <t>チダイ</t>
    </rPh>
    <rPh sb="9" eb="10">
      <t>エン</t>
    </rPh>
    <phoneticPr fontId="3"/>
  </si>
  <si>
    <t>牛乳脱脂乳</t>
    <rPh sb="0" eb="2">
      <t>ギュウニュウ</t>
    </rPh>
    <rPh sb="2" eb="5">
      <t>ダッシニュウ</t>
    </rPh>
    <phoneticPr fontId="3"/>
  </si>
  <si>
    <t>所有地</t>
    <rPh sb="0" eb="3">
      <t>ショユウチ</t>
    </rPh>
    <phoneticPr fontId="3"/>
  </si>
  <si>
    <t>建物敷地</t>
    <rPh sb="0" eb="2">
      <t>タテモノ</t>
    </rPh>
    <rPh sb="2" eb="4">
      <t>シキチ</t>
    </rPh>
    <phoneticPr fontId="3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</si>
  <si>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3"/>
  </si>
  <si>
    <t>その他わら類計</t>
    <rPh sb="2" eb="3">
      <t>タ</t>
    </rPh>
    <rPh sb="5" eb="6">
      <t>ルイ</t>
    </rPh>
    <rPh sb="6" eb="7">
      <t>ケイ</t>
    </rPh>
    <phoneticPr fontId="3"/>
  </si>
  <si>
    <t>生牧草</t>
    <rPh sb="0" eb="1">
      <t>ナマ</t>
    </rPh>
    <rPh sb="1" eb="3">
      <t>ボクソウ</t>
    </rPh>
    <phoneticPr fontId="3"/>
  </si>
  <si>
    <t>放牧地</t>
    <rPh sb="0" eb="3">
      <t>ホウボクチ</t>
    </rPh>
    <phoneticPr fontId="3"/>
  </si>
  <si>
    <t>乾牧草</t>
    <rPh sb="0" eb="1">
      <t>イヌイ</t>
    </rPh>
    <rPh sb="1" eb="3">
      <t>ボクソウ</t>
    </rPh>
    <phoneticPr fontId="3"/>
  </si>
  <si>
    <t>採草地</t>
    <rPh sb="0" eb="3">
      <t>サイソウチ</t>
    </rPh>
    <phoneticPr fontId="3"/>
  </si>
  <si>
    <t>借入地</t>
    <rPh sb="0" eb="1">
      <t>カ</t>
    </rPh>
    <rPh sb="1" eb="2">
      <t>イ</t>
    </rPh>
    <rPh sb="2" eb="3">
      <t>チ</t>
    </rPh>
    <phoneticPr fontId="3"/>
  </si>
  <si>
    <t>償　却　費(円)</t>
    <rPh sb="0" eb="1">
      <t>ショウ</t>
    </rPh>
    <rPh sb="2" eb="3">
      <t>キャク</t>
    </rPh>
    <rPh sb="4" eb="5">
      <t>ヒ</t>
    </rPh>
    <rPh sb="6" eb="7">
      <t>エン</t>
    </rPh>
    <phoneticPr fontId="3"/>
  </si>
  <si>
    <t>うち処分差損失(円)</t>
    <rPh sb="2" eb="4">
      <t>ショブン</t>
    </rPh>
    <rPh sb="4" eb="5">
      <t>サ</t>
    </rPh>
    <rPh sb="5" eb="7">
      <t>ソンシツ</t>
    </rPh>
    <rPh sb="8" eb="9">
      <t>エン</t>
    </rPh>
    <phoneticPr fontId="3"/>
  </si>
  <si>
    <t>サイレージ</t>
    <phoneticPr fontId="3"/>
  </si>
  <si>
    <t>【作業別労働時間（子牛１頭当たり）】</t>
    <rPh sb="1" eb="4">
      <t>サギョウベツ</t>
    </rPh>
    <rPh sb="4" eb="6">
      <t>ロウドウ</t>
    </rPh>
    <rPh sb="6" eb="8">
      <t>ジカン</t>
    </rPh>
    <rPh sb="9" eb="11">
      <t>コウシ</t>
    </rPh>
    <rPh sb="12" eb="13">
      <t>トウ</t>
    </rPh>
    <rPh sb="13" eb="14">
      <t>ア</t>
    </rPh>
    <phoneticPr fontId="3"/>
  </si>
  <si>
    <t>【自給牧草（子牛１頭当たり）】</t>
    <rPh sb="1" eb="3">
      <t>ジキュウ</t>
    </rPh>
    <rPh sb="3" eb="5">
      <t>ボクソウ</t>
    </rPh>
    <rPh sb="6" eb="8">
      <t>コウシ</t>
    </rPh>
    <phoneticPr fontId="3"/>
  </si>
  <si>
    <t>【ＴＤＮ換算飼料給与量（子牛１頭当たり）】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2" eb="14">
      <t>コウシ</t>
    </rPh>
    <phoneticPr fontId="3"/>
  </si>
  <si>
    <t>飼養月平均繁殖雌牛頭数</t>
    <rPh sb="0" eb="2">
      <t>シヨウ</t>
    </rPh>
    <rPh sb="2" eb="5">
      <t>ツキヘイキン</t>
    </rPh>
    <rPh sb="5" eb="7">
      <t>ハンショク</t>
    </rPh>
    <rPh sb="7" eb="8">
      <t>メス</t>
    </rPh>
    <rPh sb="8" eb="9">
      <t>ウシ</t>
    </rPh>
    <rPh sb="9" eb="11">
      <t>トウスウ</t>
    </rPh>
    <phoneticPr fontId="3"/>
  </si>
  <si>
    <t>子牛販売頭数</t>
    <rPh sb="0" eb="2">
      <t>コウシ</t>
    </rPh>
    <rPh sb="2" eb="4">
      <t>ハンバイ</t>
    </rPh>
    <rPh sb="4" eb="6">
      <t>トウスウ</t>
    </rPh>
    <phoneticPr fontId="3"/>
  </si>
  <si>
    <t>【主産物（子牛１頭当たり）】</t>
    <rPh sb="1" eb="4">
      <t>シュサンブツ</t>
    </rPh>
    <rPh sb="5" eb="7">
      <t>コウシ</t>
    </rPh>
    <phoneticPr fontId="3"/>
  </si>
  <si>
    <t>月齢</t>
    <rPh sb="0" eb="2">
      <t>ゲツレイ</t>
    </rPh>
    <phoneticPr fontId="3"/>
  </si>
  <si>
    <t>償却月数</t>
    <rPh sb="0" eb="2">
      <t>ショウキャク</t>
    </rPh>
    <rPh sb="2" eb="4">
      <t>ツキスウ</t>
    </rPh>
    <phoneticPr fontId="3"/>
  </si>
  <si>
    <t>償却額</t>
    <rPh sb="0" eb="3">
      <t>ショウキャクガク</t>
    </rPh>
    <phoneticPr fontId="3"/>
  </si>
  <si>
    <t>(月)</t>
    <rPh sb="1" eb="2">
      <t>ツキ</t>
    </rPh>
    <phoneticPr fontId="3"/>
  </si>
  <si>
    <t>(円)</t>
    <rPh sb="0" eb="1">
      <t>エン</t>
    </rPh>
    <rPh sb="1" eb="2">
      <t>エン</t>
    </rPh>
    <phoneticPr fontId="3"/>
  </si>
  <si>
    <t>売却</t>
    <rPh sb="0" eb="2">
      <t>バイキャク</t>
    </rPh>
    <phoneticPr fontId="3"/>
  </si>
  <si>
    <t>頭数</t>
    <rPh sb="0" eb="2">
      <t>トウスウ</t>
    </rPh>
    <phoneticPr fontId="3"/>
  </si>
  <si>
    <t>(頭)</t>
    <rPh sb="1" eb="2">
      <t>トウ</t>
    </rPh>
    <phoneticPr fontId="3"/>
  </si>
  <si>
    <t>価額</t>
    <rPh sb="0" eb="2">
      <t>カガク</t>
    </rPh>
    <phoneticPr fontId="3"/>
  </si>
  <si>
    <t>【繁殖雌牛の概要（繁殖雌牛１頭当たり）】</t>
    <rPh sb="1" eb="3">
      <t>ハンショク</t>
    </rPh>
    <rPh sb="3" eb="4">
      <t>メス</t>
    </rPh>
    <rPh sb="6" eb="8">
      <t>ガイヨウ</t>
    </rPh>
    <rPh sb="9" eb="11">
      <t>ハンショク</t>
    </rPh>
    <rPh sb="11" eb="12">
      <t>メス</t>
    </rPh>
    <rPh sb="12" eb="13">
      <t>ウシ</t>
    </rPh>
    <rPh sb="14" eb="15">
      <t>トウ</t>
    </rPh>
    <rPh sb="15" eb="16">
      <t>ア</t>
    </rPh>
    <rPh sb="16" eb="17">
      <t>タイア</t>
    </rPh>
    <phoneticPr fontId="3"/>
  </si>
  <si>
    <t>注：売却頭数は１経営体当たり</t>
    <rPh sb="0" eb="1">
      <t>チュウ</t>
    </rPh>
    <rPh sb="2" eb="4">
      <t>バイキャク</t>
    </rPh>
    <rPh sb="4" eb="6">
      <t>トウスウ</t>
    </rPh>
    <rPh sb="8" eb="11">
      <t>ケイエイタイ</t>
    </rPh>
    <rPh sb="11" eb="12">
      <t>ア</t>
    </rPh>
    <phoneticPr fontId="3"/>
  </si>
  <si>
    <t>とうもろこし</t>
    <phoneticPr fontId="3"/>
  </si>
  <si>
    <t>ぬか・ふすま</t>
    <phoneticPr fontId="3"/>
  </si>
  <si>
    <t>ＴＭＲ</t>
    <phoneticPr fontId="3"/>
  </si>
  <si>
    <t>デントコーン</t>
    <phoneticPr fontId="3"/>
  </si>
  <si>
    <t>イタリアンライグラス</t>
    <phoneticPr fontId="3"/>
  </si>
  <si>
    <t>まぜまき</t>
    <phoneticPr fontId="3"/>
  </si>
  <si>
    <t>【流通飼料（子牛１頭当たり）】</t>
    <rPh sb="1" eb="3">
      <t>リュウツウ</t>
    </rPh>
    <rPh sb="3" eb="5">
      <t>シリョウ</t>
    </rPh>
    <rPh sb="6" eb="8">
      <t>コウシ</t>
    </rPh>
    <phoneticPr fontId="3"/>
  </si>
  <si>
    <t>【物件税及び公課諸負担（子牛１頭当たり）】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rPh sb="12" eb="14">
      <t>コウシ</t>
    </rPh>
    <phoneticPr fontId="3"/>
  </si>
  <si>
    <t>【減価償却額・資本額（子牛１頭当たり）】</t>
    <rPh sb="1" eb="3">
      <t>ゲンカ</t>
    </rPh>
    <rPh sb="3" eb="6">
      <t>ショウキャクガク</t>
    </rPh>
    <rPh sb="7" eb="10">
      <t>シホンガク</t>
    </rPh>
    <rPh sb="11" eb="13">
      <t>コウシ</t>
    </rPh>
    <phoneticPr fontId="3"/>
  </si>
  <si>
    <t>資　本　額(円)</t>
    <rPh sb="0" eb="1">
      <t>シ</t>
    </rPh>
    <rPh sb="2" eb="3">
      <t>ホン</t>
    </rPh>
    <rPh sb="4" eb="5">
      <t>ガク</t>
    </rPh>
    <rPh sb="6" eb="7">
      <t>エン</t>
    </rPh>
    <phoneticPr fontId="3"/>
  </si>
  <si>
    <t>【副産物（きゅう肥）（子牛１頭当たり）】</t>
    <rPh sb="1" eb="4">
      <t>フクサンブツ</t>
    </rPh>
    <rPh sb="8" eb="9">
      <t>ヒ</t>
    </rPh>
    <rPh sb="11" eb="13">
      <t>コウシ</t>
    </rPh>
    <phoneticPr fontId="3"/>
  </si>
  <si>
    <t>増減率(%)</t>
    <phoneticPr fontId="3"/>
  </si>
  <si>
    <t>(kg)</t>
    <phoneticPr fontId="3"/>
  </si>
  <si>
    <t>(円)</t>
    <rPh sb="1" eb="2">
      <t>エン</t>
    </rPh>
    <phoneticPr fontId="3"/>
  </si>
  <si>
    <t>販売時生体重</t>
    <rPh sb="0" eb="3">
      <t>ハンバイジ</t>
    </rPh>
    <rPh sb="3" eb="6">
      <t>セイタイジュウ</t>
    </rPh>
    <phoneticPr fontId="3"/>
  </si>
  <si>
    <t>評価額</t>
    <rPh sb="0" eb="3">
      <t>ヒョウカガク</t>
    </rPh>
    <phoneticPr fontId="3"/>
  </si>
  <si>
    <t>ほ育･育成期間</t>
    <rPh sb="1" eb="2">
      <t>イク</t>
    </rPh>
    <rPh sb="3" eb="5">
      <t>イクセイ</t>
    </rPh>
    <rPh sb="5" eb="7">
      <t>キカン</t>
    </rPh>
    <phoneticPr fontId="3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</si>
  <si>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3"/>
  </si>
  <si>
    <t>うち処分差損失</t>
    <rPh sb="2" eb="4">
      <t>ショブン</t>
    </rPh>
    <rPh sb="4" eb="5">
      <t>サ</t>
    </rPh>
    <rPh sb="5" eb="7">
      <t>ソンシツ</t>
    </rPh>
    <phoneticPr fontId="3"/>
  </si>
  <si>
    <t>光熱動力費</t>
    <rPh sb="0" eb="2">
      <t>コウネツ</t>
    </rPh>
    <rPh sb="2" eb="5">
      <t>ドウリョクヒ</t>
    </rPh>
    <phoneticPr fontId="3"/>
  </si>
  <si>
    <t>その他の諸材料</t>
    <rPh sb="2" eb="3">
      <t>タ</t>
    </rPh>
    <rPh sb="4" eb="5">
      <t>ショ</t>
    </rPh>
    <rPh sb="5" eb="7">
      <t>ザイリョウ</t>
    </rPh>
    <phoneticPr fontId="3"/>
  </si>
  <si>
    <t>物件税</t>
    <rPh sb="0" eb="1">
      <t>モノ</t>
    </rPh>
    <rPh sb="1" eb="2">
      <t>ケン</t>
    </rPh>
    <rPh sb="2" eb="3">
      <t>ゼイ</t>
    </rPh>
    <phoneticPr fontId="3"/>
  </si>
  <si>
    <t>公課諸負担</t>
    <rPh sb="0" eb="2">
      <t>コウカ</t>
    </rPh>
    <rPh sb="2" eb="3">
      <t>ショ</t>
    </rPh>
    <rPh sb="3" eb="5">
      <t>フタン</t>
    </rPh>
    <phoneticPr fontId="3"/>
  </si>
  <si>
    <t>区　　　　分</t>
    <rPh sb="0" eb="1">
      <t>ク</t>
    </rPh>
    <rPh sb="5" eb="6">
      <t>ブン</t>
    </rPh>
    <phoneticPr fontId="3"/>
  </si>
  <si>
    <t>単位</t>
    <rPh sb="0" eb="2">
      <t>タンイ</t>
    </rPh>
    <phoneticPr fontId="3"/>
  </si>
  <si>
    <t>構成比</t>
    <rPh sb="0" eb="3">
      <t>コウセイヒ</t>
    </rPh>
    <phoneticPr fontId="3"/>
  </si>
  <si>
    <t>増減率</t>
    <rPh sb="0" eb="2">
      <t>ゾウゲン</t>
    </rPh>
    <rPh sb="2" eb="3">
      <t>リツ</t>
    </rPh>
    <phoneticPr fontId="3"/>
  </si>
  <si>
    <t>増減</t>
    <rPh sb="0" eb="2">
      <t>ゾウゲン</t>
    </rPh>
    <phoneticPr fontId="3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</si>
  <si>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3"/>
  </si>
  <si>
    <t>（％）</t>
    <phoneticPr fontId="3"/>
  </si>
  <si>
    <t>物財費</t>
    <rPh sb="0" eb="1">
      <t>ブツ</t>
    </rPh>
    <rPh sb="1" eb="2">
      <t>ザイ</t>
    </rPh>
    <rPh sb="2" eb="3">
      <t>ヒ</t>
    </rPh>
    <phoneticPr fontId="3"/>
  </si>
  <si>
    <t>円</t>
    <rPh sb="0" eb="1">
      <t>エン</t>
    </rPh>
    <phoneticPr fontId="3"/>
  </si>
  <si>
    <t>〃</t>
  </si>
  <si>
    <t>その他諸材料費</t>
    <rPh sb="2" eb="3">
      <t>タ</t>
    </rPh>
    <rPh sb="3" eb="7">
      <t>ショザイリョウヒ</t>
    </rPh>
    <phoneticPr fontId="3"/>
  </si>
  <si>
    <t>獣医師料・医薬品費</t>
    <rPh sb="0" eb="1">
      <t>ジュウ</t>
    </rPh>
    <rPh sb="1" eb="3">
      <t>イシ</t>
    </rPh>
    <rPh sb="3" eb="4">
      <t>リョウ</t>
    </rPh>
    <rPh sb="5" eb="8">
      <t>イヤクヒン</t>
    </rPh>
    <rPh sb="8" eb="9">
      <t>ヒ</t>
    </rPh>
    <phoneticPr fontId="3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</si>
  <si>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3"/>
  </si>
  <si>
    <t>生産管理費</t>
    <rPh sb="0" eb="2">
      <t>セイサン</t>
    </rPh>
    <rPh sb="2" eb="5">
      <t>カンリヒ</t>
    </rPh>
    <phoneticPr fontId="3"/>
  </si>
  <si>
    <t>うち家族労働費</t>
    <rPh sb="2" eb="4">
      <t>カゾク</t>
    </rPh>
    <rPh sb="4" eb="7">
      <t>ロウドウヒ</t>
    </rPh>
    <phoneticPr fontId="3"/>
  </si>
  <si>
    <t>支払利子</t>
    <rPh sb="0" eb="2">
      <t>シハライ</t>
    </rPh>
    <rPh sb="2" eb="4">
      <t>リシ</t>
    </rPh>
    <phoneticPr fontId="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</si>
  <si>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</si>
  <si>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自作地地代</t>
    <rPh sb="0" eb="3">
      <t>ジサクチ</t>
    </rPh>
    <rPh sb="3" eb="5">
      <t>チダイ</t>
    </rPh>
    <phoneticPr fontId="3"/>
  </si>
  <si>
    <t>労働時間</t>
    <rPh sb="0" eb="2">
      <t>ロウドウ</t>
    </rPh>
    <rPh sb="2" eb="4">
      <t>ジカン</t>
    </rPh>
    <phoneticPr fontId="3"/>
  </si>
  <si>
    <t>時間</t>
    <rPh sb="0" eb="2">
      <t>ジカン</t>
    </rPh>
    <phoneticPr fontId="3"/>
  </si>
  <si>
    <t>うち家族労働時間</t>
    <rPh sb="2" eb="4">
      <t>カゾク</t>
    </rPh>
    <rPh sb="4" eb="6">
      <t>ロウドウ</t>
    </rPh>
    <rPh sb="6" eb="8">
      <t>ジカン</t>
    </rPh>
    <phoneticPr fontId="3"/>
  </si>
  <si>
    <t>〃</t>
    <phoneticPr fontId="3"/>
  </si>
  <si>
    <t>うち直接労働時間</t>
    <rPh sb="2" eb="4">
      <t>チョクセツ</t>
    </rPh>
    <rPh sb="4" eb="6">
      <t>ロウドウ</t>
    </rPh>
    <rPh sb="6" eb="8">
      <t>ジカン</t>
    </rPh>
    <phoneticPr fontId="3"/>
  </si>
  <si>
    <t>粗収益</t>
    <rPh sb="0" eb="3">
      <t>ソシュウエキ</t>
    </rPh>
    <phoneticPr fontId="3"/>
  </si>
  <si>
    <t>所得</t>
    <rPh sb="0" eb="2">
      <t>ショトク</t>
    </rPh>
    <phoneticPr fontId="3"/>
  </si>
  <si>
    <t>１日当たり家族労働報酬</t>
    <rPh sb="1" eb="2">
      <t>ニチ</t>
    </rPh>
    <rPh sb="2" eb="3">
      <t>ア</t>
    </rPh>
    <rPh sb="5" eb="7">
      <t>カゾク</t>
    </rPh>
    <rPh sb="7" eb="9">
      <t>ロウドウ</t>
    </rPh>
    <rPh sb="9" eb="11">
      <t>ホウシュウ</t>
    </rPh>
    <phoneticPr fontId="3"/>
  </si>
  <si>
    <t>（１経営体当たり）</t>
    <rPh sb="2" eb="5">
      <t>ケイエイタイ</t>
    </rPh>
    <rPh sb="5" eb="6">
      <t>ア</t>
    </rPh>
    <phoneticPr fontId="3"/>
  </si>
  <si>
    <t>頭</t>
    <rPh sb="0" eb="1">
      <t>トウ</t>
    </rPh>
    <phoneticPr fontId="3"/>
  </si>
  <si>
    <t>【生産費（子牛１頭当たり）】</t>
    <rPh sb="1" eb="4">
      <t>セイサンヒ</t>
    </rPh>
    <rPh sb="5" eb="7">
      <t>コウシ</t>
    </rPh>
    <rPh sb="8" eb="9">
      <t>トウ</t>
    </rPh>
    <rPh sb="9" eb="10">
      <t>ア</t>
    </rPh>
    <phoneticPr fontId="3"/>
  </si>
  <si>
    <t>飼料費</t>
    <rPh sb="0" eb="2">
      <t>シリョウ</t>
    </rPh>
    <rPh sb="2" eb="3">
      <t>ヒ</t>
    </rPh>
    <phoneticPr fontId="3"/>
  </si>
  <si>
    <t>繁殖雌牛償却費</t>
    <rPh sb="0" eb="2">
      <t>ハンショク</t>
    </rPh>
    <rPh sb="3" eb="4">
      <t>ニュウギュウ</t>
    </rPh>
    <rPh sb="4" eb="7">
      <t>ショウキャクヒ</t>
    </rPh>
    <phoneticPr fontId="3"/>
  </si>
  <si>
    <t>子牛　概要</t>
    <rPh sb="0" eb="2">
      <t>コウシ</t>
    </rPh>
    <rPh sb="3" eb="5">
      <t>ガイヨウ</t>
    </rPh>
    <phoneticPr fontId="3"/>
  </si>
  <si>
    <t>ほ育・育成期間</t>
    <rPh sb="1" eb="2">
      <t>イク</t>
    </rPh>
    <rPh sb="3" eb="5">
      <t>イクセイ</t>
    </rPh>
    <rPh sb="5" eb="7">
      <t>キカン</t>
    </rPh>
    <phoneticPr fontId="3"/>
  </si>
  <si>
    <t>月</t>
    <rPh sb="0" eb="1">
      <t>ツキ</t>
    </rPh>
    <phoneticPr fontId="3"/>
  </si>
  <si>
    <t>kg</t>
    <phoneticPr fontId="3"/>
  </si>
  <si>
    <t>販売価格</t>
    <rPh sb="0" eb="2">
      <t>ハンバイ</t>
    </rPh>
    <rPh sb="2" eb="4">
      <t>カカク</t>
    </rPh>
    <phoneticPr fontId="3"/>
  </si>
  <si>
    <t>（繁殖雌牛１頭当たり）</t>
    <rPh sb="1" eb="3">
      <t>ハンショク</t>
    </rPh>
    <rPh sb="4" eb="5">
      <t>ウシ</t>
    </rPh>
    <rPh sb="6" eb="7">
      <t>トウ</t>
    </rPh>
    <rPh sb="7" eb="8">
      <t>ア</t>
    </rPh>
    <phoneticPr fontId="3"/>
  </si>
  <si>
    <t>飼養月平均繁殖雌牛頭数</t>
    <rPh sb="0" eb="2">
      <t>シヨウ</t>
    </rPh>
    <rPh sb="2" eb="3">
      <t>ツキ</t>
    </rPh>
    <rPh sb="3" eb="5">
      <t>ヘイキン</t>
    </rPh>
    <rPh sb="5" eb="7">
      <t>ハンショク</t>
    </rPh>
    <rPh sb="8" eb="9">
      <t>ウシ</t>
    </rPh>
    <rPh sb="9" eb="11">
      <t>トウスウ</t>
    </rPh>
    <phoneticPr fontId="3"/>
  </si>
  <si>
    <t>販売時生体重</t>
    <rPh sb="0" eb="2">
      <t>ハンバイ</t>
    </rPh>
    <rPh sb="2" eb="3">
      <t>ジ</t>
    </rPh>
    <rPh sb="3" eb="5">
      <t>セイタイ</t>
    </rPh>
    <rPh sb="5" eb="6">
      <t>ジュウ</t>
    </rPh>
    <phoneticPr fontId="3"/>
  </si>
  <si>
    <t>繁殖牛
概　要</t>
    <rPh sb="0" eb="2">
      <t>ハンショク</t>
    </rPh>
    <rPh sb="2" eb="3">
      <t>ギュウ</t>
    </rPh>
    <rPh sb="4" eb="5">
      <t>オオム</t>
    </rPh>
    <rPh sb="6" eb="7">
      <t>ヨウ</t>
    </rPh>
    <phoneticPr fontId="3"/>
  </si>
  <si>
    <t>労賃単価</t>
    <rPh sb="0" eb="2">
      <t>ロウチン</t>
    </rPh>
    <rPh sb="2" eb="4">
      <t>タンカ</t>
    </rPh>
    <phoneticPr fontId="3"/>
  </si>
  <si>
    <t>光熱動力費</t>
    <rPh sb="0" eb="1">
      <t>コウ</t>
    </rPh>
    <rPh sb="2" eb="4">
      <t>ドウリョク</t>
    </rPh>
    <rPh sb="4" eb="5">
      <t>ヒ</t>
    </rPh>
    <phoneticPr fontId="3"/>
  </si>
  <si>
    <t>飼料費</t>
    <rPh sb="0" eb="3">
      <t>シリョウヒ</t>
    </rPh>
    <phoneticPr fontId="3"/>
  </si>
  <si>
    <t>労働費（支払賃金）</t>
    <rPh sb="0" eb="3">
      <t>ロウドウヒ</t>
    </rPh>
    <rPh sb="4" eb="6">
      <t>シハラ</t>
    </rPh>
    <rPh sb="6" eb="8">
      <t>チンギン</t>
    </rPh>
    <phoneticPr fontId="3"/>
  </si>
  <si>
    <t>労働費（家族労働）</t>
    <rPh sb="0" eb="3">
      <t>ロウドウヒ</t>
    </rPh>
    <rPh sb="4" eb="6">
      <t>カゾク</t>
    </rPh>
    <rPh sb="6" eb="8">
      <t>ロウドウ</t>
    </rPh>
    <phoneticPr fontId="3"/>
  </si>
  <si>
    <t>【費用合計（購入）（子牛１頭当たり）】</t>
    <rPh sb="1" eb="3">
      <t>ヒヨウ</t>
    </rPh>
    <rPh sb="3" eb="5">
      <t>ゴウケイ</t>
    </rPh>
    <rPh sb="6" eb="8">
      <t>コウニュウ</t>
    </rPh>
    <rPh sb="10" eb="12">
      <t>コウシ</t>
    </rPh>
    <rPh sb="13" eb="14">
      <t>トウ</t>
    </rPh>
    <rPh sb="14" eb="15">
      <t>ア</t>
    </rPh>
    <phoneticPr fontId="3"/>
  </si>
  <si>
    <t>【費用合計（自給）（子牛１頭当たり）】</t>
    <rPh sb="1" eb="3">
      <t>ヒヨウ</t>
    </rPh>
    <rPh sb="3" eb="5">
      <t>ゴウケイ</t>
    </rPh>
    <rPh sb="6" eb="8">
      <t>ジキュウ</t>
    </rPh>
    <rPh sb="10" eb="12">
      <t>コウシ</t>
    </rPh>
    <rPh sb="13" eb="14">
      <t>トウ</t>
    </rPh>
    <rPh sb="14" eb="15">
      <t>ア</t>
    </rPh>
    <phoneticPr fontId="3"/>
  </si>
  <si>
    <t>放牧時間</t>
    <rPh sb="0" eb="2">
      <t>ホウボク</t>
    </rPh>
    <rPh sb="2" eb="4">
      <t>ジカン</t>
    </rPh>
    <phoneticPr fontId="3"/>
  </si>
  <si>
    <t>(時間)</t>
    <rPh sb="1" eb="3">
      <t>ジカン</t>
    </rPh>
    <phoneticPr fontId="3"/>
  </si>
  <si>
    <t>増減率(%)</t>
    <phoneticPr fontId="3"/>
  </si>
  <si>
    <t>給与量(kg)</t>
    <rPh sb="0" eb="2">
      <t>キュウヨ</t>
    </rPh>
    <rPh sb="2" eb="3">
      <t>リョウ</t>
    </rPh>
    <phoneticPr fontId="3"/>
  </si>
  <si>
    <t>運動場</t>
    <rPh sb="0" eb="3">
      <t>ウンドウジョウ</t>
    </rPh>
    <phoneticPr fontId="3"/>
  </si>
  <si>
    <t>牧草栽培</t>
    <rPh sb="0" eb="2">
      <t>ボクソウ</t>
    </rPh>
    <rPh sb="2" eb="4">
      <t>サイバイ</t>
    </rPh>
    <phoneticPr fontId="3"/>
  </si>
  <si>
    <t>【自給牧草の生産に要した費用（経営体当たり）】</t>
    <rPh sb="1" eb="3">
      <t>ジキュウ</t>
    </rPh>
    <rPh sb="3" eb="5">
      <t>ボクソウ</t>
    </rPh>
    <rPh sb="6" eb="8">
      <t>セイサン</t>
    </rPh>
    <rPh sb="9" eb="10">
      <t>ヨウ</t>
    </rPh>
    <rPh sb="12" eb="14">
      <t>ヒヨウ</t>
    </rPh>
    <rPh sb="15" eb="18">
      <t>ケイエイタイ</t>
    </rPh>
    <rPh sb="18" eb="19">
      <t>ア</t>
    </rPh>
    <phoneticPr fontId="3"/>
  </si>
  <si>
    <t>【借入金（経営体当たり）】</t>
    <rPh sb="1" eb="4">
      <t>カリイレキン</t>
    </rPh>
    <rPh sb="5" eb="8">
      <t>ケイエイタイ</t>
    </rPh>
    <phoneticPr fontId="3"/>
  </si>
  <si>
    <t>【地代（経営体当たり）】</t>
    <rPh sb="1" eb="3">
      <t>チダイ</t>
    </rPh>
    <rPh sb="4" eb="7">
      <t>ケイエイタイ</t>
    </rPh>
    <phoneticPr fontId="3"/>
  </si>
  <si>
    <t>備考欄</t>
    <rPh sb="0" eb="3">
      <t>ビコウラン</t>
    </rPh>
    <phoneticPr fontId="3"/>
  </si>
  <si>
    <t>【自給牧草の生産（経営体当たり）】</t>
    <rPh sb="1" eb="3">
      <t>ジキュウ</t>
    </rPh>
    <rPh sb="3" eb="5">
      <t>ボクソウ</t>
    </rPh>
    <rPh sb="6" eb="8">
      <t>セイサン</t>
    </rPh>
    <rPh sb="9" eb="12">
      <t>ケイエイタイ</t>
    </rPh>
    <phoneticPr fontId="3"/>
  </si>
  <si>
    <t>作付面積計</t>
    <rPh sb="0" eb="2">
      <t>サクツケ</t>
    </rPh>
    <rPh sb="2" eb="4">
      <t>メンセキ</t>
    </rPh>
    <rPh sb="4" eb="5">
      <t>ケイ</t>
    </rPh>
    <phoneticPr fontId="3"/>
  </si>
  <si>
    <t>(ａ)</t>
    <phoneticPr fontId="3"/>
  </si>
  <si>
    <t>収穫量計</t>
    <rPh sb="0" eb="3">
      <t>シュウカクリョウ</t>
    </rPh>
    <rPh sb="3" eb="4">
      <t>ケイ</t>
    </rPh>
    <phoneticPr fontId="3"/>
  </si>
  <si>
    <t>放牧場面積</t>
    <rPh sb="0" eb="2">
      <t>ホウボク</t>
    </rPh>
    <rPh sb="2" eb="3">
      <t>ジョウ</t>
    </rPh>
    <rPh sb="3" eb="5">
      <t>メンセキ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</si>
</sst>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#0&quot;年&quot;;&quot;???&quot;;"/>
    <numFmt numFmtId="177" formatCode="#0&quot;年&quot;"/>
    <numFmt numFmtId="178" formatCode="###\ ###\ ###\ ##0;\-###\ ###\ ###\ ##0;0"/>
    <numFmt numFmtId="179" formatCode="??0.0;\-??0.0;0.0"/>
    <numFmt numFmtId="180" formatCode="###\ ###\ ##0.00;\-###\ ###\ ##0.00;0.00"/>
    <numFmt numFmtId="181" formatCode="###\ ###\ ##0.0;\-###\ ###\ ##0.0;0.0"/>
    <numFmt numFmtId="182" formatCode="###\ ###\ ##0.0"/>
    <numFmt numFmtId="183" formatCode="###\ ###\ ###\ ##0;\-###\ ###\ ###\ ##0;"/>
    <numFmt numFmtId="184" formatCode="###\ ###\ ##0.00;\-###\ ###\ ##0.00;"/>
    <numFmt numFmtId="185" formatCode="###\ ###\ ##0"/>
    <numFmt numFmtId="186" formatCode="#\ ##0.0"/>
    <numFmt numFmtId="187" formatCode="#,##0.0;[Red]\-#,##0.0"/>
    <numFmt numFmtId="188" formatCode="#,##0.0"/>
    <numFmt numFmtId="189" formatCode="#,##0.00_);[Red]\(#,##0.00\)"/>
    <numFmt numFmtId="190" formatCode="#,##0.0;\-??0.0;0.0"/>
  </numFmts>
  <fonts count="1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  <scheme val="major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8"/>
      <color theme="1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8"/>
      <color theme="1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1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/>
      <top/>
      <bottom/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 diagonalDown="1">
      <left/>
      <right style="thin">
        <color indexed="64"/>
      </right>
      <top/>
      <bottom/>
      <diagonal style="hair">
        <color indexed="64"/>
      </diagonal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double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double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double">
        <color indexed="64"/>
      </bottom>
      <diagonal style="hair">
        <color indexed="64"/>
      </diagonal>
    </border>
    <border diagonalDown="1">
      <left style="hair">
        <color indexed="64"/>
      </left>
      <right/>
      <top/>
      <bottom style="hair">
        <color indexed="64"/>
      </bottom>
      <diagonal style="hair">
        <color indexed="64"/>
      </diagonal>
    </border>
    <border diagonalDown="1">
      <left/>
      <right/>
      <top/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>
      <alignment vertical="center"/>
    </xf>
    <xf numFmtId="0" fontId="7" fillId="0" borderId="0"/>
    <xf numFmtId="0" fontId="1" fillId="0" borderId="0"/>
    <xf numFmtId="0" fontId="1" fillId="0" borderId="0"/>
    <xf numFmtId="38" fontId="1" fillId="0" borderId="0" applyFont="0" applyFill="0" applyBorder="0" applyAlignment="0" applyProtection="0">
      <alignment vertical="center"/>
    </xf>
  </cellStyleXfs>
  <cellXfs count="61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49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right" vertical="center"/>
    </xf>
    <xf numFmtId="179" fontId="2" fillId="0" borderId="0" xfId="0" applyNumberFormat="1" applyFont="1" applyAlignment="1">
      <alignment shrinkToFit="1"/>
    </xf>
    <xf numFmtId="0" fontId="2" fillId="0" borderId="2" xfId="0" applyFont="1" applyBorder="1">
      <alignment vertical="center"/>
    </xf>
    <xf numFmtId="0" fontId="8" fillId="0" borderId="0" xfId="0" applyFont="1">
      <alignment vertical="center"/>
    </xf>
    <xf numFmtId="0" fontId="2" fillId="0" borderId="49" xfId="0" applyFont="1" applyBorder="1" applyAlignment="1">
      <alignment horizontal="distributed" vertical="center"/>
    </xf>
    <xf numFmtId="0" fontId="2" fillId="0" borderId="50" xfId="0" applyFont="1" applyBorder="1" applyAlignment="1">
      <alignment horizontal="distributed" vertical="center"/>
    </xf>
    <xf numFmtId="0" fontId="2" fillId="0" borderId="30" xfId="0" applyFont="1" applyBorder="1" applyAlignment="1">
      <alignment horizontal="distributed" vertical="center"/>
    </xf>
    <xf numFmtId="0" fontId="2" fillId="0" borderId="59" xfId="0" applyFont="1" applyBorder="1" applyAlignment="1">
      <alignment horizontal="distributed" vertical="center"/>
    </xf>
    <xf numFmtId="0" fontId="2" fillId="0" borderId="58" xfId="0" applyFont="1" applyBorder="1">
      <alignment vertical="center"/>
    </xf>
    <xf numFmtId="0" fontId="2" fillId="0" borderId="38" xfId="0" applyFont="1" applyBorder="1" applyAlignment="1">
      <alignment vertical="center" shrinkToFit="1"/>
    </xf>
    <xf numFmtId="0" fontId="2" fillId="0" borderId="22" xfId="0" applyFont="1" applyBorder="1" applyAlignment="1">
      <alignment vertical="center" shrinkToFit="1"/>
    </xf>
    <xf numFmtId="178" fontId="2" fillId="0" borderId="0" xfId="0" applyNumberFormat="1" applyFont="1" applyAlignment="1">
      <alignment horizontal="distributed" shrinkToFit="1"/>
    </xf>
    <xf numFmtId="179" fontId="2" fillId="0" borderId="0" xfId="0" applyNumberFormat="1" applyFont="1" applyAlignment="1">
      <alignment horizontal="distributed" shrinkToFit="1"/>
    </xf>
    <xf numFmtId="0" fontId="6" fillId="0" borderId="49" xfId="0" applyFont="1" applyBorder="1" applyAlignment="1">
      <alignment horizontal="distributed" vertical="center" textRotation="255" shrinkToFit="1"/>
    </xf>
    <xf numFmtId="0" fontId="6" fillId="0" borderId="59" xfId="0" applyFont="1" applyBorder="1" applyAlignment="1">
      <alignment horizontal="distributed" vertical="center" textRotation="255" shrinkToFit="1"/>
    </xf>
    <xf numFmtId="0" fontId="2" fillId="0" borderId="58" xfId="0" applyFont="1" applyBorder="1" applyAlignment="1">
      <alignment horizontal="distributed" vertical="center" textRotation="255"/>
    </xf>
    <xf numFmtId="0" fontId="2" fillId="0" borderId="24" xfId="0" applyFont="1" applyBorder="1" applyAlignment="1">
      <alignment vertical="center" shrinkToFi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9" fillId="0" borderId="0" xfId="0" applyFont="1">
      <alignment vertical="center"/>
    </xf>
    <xf numFmtId="176" fontId="2" fillId="0" borderId="0" xfId="0" quotePrefix="1" applyNumberFormat="1" applyFont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 applyAlignment="1">
      <alignment vertical="center" wrapText="1" shrinkToFit="1"/>
    </xf>
    <xf numFmtId="178" fontId="2" fillId="0" borderId="0" xfId="0" applyNumberFormat="1" applyFont="1" applyAlignment="1">
      <alignment shrinkToFit="1"/>
    </xf>
    <xf numFmtId="0" fontId="2" fillId="0" borderId="0" xfId="0" applyFont="1" applyAlignment="1">
      <alignment vertical="center" shrinkToFit="1"/>
    </xf>
    <xf numFmtId="0" fontId="2" fillId="0" borderId="50" xfId="0" applyFont="1" applyBorder="1">
      <alignment vertical="center"/>
    </xf>
    <xf numFmtId="0" fontId="2" fillId="0" borderId="30" xfId="0" applyFont="1" applyBorder="1" applyAlignment="1">
      <alignment vertical="center" shrinkToFit="1"/>
    </xf>
    <xf numFmtId="180" fontId="2" fillId="0" borderId="0" xfId="0" applyNumberFormat="1" applyFont="1" applyAlignment="1">
      <alignment shrinkToFit="1"/>
    </xf>
    <xf numFmtId="181" fontId="2" fillId="0" borderId="0" xfId="0" applyNumberFormat="1" applyFont="1" applyAlignment="1">
      <alignment shrinkToFit="1"/>
    </xf>
    <xf numFmtId="0" fontId="2" fillId="0" borderId="0" xfId="0" applyFont="1" applyAlignment="1">
      <alignment vertical="center" justifyLastLine="1"/>
    </xf>
    <xf numFmtId="0" fontId="2" fillId="0" borderId="14" xfId="0" applyFont="1" applyBorder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0" fontId="2" fillId="0" borderId="10" xfId="0" applyFont="1" applyBorder="1" applyAlignment="1">
      <alignment vertical="center" shrinkToFit="1"/>
    </xf>
    <xf numFmtId="178" fontId="2" fillId="0" borderId="0" xfId="0" applyNumberFormat="1" applyFont="1" applyAlignment="1">
      <alignment horizontal="center" shrinkToFit="1"/>
    </xf>
    <xf numFmtId="179" fontId="2" fillId="0" borderId="0" xfId="0" applyNumberFormat="1" applyFont="1" applyAlignment="1">
      <alignment horizontal="center" shrinkToFit="1"/>
    </xf>
    <xf numFmtId="0" fontId="2" fillId="0" borderId="70" xfId="0" applyFont="1" applyBorder="1" applyAlignment="1">
      <alignment vertical="center" shrinkToFit="1"/>
    </xf>
    <xf numFmtId="0" fontId="2" fillId="0" borderId="69" xfId="0" applyFont="1" applyBorder="1">
      <alignment vertical="center"/>
    </xf>
    <xf numFmtId="0" fontId="2" fillId="0" borderId="70" xfId="0" applyFont="1" applyBorder="1">
      <alignment vertical="center"/>
    </xf>
    <xf numFmtId="180" fontId="2" fillId="0" borderId="0" xfId="0" applyNumberFormat="1" applyFont="1" applyAlignment="1">
      <alignment vertical="center" shrinkToFit="1"/>
    </xf>
    <xf numFmtId="184" fontId="2" fillId="0" borderId="0" xfId="0" applyNumberFormat="1" applyFont="1" applyAlignment="1">
      <alignment vertical="center" shrinkToFit="1"/>
    </xf>
    <xf numFmtId="0" fontId="2" fillId="0" borderId="13" xfId="0" applyFont="1" applyBorder="1">
      <alignment vertical="center"/>
    </xf>
    <xf numFmtId="0" fontId="2" fillId="0" borderId="61" xfId="0" applyFont="1" applyBorder="1" applyAlignment="1">
      <alignment horizontal="distributed" vertical="center"/>
    </xf>
    <xf numFmtId="0" fontId="2" fillId="0" borderId="58" xfId="0" applyFont="1" applyBorder="1" applyAlignment="1">
      <alignment horizontal="distributed" vertical="center"/>
    </xf>
    <xf numFmtId="0" fontId="2" fillId="0" borderId="0" xfId="0" applyFont="1" applyAlignment="1">
      <alignment horizontal="distributed" vertical="center"/>
    </xf>
    <xf numFmtId="180" fontId="2" fillId="0" borderId="0" xfId="0" applyNumberFormat="1" applyFont="1" applyAlignment="1">
      <alignment horizontal="right" shrinkToFit="1"/>
    </xf>
    <xf numFmtId="184" fontId="2" fillId="0" borderId="0" xfId="0" applyNumberFormat="1" applyFont="1" applyAlignment="1">
      <alignment horizontal="right" shrinkToFit="1"/>
    </xf>
    <xf numFmtId="182" fontId="2" fillId="0" borderId="0" xfId="0" applyNumberFormat="1" applyFont="1" applyAlignment="1">
      <alignment horizontal="center" shrinkToFit="1"/>
    </xf>
    <xf numFmtId="178" fontId="2" fillId="0" borderId="0" xfId="0" applyNumberFormat="1" applyFont="1" applyAlignment="1">
      <alignment vertical="center" shrinkToFit="1"/>
    </xf>
    <xf numFmtId="0" fontId="10" fillId="0" borderId="66" xfId="0" applyFont="1" applyBorder="1" applyAlignment="1">
      <alignment horizontal="center" vertical="center" wrapText="1"/>
    </xf>
    <xf numFmtId="0" fontId="9" fillId="0" borderId="49" xfId="0" applyFont="1" applyBorder="1" applyAlignment="1">
      <alignment vertical="center" wrapText="1"/>
    </xf>
    <xf numFmtId="0" fontId="10" fillId="0" borderId="74" xfId="0" applyFont="1" applyBorder="1" applyAlignment="1">
      <alignment horizontal="center" vertical="center" wrapText="1"/>
    </xf>
    <xf numFmtId="0" fontId="2" fillId="0" borderId="49" xfId="0" applyFont="1" applyBorder="1" applyAlignment="1">
      <alignment wrapText="1"/>
    </xf>
    <xf numFmtId="0" fontId="11" fillId="0" borderId="49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0" fillId="0" borderId="75" xfId="0" applyFont="1" applyBorder="1" applyAlignment="1">
      <alignment horizontal="center" vertical="center" wrapText="1"/>
    </xf>
    <xf numFmtId="0" fontId="9" fillId="0" borderId="58" xfId="0" applyFont="1" applyBorder="1" applyAlignment="1">
      <alignment horizontal="distributed" vertical="center" wrapText="1"/>
    </xf>
    <xf numFmtId="0" fontId="10" fillId="0" borderId="74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shrinkToFit="1"/>
    </xf>
    <xf numFmtId="0" fontId="9" fillId="0" borderId="58" xfId="0" applyFont="1" applyBorder="1" applyAlignment="1">
      <alignment horizontal="distributed" vertical="distributed" textRotation="255"/>
    </xf>
    <xf numFmtId="0" fontId="10" fillId="0" borderId="73" xfId="0" applyFont="1" applyBorder="1" applyAlignment="1">
      <alignment horizontal="center" vertical="center"/>
    </xf>
    <xf numFmtId="0" fontId="9" fillId="0" borderId="61" xfId="0" applyFont="1" applyBorder="1" applyAlignment="1">
      <alignment horizontal="distributed" vertical="distributed" textRotation="255"/>
    </xf>
    <xf numFmtId="0" fontId="10" fillId="0" borderId="73" xfId="0" applyFont="1" applyBorder="1" applyAlignment="1">
      <alignment horizontal="center" vertical="center" wrapText="1"/>
    </xf>
    <xf numFmtId="0" fontId="9" fillId="0" borderId="87" xfId="0" applyFont="1" applyBorder="1">
      <alignment vertical="center"/>
    </xf>
    <xf numFmtId="0" fontId="9" fillId="0" borderId="88" xfId="0" applyFont="1" applyBorder="1">
      <alignment vertical="center"/>
    </xf>
    <xf numFmtId="0" fontId="10" fillId="0" borderId="88" xfId="0" applyFont="1" applyBorder="1" applyAlignment="1">
      <alignment horizontal="center" vertical="center" wrapText="1"/>
    </xf>
    <xf numFmtId="0" fontId="9" fillId="0" borderId="94" xfId="0" applyFont="1" applyBorder="1" applyAlignment="1">
      <alignment horizontal="distributed" wrapText="1"/>
    </xf>
    <xf numFmtId="0" fontId="10" fillId="0" borderId="93" xfId="0" applyFont="1" applyBorder="1" applyAlignment="1">
      <alignment horizontal="center" vertical="center" wrapText="1"/>
    </xf>
    <xf numFmtId="0" fontId="9" fillId="0" borderId="88" xfId="0" applyFont="1" applyBorder="1" applyAlignment="1">
      <alignment vertical="center" wrapText="1"/>
    </xf>
    <xf numFmtId="0" fontId="10" fillId="0" borderId="86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182" fontId="2" fillId="0" borderId="0" xfId="0" applyNumberFormat="1" applyFont="1" applyAlignment="1">
      <alignment shrinkToFit="1"/>
    </xf>
    <xf numFmtId="0" fontId="4" fillId="0" borderId="0" xfId="0" applyFont="1">
      <alignment vertical="center"/>
    </xf>
    <xf numFmtId="178" fontId="2" fillId="0" borderId="0" xfId="0" applyNumberFormat="1" applyFont="1" applyAlignment="1">
      <alignment horizontal="right" shrinkToFit="1"/>
    </xf>
    <xf numFmtId="183" fontId="2" fillId="0" borderId="0" xfId="0" applyNumberFormat="1" applyFont="1" applyAlignment="1">
      <alignment horizontal="right" shrinkToFit="1"/>
    </xf>
    <xf numFmtId="182" fontId="2" fillId="0" borderId="25" xfId="0" applyNumberFormat="1" applyFont="1" applyBorder="1" applyAlignment="1">
      <alignment horizontal="left" vertical="center" shrinkToFit="1"/>
    </xf>
    <xf numFmtId="182" fontId="2" fillId="0" borderId="10" xfId="0" applyNumberFormat="1" applyFont="1" applyBorder="1" applyAlignment="1">
      <alignment horizontal="left" vertical="center" shrinkToFit="1"/>
    </xf>
    <xf numFmtId="182" fontId="2" fillId="0" borderId="24" xfId="0" applyNumberFormat="1" applyFont="1" applyBorder="1" applyAlignment="1">
      <alignment horizontal="left" vertical="center" shrinkToFit="1"/>
    </xf>
    <xf numFmtId="0" fontId="4" fillId="0" borderId="0" xfId="0" applyFont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3" fontId="5" fillId="0" borderId="25" xfId="0" applyNumberFormat="1" applyFont="1" applyBorder="1" applyAlignment="1">
      <alignment horizontal="right" vertical="center" shrinkToFit="1"/>
    </xf>
    <xf numFmtId="3" fontId="5" fillId="0" borderId="10" xfId="0" applyNumberFormat="1" applyFont="1" applyBorder="1" applyAlignment="1">
      <alignment horizontal="right" vertical="center" shrinkToFit="1"/>
    </xf>
    <xf numFmtId="3" fontId="5" fillId="0" borderId="12" xfId="0" applyNumberFormat="1" applyFont="1" applyBorder="1" applyAlignment="1">
      <alignment horizontal="right" vertical="center" shrinkToFit="1"/>
    </xf>
    <xf numFmtId="186" fontId="5" fillId="0" borderId="20" xfId="0" applyNumberFormat="1" applyFont="1" applyBorder="1" applyAlignment="1">
      <alignment horizontal="right" vertical="center" shrinkToFit="1"/>
    </xf>
    <xf numFmtId="186" fontId="5" fillId="0" borderId="19" xfId="0" applyNumberFormat="1" applyFont="1" applyBorder="1" applyAlignment="1">
      <alignment horizontal="right" vertical="center" shrinkToFit="1"/>
    </xf>
    <xf numFmtId="186" fontId="5" fillId="0" borderId="21" xfId="0" applyNumberFormat="1" applyFont="1" applyBorder="1" applyAlignment="1">
      <alignment horizontal="right" vertical="center" shrinkToFit="1"/>
    </xf>
    <xf numFmtId="190" fontId="13" fillId="0" borderId="25" xfId="0" applyNumberFormat="1" applyFont="1" applyBorder="1" applyAlignment="1">
      <alignment horizontal="right" vertical="center" shrinkToFit="1"/>
    </xf>
    <xf numFmtId="190" fontId="13" fillId="0" borderId="10" xfId="0" applyNumberFormat="1" applyFont="1" applyBorder="1" applyAlignment="1">
      <alignment horizontal="right" vertical="center" shrinkToFit="1"/>
    </xf>
    <xf numFmtId="190" fontId="13" fillId="0" borderId="12" xfId="0" applyNumberFormat="1" applyFont="1" applyBorder="1" applyAlignment="1">
      <alignment horizontal="right" vertical="center" shrinkToFit="1"/>
    </xf>
    <xf numFmtId="3" fontId="5" fillId="0" borderId="11" xfId="0" applyNumberFormat="1" applyFont="1" applyBorder="1" applyAlignment="1">
      <alignment horizontal="right" vertical="center" shrinkToFit="1"/>
    </xf>
    <xf numFmtId="3" fontId="5" fillId="0" borderId="24" xfId="0" applyNumberFormat="1" applyFont="1" applyBorder="1" applyAlignment="1">
      <alignment horizontal="right" vertical="center" shrinkToFit="1"/>
    </xf>
    <xf numFmtId="182" fontId="2" fillId="0" borderId="23" xfId="0" applyNumberFormat="1" applyFont="1" applyBorder="1" applyAlignment="1">
      <alignment horizontal="left" vertical="center" shrinkToFit="1"/>
    </xf>
    <xf numFmtId="182" fontId="2" fillId="0" borderId="5" xfId="0" applyNumberFormat="1" applyFont="1" applyBorder="1" applyAlignment="1">
      <alignment horizontal="left" vertical="center" shrinkToFit="1"/>
    </xf>
    <xf numFmtId="182" fontId="2" fillId="0" borderId="22" xfId="0" applyNumberFormat="1" applyFont="1" applyBorder="1" applyAlignment="1">
      <alignment horizontal="left" vertical="center" shrinkToFit="1"/>
    </xf>
    <xf numFmtId="188" fontId="5" fillId="0" borderId="23" xfId="0" applyNumberFormat="1" applyFont="1" applyBorder="1" applyAlignment="1">
      <alignment horizontal="right" vertical="center" shrinkToFit="1"/>
    </xf>
    <xf numFmtId="188" fontId="5" fillId="0" borderId="5" xfId="0" applyNumberFormat="1" applyFont="1" applyBorder="1" applyAlignment="1">
      <alignment horizontal="right" vertical="center" shrinkToFit="1"/>
    </xf>
    <xf numFmtId="188" fontId="5" fillId="0" borderId="6" xfId="0" applyNumberFormat="1" applyFont="1" applyBorder="1" applyAlignment="1">
      <alignment horizontal="right" vertical="center" shrinkToFit="1"/>
    </xf>
    <xf numFmtId="186" fontId="5" fillId="0" borderId="96" xfId="0" applyNumberFormat="1" applyFont="1" applyBorder="1" applyAlignment="1">
      <alignment horizontal="right" vertical="center" shrinkToFit="1"/>
    </xf>
    <xf numFmtId="186" fontId="5" fillId="0" borderId="97" xfId="0" applyNumberFormat="1" applyFont="1" applyBorder="1" applyAlignment="1">
      <alignment horizontal="right" vertical="center" shrinkToFit="1"/>
    </xf>
    <xf numFmtId="186" fontId="5" fillId="0" borderId="98" xfId="0" applyNumberFormat="1" applyFont="1" applyBorder="1" applyAlignment="1">
      <alignment horizontal="right" vertical="center" shrinkToFit="1"/>
    </xf>
    <xf numFmtId="190" fontId="13" fillId="0" borderId="23" xfId="0" applyNumberFormat="1" applyFont="1" applyBorder="1" applyAlignment="1">
      <alignment horizontal="right" vertical="center" shrinkToFit="1"/>
    </xf>
    <xf numFmtId="190" fontId="13" fillId="0" borderId="5" xfId="0" applyNumberFormat="1" applyFont="1" applyBorder="1" applyAlignment="1">
      <alignment horizontal="right" vertical="center" shrinkToFit="1"/>
    </xf>
    <xf numFmtId="190" fontId="13" fillId="0" borderId="6" xfId="0" applyNumberFormat="1" applyFont="1" applyBorder="1" applyAlignment="1">
      <alignment horizontal="right" vertical="center" shrinkToFit="1"/>
    </xf>
    <xf numFmtId="188" fontId="5" fillId="0" borderId="4" xfId="0" applyNumberFormat="1" applyFont="1" applyBorder="1" applyAlignment="1">
      <alignment horizontal="right" vertical="center" shrinkToFit="1"/>
    </xf>
    <xf numFmtId="188" fontId="5" fillId="0" borderId="22" xfId="0" applyNumberFormat="1" applyFont="1" applyBorder="1" applyAlignment="1">
      <alignment horizontal="right" vertical="center" shrinkToFit="1"/>
    </xf>
    <xf numFmtId="3" fontId="5" fillId="0" borderId="88" xfId="0" applyNumberFormat="1" applyFont="1" applyBorder="1" applyAlignment="1">
      <alignment horizontal="right" vertical="center" shrinkToFit="1"/>
    </xf>
    <xf numFmtId="186" fontId="5" fillId="0" borderId="88" xfId="0" applyNumberFormat="1" applyFont="1" applyBorder="1" applyAlignment="1">
      <alignment horizontal="right" vertical="center" shrinkToFit="1"/>
    </xf>
    <xf numFmtId="190" fontId="13" fillId="0" borderId="88" xfId="0" applyNumberFormat="1" applyFont="1" applyBorder="1" applyAlignment="1">
      <alignment horizontal="right" vertical="center" shrinkToFit="1"/>
    </xf>
    <xf numFmtId="3" fontId="5" fillId="0" borderId="89" xfId="0" applyNumberFormat="1" applyFont="1" applyBorder="1" applyAlignment="1">
      <alignment horizontal="right" vertical="center" shrinkToFit="1"/>
    </xf>
    <xf numFmtId="0" fontId="11" fillId="0" borderId="90" xfId="0" applyFont="1" applyBorder="1" applyAlignment="1">
      <alignment horizontal="center" vertical="center" shrinkToFit="1"/>
    </xf>
    <xf numFmtId="0" fontId="11" fillId="0" borderId="91" xfId="0" applyFont="1" applyBorder="1" applyAlignment="1">
      <alignment horizontal="center" vertical="center" shrinkToFit="1"/>
    </xf>
    <xf numFmtId="0" fontId="11" fillId="0" borderId="92" xfId="0" applyFont="1" applyBorder="1" applyAlignment="1">
      <alignment horizontal="center" vertical="center" shrinkToFit="1"/>
    </xf>
    <xf numFmtId="0" fontId="9" fillId="0" borderId="23" xfId="0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25" xfId="0" applyFont="1" applyBorder="1" applyAlignment="1">
      <alignment horizontal="distributed" vertical="center"/>
    </xf>
    <xf numFmtId="0" fontId="9" fillId="0" borderId="10" xfId="0" applyFont="1" applyBorder="1" applyAlignment="1">
      <alignment horizontal="distributed" vertical="center"/>
    </xf>
    <xf numFmtId="0" fontId="2" fillId="0" borderId="4" xfId="0" applyFont="1" applyBorder="1" applyAlignment="1">
      <alignment horizontal="distributed" vertical="center"/>
    </xf>
    <xf numFmtId="0" fontId="2" fillId="0" borderId="5" xfId="0" applyFont="1" applyBorder="1" applyAlignment="1">
      <alignment horizontal="distributed" vertical="center"/>
    </xf>
    <xf numFmtId="0" fontId="2" fillId="0" borderId="4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9" fillId="0" borderId="25" xfId="0" applyFont="1" applyBorder="1" applyAlignment="1">
      <alignment horizontal="distributed" vertical="center" wrapText="1" shrinkToFit="1"/>
    </xf>
    <xf numFmtId="0" fontId="9" fillId="0" borderId="10" xfId="0" applyFont="1" applyBorder="1" applyAlignment="1">
      <alignment horizontal="distributed" vertical="center" wrapText="1" shrinkToFit="1"/>
    </xf>
    <xf numFmtId="0" fontId="9" fillId="0" borderId="68" xfId="0" applyFont="1" applyBorder="1" applyAlignment="1">
      <alignment horizontal="distributed" vertical="center" wrapText="1" shrinkToFit="1"/>
    </xf>
    <xf numFmtId="0" fontId="9" fillId="0" borderId="69" xfId="0" applyFont="1" applyBorder="1" applyAlignment="1">
      <alignment horizontal="distributed" vertical="center" wrapText="1" shrinkToFit="1"/>
    </xf>
    <xf numFmtId="0" fontId="9" fillId="0" borderId="27" xfId="0" applyFont="1" applyBorder="1" applyAlignment="1">
      <alignment horizontal="distributed" wrapText="1"/>
    </xf>
    <xf numFmtId="0" fontId="9" fillId="0" borderId="14" xfId="0" applyFont="1" applyBorder="1" applyAlignment="1">
      <alignment horizontal="distributed" wrapText="1"/>
    </xf>
    <xf numFmtId="0" fontId="9" fillId="0" borderId="1" xfId="0" applyFont="1" applyBorder="1" applyAlignment="1">
      <alignment horizontal="distributed" wrapText="1"/>
    </xf>
    <xf numFmtId="0" fontId="9" fillId="0" borderId="17" xfId="0" applyFont="1" applyBorder="1" applyAlignment="1">
      <alignment horizontal="distributed" wrapText="1"/>
    </xf>
    <xf numFmtId="0" fontId="9" fillId="0" borderId="7" xfId="0" applyFont="1" applyBorder="1" applyAlignment="1">
      <alignment horizontal="distributed" wrapText="1"/>
    </xf>
    <xf numFmtId="0" fontId="9" fillId="0" borderId="4" xfId="0" applyFont="1" applyBorder="1" applyAlignment="1">
      <alignment horizontal="distributed" vertical="center"/>
    </xf>
    <xf numFmtId="0" fontId="9" fillId="0" borderId="5" xfId="0" applyFont="1" applyBorder="1" applyAlignment="1">
      <alignment horizontal="distributed" vertical="center"/>
    </xf>
    <xf numFmtId="0" fontId="9" fillId="0" borderId="6" xfId="0" applyFont="1" applyBorder="1" applyAlignment="1">
      <alignment horizontal="distributed" vertical="center"/>
    </xf>
    <xf numFmtId="0" fontId="9" fillId="0" borderId="11" xfId="0" applyFont="1" applyBorder="1" applyAlignment="1">
      <alignment horizontal="distributed" vertical="center"/>
    </xf>
    <xf numFmtId="0" fontId="9" fillId="0" borderId="12" xfId="0" applyFont="1" applyBorder="1" applyAlignment="1">
      <alignment horizontal="distributed" vertical="center"/>
    </xf>
    <xf numFmtId="0" fontId="9" fillId="0" borderId="60" xfId="0" applyFont="1" applyBorder="1" applyAlignment="1">
      <alignment horizontal="distributed" vertical="distributed" wrapText="1"/>
    </xf>
    <xf numFmtId="0" fontId="9" fillId="0" borderId="13" xfId="0" applyFont="1" applyBorder="1" applyAlignment="1">
      <alignment horizontal="distributed" vertical="distributed" wrapText="1"/>
    </xf>
    <xf numFmtId="0" fontId="9" fillId="0" borderId="4" xfId="0" applyFont="1" applyBorder="1" applyAlignment="1">
      <alignment horizontal="distributed"/>
    </xf>
    <xf numFmtId="0" fontId="9" fillId="0" borderId="5" xfId="0" applyFont="1" applyBorder="1" applyAlignment="1">
      <alignment horizontal="distributed"/>
    </xf>
    <xf numFmtId="0" fontId="9" fillId="0" borderId="11" xfId="0" applyFont="1" applyBorder="1" applyAlignment="1">
      <alignment horizontal="distributed" wrapText="1"/>
    </xf>
    <xf numFmtId="0" fontId="9" fillId="0" borderId="10" xfId="0" applyFont="1" applyBorder="1" applyAlignment="1">
      <alignment horizontal="distributed" wrapText="1"/>
    </xf>
    <xf numFmtId="0" fontId="9" fillId="0" borderId="58" xfId="0" applyFont="1" applyBorder="1" applyAlignment="1">
      <alignment horizontal="distributed" vertical="center" wrapText="1"/>
    </xf>
    <xf numFmtId="0" fontId="9" fillId="0" borderId="65" xfId="0" applyFont="1" applyBorder="1" applyAlignment="1">
      <alignment horizontal="distributed" vertical="center" wrapText="1"/>
    </xf>
    <xf numFmtId="0" fontId="9" fillId="0" borderId="16" xfId="0" applyFont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shrinkToFit="1"/>
    </xf>
    <xf numFmtId="0" fontId="9" fillId="0" borderId="15" xfId="0" applyFont="1" applyBorder="1" applyAlignment="1">
      <alignment horizontal="center" vertical="center" shrinkToFit="1"/>
    </xf>
    <xf numFmtId="0" fontId="9" fillId="0" borderId="9" xfId="0" applyFont="1" applyBorder="1" applyAlignment="1">
      <alignment horizontal="distributed" vertical="center"/>
    </xf>
    <xf numFmtId="0" fontId="9" fillId="0" borderId="7" xfId="0" applyFont="1" applyBorder="1" applyAlignment="1">
      <alignment horizontal="distributed" vertical="center"/>
    </xf>
    <xf numFmtId="0" fontId="9" fillId="0" borderId="23" xfId="0" applyFont="1" applyBorder="1" applyAlignment="1">
      <alignment horizontal="distributed" wrapText="1"/>
    </xf>
    <xf numFmtId="0" fontId="11" fillId="0" borderId="5" xfId="0" applyFont="1" applyBorder="1" applyAlignment="1">
      <alignment horizontal="distributed" wrapText="1"/>
    </xf>
    <xf numFmtId="0" fontId="11" fillId="0" borderId="5" xfId="0" applyFont="1" applyBorder="1" applyAlignment="1">
      <alignment wrapText="1"/>
    </xf>
    <xf numFmtId="0" fontId="9" fillId="0" borderId="25" xfId="0" applyFont="1" applyBorder="1" applyAlignment="1">
      <alignment horizontal="distributed" wrapText="1"/>
    </xf>
    <xf numFmtId="0" fontId="11" fillId="0" borderId="10" xfId="0" applyFont="1" applyBorder="1" applyAlignment="1">
      <alignment horizontal="distributed" wrapText="1"/>
    </xf>
    <xf numFmtId="0" fontId="11" fillId="0" borderId="10" xfId="0" applyFont="1" applyBorder="1" applyAlignment="1">
      <alignment wrapText="1"/>
    </xf>
    <xf numFmtId="0" fontId="11" fillId="0" borderId="5" xfId="0" applyFont="1" applyBorder="1" applyAlignment="1">
      <alignment horizontal="distributed" vertical="center" wrapText="1"/>
    </xf>
    <xf numFmtId="0" fontId="9" fillId="0" borderId="17" xfId="0" applyFont="1" applyBorder="1" applyAlignment="1">
      <alignment horizontal="distributed" vertical="center" wrapText="1"/>
    </xf>
    <xf numFmtId="0" fontId="11" fillId="0" borderId="7" xfId="0" applyFont="1" applyBorder="1" applyAlignment="1">
      <alignment horizontal="distributed" wrapText="1"/>
    </xf>
    <xf numFmtId="0" fontId="11" fillId="0" borderId="7" xfId="0" applyFont="1" applyBorder="1" applyAlignment="1">
      <alignment wrapText="1"/>
    </xf>
    <xf numFmtId="0" fontId="9" fillId="0" borderId="6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84" xfId="0" applyFont="1" applyBorder="1" applyAlignment="1">
      <alignment horizontal="center" vertical="center" wrapText="1"/>
    </xf>
    <xf numFmtId="0" fontId="9" fillId="0" borderId="86" xfId="0" applyFont="1" applyBorder="1" applyAlignment="1">
      <alignment horizontal="center" vertical="center" wrapText="1"/>
    </xf>
    <xf numFmtId="0" fontId="9" fillId="0" borderId="60" xfId="0" applyFont="1" applyBorder="1" applyAlignment="1">
      <alignment horizontal="distributed" vertical="center" wrapText="1"/>
    </xf>
    <xf numFmtId="0" fontId="11" fillId="0" borderId="14" xfId="0" applyFont="1" applyBorder="1" applyAlignment="1">
      <alignment horizontal="distributed" vertical="center" wrapText="1"/>
    </xf>
    <xf numFmtId="0" fontId="11" fillId="0" borderId="14" xfId="0" applyFont="1" applyBorder="1" applyAlignment="1">
      <alignment wrapText="1"/>
    </xf>
    <xf numFmtId="0" fontId="11" fillId="0" borderId="9" xfId="0" applyFont="1" applyBorder="1" applyAlignment="1">
      <alignment horizontal="distributed" vertical="center" wrapText="1"/>
    </xf>
    <xf numFmtId="3" fontId="5" fillId="0" borderId="4" xfId="0" applyNumberFormat="1" applyFont="1" applyBorder="1" applyAlignment="1">
      <alignment horizontal="right" vertical="center" shrinkToFit="1"/>
    </xf>
    <xf numFmtId="3" fontId="5" fillId="0" borderId="5" xfId="0" applyNumberFormat="1" applyFont="1" applyBorder="1" applyAlignment="1">
      <alignment horizontal="right" vertical="center" shrinkToFit="1"/>
    </xf>
    <xf numFmtId="3" fontId="5" fillId="0" borderId="22" xfId="0" applyNumberFormat="1" applyFont="1" applyBorder="1" applyAlignment="1">
      <alignment horizontal="right" vertical="center" shrinkToFit="1"/>
    </xf>
    <xf numFmtId="3" fontId="5" fillId="0" borderId="91" xfId="0" applyNumberFormat="1" applyFont="1" applyBorder="1" applyAlignment="1">
      <alignment horizontal="right" vertical="center" shrinkToFit="1"/>
    </xf>
    <xf numFmtId="3" fontId="5" fillId="0" borderId="92" xfId="0" applyNumberFormat="1" applyFont="1" applyBorder="1" applyAlignment="1">
      <alignment horizontal="right" vertical="center" shrinkToFit="1"/>
    </xf>
    <xf numFmtId="186" fontId="5" fillId="0" borderId="102" xfId="0" applyNumberFormat="1" applyFont="1" applyBorder="1" applyAlignment="1">
      <alignment horizontal="right" vertical="center" shrinkToFit="1"/>
    </xf>
    <xf numFmtId="186" fontId="5" fillId="0" borderId="103" xfId="0" applyNumberFormat="1" applyFont="1" applyBorder="1" applyAlignment="1">
      <alignment horizontal="right" vertical="center" shrinkToFit="1"/>
    </xf>
    <xf numFmtId="186" fontId="5" fillId="0" borderId="104" xfId="0" applyNumberFormat="1" applyFont="1" applyBorder="1" applyAlignment="1">
      <alignment horizontal="right" vertical="center" shrinkToFit="1"/>
    </xf>
    <xf numFmtId="3" fontId="5" fillId="0" borderId="95" xfId="0" applyNumberFormat="1" applyFont="1" applyBorder="1" applyAlignment="1">
      <alignment horizontal="right" vertical="center" shrinkToFit="1"/>
    </xf>
    <xf numFmtId="190" fontId="13" fillId="0" borderId="95" xfId="0" applyNumberFormat="1" applyFont="1" applyBorder="1" applyAlignment="1">
      <alignment horizontal="right" vertical="center" shrinkToFit="1"/>
    </xf>
    <xf numFmtId="190" fontId="13" fillId="0" borderId="91" xfId="0" applyNumberFormat="1" applyFont="1" applyBorder="1" applyAlignment="1">
      <alignment horizontal="right" vertical="center" shrinkToFit="1"/>
    </xf>
    <xf numFmtId="190" fontId="13" fillId="0" borderId="92" xfId="0" applyNumberFormat="1" applyFont="1" applyBorder="1" applyAlignment="1">
      <alignment horizontal="right" vertical="center" shrinkToFit="1"/>
    </xf>
    <xf numFmtId="3" fontId="5" fillId="0" borderId="90" xfId="0" applyNumberFormat="1" applyFont="1" applyBorder="1" applyAlignment="1">
      <alignment horizontal="right" vertical="center" shrinkToFit="1"/>
    </xf>
    <xf numFmtId="3" fontId="5" fillId="0" borderId="111" xfId="0" applyNumberFormat="1" applyFont="1" applyBorder="1" applyAlignment="1">
      <alignment horizontal="right" vertical="center" shrinkToFit="1"/>
    </xf>
    <xf numFmtId="3" fontId="5" fillId="0" borderId="6" xfId="0" applyNumberFormat="1" applyFont="1" applyBorder="1" applyAlignment="1">
      <alignment horizontal="right" vertical="center" shrinkToFit="1"/>
    </xf>
    <xf numFmtId="3" fontId="5" fillId="0" borderId="23" xfId="0" applyNumberFormat="1" applyFont="1" applyBorder="1" applyAlignment="1">
      <alignment horizontal="right" vertical="center" shrinkToFit="1"/>
    </xf>
    <xf numFmtId="3" fontId="5" fillId="0" borderId="1" xfId="0" applyNumberFormat="1" applyFont="1" applyBorder="1" applyAlignment="1">
      <alignment horizontal="right" vertical="center" shrinkToFit="1"/>
    </xf>
    <xf numFmtId="3" fontId="5" fillId="0" borderId="2" xfId="0" applyNumberFormat="1" applyFont="1" applyBorder="1" applyAlignment="1">
      <alignment horizontal="right" vertical="center" shrinkToFit="1"/>
    </xf>
    <xf numFmtId="186" fontId="5" fillId="0" borderId="105" xfId="0" applyNumberFormat="1" applyFont="1" applyBorder="1" applyAlignment="1">
      <alignment horizontal="right" vertical="center" shrinkToFit="1"/>
    </xf>
    <xf numFmtId="186" fontId="5" fillId="0" borderId="106" xfId="0" applyNumberFormat="1" applyFont="1" applyBorder="1" applyAlignment="1">
      <alignment horizontal="right" vertical="center" shrinkToFit="1"/>
    </xf>
    <xf numFmtId="186" fontId="5" fillId="0" borderId="107" xfId="0" applyNumberFormat="1" applyFont="1" applyBorder="1" applyAlignment="1">
      <alignment horizontal="right" vertical="center" shrinkToFit="1"/>
    </xf>
    <xf numFmtId="3" fontId="5" fillId="0" borderId="28" xfId="0" applyNumberFormat="1" applyFont="1" applyBorder="1" applyAlignment="1">
      <alignment horizontal="right" vertical="center" shrinkToFit="1"/>
    </xf>
    <xf numFmtId="190" fontId="13" fillId="0" borderId="27" xfId="0" applyNumberFormat="1" applyFont="1" applyBorder="1" applyAlignment="1">
      <alignment horizontal="right" vertical="center" shrinkToFit="1"/>
    </xf>
    <xf numFmtId="190" fontId="13" fillId="0" borderId="14" xfId="0" applyNumberFormat="1" applyFont="1" applyBorder="1" applyAlignment="1">
      <alignment horizontal="right" vertical="center" shrinkToFit="1"/>
    </xf>
    <xf numFmtId="190" fontId="13" fillId="0" borderId="15" xfId="0" applyNumberFormat="1" applyFont="1" applyBorder="1" applyAlignment="1">
      <alignment horizontal="right" vertical="center" shrinkToFit="1"/>
    </xf>
    <xf numFmtId="3" fontId="5" fillId="0" borderId="16" xfId="0" applyNumberFormat="1" applyFont="1" applyBorder="1" applyAlignment="1">
      <alignment horizontal="right" vertical="center" shrinkToFit="1"/>
    </xf>
    <xf numFmtId="3" fontId="5" fillId="0" borderId="14" xfId="0" applyNumberFormat="1" applyFont="1" applyBorder="1" applyAlignment="1">
      <alignment horizontal="right" vertical="center" shrinkToFit="1"/>
    </xf>
    <xf numFmtId="3" fontId="5" fillId="0" borderId="38" xfId="0" applyNumberFormat="1" applyFont="1" applyBorder="1" applyAlignment="1">
      <alignment horizontal="right" vertical="center" shrinkToFit="1"/>
    </xf>
    <xf numFmtId="3" fontId="5" fillId="0" borderId="7" xfId="0" applyNumberFormat="1" applyFont="1" applyBorder="1" applyAlignment="1">
      <alignment horizontal="right" vertical="center" shrinkToFit="1"/>
    </xf>
    <xf numFmtId="3" fontId="5" fillId="0" borderId="8" xfId="0" applyNumberFormat="1" applyFont="1" applyBorder="1" applyAlignment="1">
      <alignment horizontal="right" vertical="center" shrinkToFit="1"/>
    </xf>
    <xf numFmtId="186" fontId="5" fillId="0" borderId="108" xfId="0" applyNumberFormat="1" applyFont="1" applyBorder="1" applyAlignment="1">
      <alignment horizontal="right" vertical="center" shrinkToFit="1"/>
    </xf>
    <xf numFmtId="186" fontId="5" fillId="0" borderId="109" xfId="0" applyNumberFormat="1" applyFont="1" applyBorder="1" applyAlignment="1">
      <alignment horizontal="right" vertical="center" shrinkToFit="1"/>
    </xf>
    <xf numFmtId="186" fontId="5" fillId="0" borderId="110" xfId="0" applyNumberFormat="1" applyFont="1" applyBorder="1" applyAlignment="1">
      <alignment horizontal="right" vertical="center" shrinkToFit="1"/>
    </xf>
    <xf numFmtId="3" fontId="5" fillId="0" borderId="17" xfId="0" applyNumberFormat="1" applyFont="1" applyBorder="1" applyAlignment="1">
      <alignment horizontal="right" vertical="center" shrinkToFit="1"/>
    </xf>
    <xf numFmtId="4" fontId="5" fillId="0" borderId="11" xfId="0" applyNumberFormat="1" applyFont="1" applyBorder="1" applyAlignment="1">
      <alignment horizontal="right" vertical="center" shrinkToFit="1"/>
    </xf>
    <xf numFmtId="4" fontId="5" fillId="0" borderId="10" xfId="0" applyNumberFormat="1" applyFont="1" applyBorder="1" applyAlignment="1">
      <alignment horizontal="right" vertical="center" shrinkToFit="1"/>
    </xf>
    <xf numFmtId="4" fontId="5" fillId="0" borderId="24" xfId="0" applyNumberFormat="1" applyFont="1" applyBorder="1" applyAlignment="1">
      <alignment horizontal="right" vertical="center" shrinkToFit="1"/>
    </xf>
    <xf numFmtId="188" fontId="5" fillId="0" borderId="1" xfId="0" applyNumberFormat="1" applyFont="1" applyBorder="1" applyAlignment="1">
      <alignment horizontal="right" vertical="center" shrinkToFit="1"/>
    </xf>
    <xf numFmtId="188" fontId="5" fillId="0" borderId="2" xfId="0" applyNumberFormat="1" applyFont="1" applyBorder="1" applyAlignment="1">
      <alignment horizontal="right" vertical="center" shrinkToFit="1"/>
    </xf>
    <xf numFmtId="188" fontId="5" fillId="0" borderId="28" xfId="0" applyNumberFormat="1" applyFont="1" applyBorder="1" applyAlignment="1">
      <alignment horizontal="right" vertical="center" shrinkToFit="1"/>
    </xf>
    <xf numFmtId="188" fontId="5" fillId="0" borderId="16" xfId="0" applyNumberFormat="1" applyFont="1" applyBorder="1" applyAlignment="1">
      <alignment horizontal="right" vertical="center" shrinkToFit="1"/>
    </xf>
    <xf numFmtId="188" fontId="5" fillId="0" borderId="14" xfId="0" applyNumberFormat="1" applyFont="1" applyBorder="1" applyAlignment="1">
      <alignment horizontal="right" vertical="center" shrinkToFit="1"/>
    </xf>
    <xf numFmtId="188" fontId="5" fillId="0" borderId="38" xfId="0" applyNumberFormat="1" applyFont="1" applyBorder="1" applyAlignment="1">
      <alignment horizontal="right" vertical="center" shrinkToFit="1"/>
    </xf>
    <xf numFmtId="4" fontId="5" fillId="0" borderId="12" xfId="0" applyNumberFormat="1" applyFont="1" applyBorder="1" applyAlignment="1">
      <alignment horizontal="right" vertical="center" shrinkToFit="1"/>
    </xf>
    <xf numFmtId="4" fontId="5" fillId="0" borderId="25" xfId="0" applyNumberFormat="1" applyFont="1" applyBorder="1" applyAlignment="1">
      <alignment horizontal="right" vertical="center" shrinkToFit="1"/>
    </xf>
    <xf numFmtId="4" fontId="5" fillId="0" borderId="16" xfId="0" applyNumberFormat="1" applyFont="1" applyBorder="1" applyAlignment="1">
      <alignment horizontal="right" vertical="center" shrinkToFit="1"/>
    </xf>
    <xf numFmtId="4" fontId="5" fillId="0" borderId="14" xfId="0" applyNumberFormat="1" applyFont="1" applyBorder="1" applyAlignment="1">
      <alignment horizontal="right" vertical="center" shrinkToFit="1"/>
    </xf>
    <xf numFmtId="4" fontId="5" fillId="0" borderId="38" xfId="0" applyNumberFormat="1" applyFont="1" applyBorder="1" applyAlignment="1">
      <alignment horizontal="right" vertical="center" shrinkToFit="1"/>
    </xf>
    <xf numFmtId="4" fontId="5" fillId="0" borderId="5" xfId="0" applyNumberFormat="1" applyFont="1" applyBorder="1" applyAlignment="1">
      <alignment horizontal="right" vertical="center" shrinkToFit="1"/>
    </xf>
    <xf numFmtId="4" fontId="5" fillId="0" borderId="6" xfId="0" applyNumberFormat="1" applyFont="1" applyBorder="1" applyAlignment="1">
      <alignment horizontal="right" vertical="center" shrinkToFit="1"/>
    </xf>
    <xf numFmtId="4" fontId="5" fillId="0" borderId="23" xfId="0" applyNumberFormat="1" applyFont="1" applyBorder="1" applyAlignment="1">
      <alignment horizontal="right" vertical="center" shrinkToFit="1"/>
    </xf>
    <xf numFmtId="4" fontId="5" fillId="0" borderId="4" xfId="0" applyNumberFormat="1" applyFont="1" applyBorder="1" applyAlignment="1">
      <alignment horizontal="right" vertical="center" shrinkToFit="1"/>
    </xf>
    <xf numFmtId="4" fontId="5" fillId="0" borderId="22" xfId="0" applyNumberFormat="1" applyFont="1" applyBorder="1" applyAlignment="1">
      <alignment horizontal="right" vertical="center" shrinkToFit="1"/>
    </xf>
    <xf numFmtId="4" fontId="5" fillId="0" borderId="15" xfId="0" applyNumberFormat="1" applyFont="1" applyBorder="1" applyAlignment="1">
      <alignment horizontal="right" vertical="center" shrinkToFit="1"/>
    </xf>
    <xf numFmtId="186" fontId="5" fillId="0" borderId="99" xfId="0" applyNumberFormat="1" applyFont="1" applyBorder="1" applyAlignment="1">
      <alignment horizontal="right" vertical="center" shrinkToFit="1"/>
    </xf>
    <xf numFmtId="186" fontId="5" fillId="0" borderId="100" xfId="0" applyNumberFormat="1" applyFont="1" applyBorder="1" applyAlignment="1">
      <alignment horizontal="right" vertical="center" shrinkToFit="1"/>
    </xf>
    <xf numFmtId="186" fontId="5" fillId="0" borderId="101" xfId="0" applyNumberFormat="1" applyFont="1" applyBorder="1" applyAlignment="1">
      <alignment horizontal="right" vertical="center" shrinkToFit="1"/>
    </xf>
    <xf numFmtId="4" fontId="5" fillId="0" borderId="27" xfId="0" applyNumberFormat="1" applyFont="1" applyBorder="1" applyAlignment="1">
      <alignment horizontal="right" vertical="center" shrinkToFit="1"/>
    </xf>
    <xf numFmtId="0" fontId="2" fillId="0" borderId="85" xfId="0" applyFont="1" applyBorder="1" applyAlignment="1">
      <alignment horizontal="center" vertical="center" shrinkToFit="1"/>
    </xf>
    <xf numFmtId="0" fontId="2" fillId="0" borderId="84" xfId="0" applyFont="1" applyBorder="1" applyAlignment="1">
      <alignment horizontal="center" vertical="center" shrinkToFit="1"/>
    </xf>
    <xf numFmtId="0" fontId="2" fillId="0" borderId="50" xfId="0" applyFont="1" applyBorder="1" applyAlignment="1">
      <alignment horizontal="center" vertical="center" shrinkToFit="1"/>
    </xf>
    <xf numFmtId="0" fontId="2" fillId="0" borderId="86" xfId="0" applyFont="1" applyBorder="1" applyAlignment="1">
      <alignment horizontal="center" vertical="center" shrinkToFit="1"/>
    </xf>
    <xf numFmtId="0" fontId="2" fillId="0" borderId="6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185" fontId="2" fillId="0" borderId="40" xfId="0" applyNumberFormat="1" applyFont="1" applyBorder="1" applyAlignment="1">
      <alignment horizontal="center" vertical="center" shrinkToFit="1"/>
    </xf>
    <xf numFmtId="185" fontId="2" fillId="0" borderId="0" xfId="0" applyNumberFormat="1" applyFont="1" applyAlignment="1">
      <alignment horizontal="center" vertical="center" shrinkToFit="1"/>
    </xf>
    <xf numFmtId="185" fontId="2" fillId="0" borderId="41" xfId="0" applyNumberFormat="1" applyFont="1" applyBorder="1" applyAlignment="1">
      <alignment horizontal="center" vertical="center" shrinkToFit="1"/>
    </xf>
    <xf numFmtId="185" fontId="2" fillId="0" borderId="49" xfId="0" applyNumberFormat="1" applyFont="1" applyBorder="1" applyAlignment="1">
      <alignment horizontal="center" vertical="center" shrinkToFit="1"/>
    </xf>
    <xf numFmtId="185" fontId="2" fillId="0" borderId="50" xfId="0" applyNumberFormat="1" applyFont="1" applyBorder="1" applyAlignment="1">
      <alignment horizontal="center" vertical="center" shrinkToFit="1"/>
    </xf>
    <xf numFmtId="3" fontId="5" fillId="0" borderId="15" xfId="0" applyNumberFormat="1" applyFont="1" applyBorder="1" applyAlignment="1">
      <alignment horizontal="right" vertical="center" shrinkToFit="1"/>
    </xf>
    <xf numFmtId="3" fontId="5" fillId="0" borderId="27" xfId="0" applyNumberFormat="1" applyFont="1" applyBorder="1" applyAlignment="1">
      <alignment horizontal="right" vertical="center" shrinkToFit="1"/>
    </xf>
    <xf numFmtId="0" fontId="2" fillId="0" borderId="42" xfId="0" applyFont="1" applyBorder="1" applyAlignment="1">
      <alignment horizontal="center" vertical="center"/>
    </xf>
    <xf numFmtId="49" fontId="12" fillId="0" borderId="42" xfId="0" applyNumberFormat="1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 shrinkToFit="1"/>
    </xf>
    <xf numFmtId="177" fontId="2" fillId="0" borderId="51" xfId="0" applyNumberFormat="1" applyFont="1" applyBorder="1" applyAlignment="1">
      <alignment horizontal="center" vertical="center" shrinkToFit="1"/>
    </xf>
    <xf numFmtId="177" fontId="2" fillId="0" borderId="0" xfId="0" applyNumberFormat="1" applyFont="1" applyAlignment="1">
      <alignment horizontal="center" vertical="center" shrinkToFit="1"/>
    </xf>
    <xf numFmtId="177" fontId="2" fillId="0" borderId="65" xfId="0" applyNumberFormat="1" applyFont="1" applyBorder="1" applyAlignment="1">
      <alignment horizontal="center" vertical="center" shrinkToFit="1"/>
    </xf>
    <xf numFmtId="0" fontId="2" fillId="0" borderId="52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2" fillId="0" borderId="53" xfId="0" applyFont="1" applyBorder="1" applyAlignment="1">
      <alignment horizontal="center" vertical="center" shrinkToFit="1"/>
    </xf>
    <xf numFmtId="177" fontId="2" fillId="0" borderId="60" xfId="0" applyNumberFormat="1" applyFont="1" applyBorder="1" applyAlignment="1">
      <alignment horizontal="center" vertical="center" shrinkToFit="1"/>
    </xf>
    <xf numFmtId="177" fontId="2" fillId="0" borderId="58" xfId="0" applyNumberFormat="1" applyFont="1" applyBorder="1" applyAlignment="1">
      <alignment horizontal="center" vertical="center" shrinkToFit="1"/>
    </xf>
    <xf numFmtId="0" fontId="2" fillId="0" borderId="83" xfId="0" applyFont="1" applyBorder="1" applyAlignment="1">
      <alignment horizontal="center" vertical="center" shrinkToFit="1"/>
    </xf>
    <xf numFmtId="190" fontId="13" fillId="0" borderId="39" xfId="0" applyNumberFormat="1" applyFont="1" applyBorder="1" applyAlignment="1">
      <alignment horizontal="right" vertical="center" shrinkToFit="1"/>
    </xf>
    <xf numFmtId="190" fontId="13" fillId="0" borderId="37" xfId="0" applyNumberFormat="1" applyFont="1" applyBorder="1" applyAlignment="1">
      <alignment horizontal="right" vertical="center" shrinkToFit="1"/>
    </xf>
    <xf numFmtId="3" fontId="5" fillId="0" borderId="37" xfId="0" applyNumberFormat="1" applyFont="1" applyBorder="1" applyAlignment="1">
      <alignment horizontal="right" vertical="center" shrinkToFit="1"/>
    </xf>
    <xf numFmtId="3" fontId="5" fillId="0" borderId="66" xfId="0" applyNumberFormat="1" applyFont="1" applyBorder="1" applyAlignment="1">
      <alignment horizontal="right" vertical="center" shrinkToFit="1"/>
    </xf>
    <xf numFmtId="182" fontId="2" fillId="0" borderId="27" xfId="0" applyNumberFormat="1" applyFont="1" applyBorder="1" applyAlignment="1">
      <alignment horizontal="left" vertical="center" shrinkToFit="1"/>
    </xf>
    <xf numFmtId="182" fontId="2" fillId="0" borderId="14" xfId="0" applyNumberFormat="1" applyFont="1" applyBorder="1" applyAlignment="1">
      <alignment horizontal="left" vertical="center" shrinkToFit="1"/>
    </xf>
    <xf numFmtId="182" fontId="2" fillId="0" borderId="38" xfId="0" applyNumberFormat="1" applyFont="1" applyBorder="1" applyAlignment="1">
      <alignment horizontal="left" vertical="center" shrinkToFit="1"/>
    </xf>
    <xf numFmtId="0" fontId="2" fillId="0" borderId="117" xfId="0" applyFont="1" applyBorder="1" applyAlignment="1">
      <alignment horizontal="center" vertical="center"/>
    </xf>
    <xf numFmtId="0" fontId="2" fillId="0" borderId="118" xfId="0" applyFont="1" applyBorder="1" applyAlignment="1">
      <alignment horizontal="center" vertical="center"/>
    </xf>
    <xf numFmtId="0" fontId="2" fillId="0" borderId="119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176" fontId="2" fillId="0" borderId="60" xfId="0" quotePrefix="1" applyNumberFormat="1" applyFont="1" applyBorder="1" applyAlignment="1">
      <alignment horizontal="center" vertical="center"/>
    </xf>
    <xf numFmtId="176" fontId="2" fillId="0" borderId="13" xfId="0" quotePrefix="1" applyNumberFormat="1" applyFont="1" applyBorder="1" applyAlignment="1">
      <alignment horizontal="center" vertical="center"/>
    </xf>
    <xf numFmtId="176" fontId="2" fillId="0" borderId="51" xfId="0" quotePrefix="1" applyNumberFormat="1" applyFont="1" applyBorder="1" applyAlignment="1">
      <alignment horizontal="center" vertical="center"/>
    </xf>
    <xf numFmtId="177" fontId="2" fillId="0" borderId="52" xfId="0" applyNumberFormat="1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/>
    </xf>
    <xf numFmtId="177" fontId="2" fillId="0" borderId="51" xfId="0" applyNumberFormat="1" applyFont="1" applyBorder="1" applyAlignment="1">
      <alignment horizontal="center" vertical="center"/>
    </xf>
    <xf numFmtId="190" fontId="5" fillId="0" borderId="3" xfId="0" applyNumberFormat="1" applyFont="1" applyBorder="1" applyAlignment="1">
      <alignment horizontal="right" vertical="center" shrinkToFit="1"/>
    </xf>
    <xf numFmtId="190" fontId="5" fillId="0" borderId="1" xfId="0" applyNumberFormat="1" applyFont="1" applyBorder="1" applyAlignment="1">
      <alignment horizontal="right" vertical="center" shrinkToFit="1"/>
    </xf>
    <xf numFmtId="190" fontId="5" fillId="0" borderId="26" xfId="0" applyNumberFormat="1" applyFont="1" applyBorder="1" applyAlignment="1">
      <alignment horizontal="right" vertical="center" shrinkToFit="1"/>
    </xf>
    <xf numFmtId="0" fontId="2" fillId="0" borderId="52" xfId="0" applyFont="1" applyBorder="1" applyAlignment="1">
      <alignment horizontal="center" vertical="center" wrapText="1" shrinkToFit="1"/>
    </xf>
    <xf numFmtId="0" fontId="2" fillId="0" borderId="13" xfId="0" applyFont="1" applyBorder="1" applyAlignment="1">
      <alignment horizontal="center" vertical="center" wrapText="1" shrinkToFit="1"/>
    </xf>
    <xf numFmtId="0" fontId="2" fillId="0" borderId="53" xfId="0" applyFont="1" applyBorder="1" applyAlignment="1">
      <alignment horizontal="center" vertical="center" wrapText="1" shrinkToFit="1"/>
    </xf>
    <xf numFmtId="0" fontId="2" fillId="0" borderId="56" xfId="0" applyFont="1" applyBorder="1" applyAlignment="1">
      <alignment horizontal="center" vertical="center" wrapText="1" shrinkToFit="1"/>
    </xf>
    <xf numFmtId="0" fontId="2" fillId="0" borderId="54" xfId="0" applyFont="1" applyBorder="1" applyAlignment="1">
      <alignment horizontal="center" vertical="center" wrapText="1" shrinkToFit="1"/>
    </xf>
    <xf numFmtId="0" fontId="2" fillId="0" borderId="57" xfId="0" applyFont="1" applyBorder="1" applyAlignment="1">
      <alignment horizontal="center" vertical="center" wrapText="1" shrinkToFit="1"/>
    </xf>
    <xf numFmtId="0" fontId="2" fillId="0" borderId="25" xfId="0" applyFont="1" applyBorder="1" applyAlignment="1">
      <alignment horizontal="distributed" vertical="center"/>
    </xf>
    <xf numFmtId="0" fontId="2" fillId="0" borderId="10" xfId="0" applyFont="1" applyBorder="1" applyAlignment="1">
      <alignment horizontal="distributed" vertical="center"/>
    </xf>
    <xf numFmtId="3" fontId="5" fillId="0" borderId="33" xfId="0" applyNumberFormat="1" applyFont="1" applyBorder="1" applyAlignment="1">
      <alignment horizontal="right" vertical="center" shrinkToFit="1"/>
    </xf>
    <xf numFmtId="3" fontId="5" fillId="0" borderId="34" xfId="0" applyNumberFormat="1" applyFont="1" applyBorder="1" applyAlignment="1">
      <alignment horizontal="right" vertical="center" shrinkToFit="1"/>
    </xf>
    <xf numFmtId="176" fontId="2" fillId="0" borderId="56" xfId="0" quotePrefix="1" applyNumberFormat="1" applyFont="1" applyBorder="1" applyAlignment="1">
      <alignment horizontal="right" vertical="center"/>
    </xf>
    <xf numFmtId="176" fontId="2" fillId="0" borderId="54" xfId="0" quotePrefix="1" applyNumberFormat="1" applyFont="1" applyBorder="1" applyAlignment="1">
      <alignment horizontal="right" vertical="center"/>
    </xf>
    <xf numFmtId="176" fontId="2" fillId="0" borderId="55" xfId="0" quotePrefix="1" applyNumberFormat="1" applyFont="1" applyBorder="1" applyAlignment="1">
      <alignment horizontal="right" vertical="center"/>
    </xf>
    <xf numFmtId="0" fontId="2" fillId="0" borderId="27" xfId="0" applyFont="1" applyBorder="1" applyAlignment="1">
      <alignment horizontal="distributed" vertical="center"/>
    </xf>
    <xf numFmtId="0" fontId="2" fillId="0" borderId="14" xfId="0" applyFont="1" applyBorder="1" applyAlignment="1">
      <alignment horizontal="distributed" vertical="center"/>
    </xf>
    <xf numFmtId="188" fontId="5" fillId="0" borderId="39" xfId="0" applyNumberFormat="1" applyFont="1" applyBorder="1" applyAlignment="1">
      <alignment horizontal="right" vertical="center" shrinkToFit="1"/>
    </xf>
    <xf numFmtId="188" fontId="5" fillId="0" borderId="37" xfId="0" applyNumberFormat="1" applyFont="1" applyBorder="1" applyAlignment="1">
      <alignment horizontal="right" vertical="center" shrinkToFit="1"/>
    </xf>
    <xf numFmtId="190" fontId="5" fillId="0" borderId="37" xfId="0" applyNumberFormat="1" applyFont="1" applyBorder="1" applyAlignment="1">
      <alignment horizontal="right" vertical="center" shrinkToFit="1"/>
    </xf>
    <xf numFmtId="190" fontId="5" fillId="0" borderId="66" xfId="0" applyNumberFormat="1" applyFont="1" applyBorder="1" applyAlignment="1">
      <alignment horizontal="right" vertical="center" shrinkToFit="1"/>
    </xf>
    <xf numFmtId="0" fontId="2" fillId="0" borderId="40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 shrinkToFit="1"/>
    </xf>
    <xf numFmtId="0" fontId="2" fillId="0" borderId="41" xfId="0" applyFont="1" applyBorder="1" applyAlignment="1">
      <alignment horizontal="center" vertical="center" wrapText="1" shrinkToFit="1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76" fontId="2" fillId="0" borderId="58" xfId="0" quotePrefix="1" applyNumberFormat="1" applyFont="1" applyBorder="1" applyAlignment="1">
      <alignment horizontal="right" vertical="center"/>
    </xf>
    <xf numFmtId="176" fontId="2" fillId="0" borderId="0" xfId="0" quotePrefix="1" applyNumberFormat="1" applyFont="1" applyAlignment="1">
      <alignment horizontal="right" vertical="center"/>
    </xf>
    <xf numFmtId="176" fontId="2" fillId="0" borderId="65" xfId="0" quotePrefix="1" applyNumberFormat="1" applyFont="1" applyBorder="1" applyAlignment="1">
      <alignment horizontal="right" vertical="center"/>
    </xf>
    <xf numFmtId="176" fontId="2" fillId="0" borderId="40" xfId="0" quotePrefix="1" applyNumberFormat="1" applyFont="1" applyBorder="1" applyAlignment="1">
      <alignment horizontal="right" vertical="center"/>
    </xf>
    <xf numFmtId="190" fontId="5" fillId="0" borderId="4" xfId="0" applyNumberFormat="1" applyFont="1" applyBorder="1" applyAlignment="1">
      <alignment horizontal="right" vertical="center" shrinkToFit="1"/>
    </xf>
    <xf numFmtId="190" fontId="5" fillId="0" borderId="5" xfId="0" applyNumberFormat="1" applyFont="1" applyBorder="1" applyAlignment="1">
      <alignment horizontal="right" vertical="center" shrinkToFit="1"/>
    </xf>
    <xf numFmtId="190" fontId="5" fillId="0" borderId="22" xfId="0" applyNumberFormat="1" applyFont="1" applyBorder="1" applyAlignment="1">
      <alignment horizontal="right" vertical="center" shrinkToFit="1"/>
    </xf>
    <xf numFmtId="0" fontId="2" fillId="0" borderId="17" xfId="0" applyFont="1" applyBorder="1" applyAlignment="1">
      <alignment horizontal="distributed" vertical="center"/>
    </xf>
    <xf numFmtId="0" fontId="2" fillId="0" borderId="7" xfId="0" applyFont="1" applyBorder="1" applyAlignment="1">
      <alignment horizontal="distributed" vertical="center"/>
    </xf>
    <xf numFmtId="0" fontId="2" fillId="0" borderId="22" xfId="0" applyFont="1" applyBorder="1" applyAlignment="1">
      <alignment horizontal="distributed" vertical="center"/>
    </xf>
    <xf numFmtId="190" fontId="5" fillId="0" borderId="11" xfId="0" applyNumberFormat="1" applyFont="1" applyBorder="1" applyAlignment="1">
      <alignment horizontal="right" vertical="center" shrinkToFit="1"/>
    </xf>
    <xf numFmtId="190" fontId="5" fillId="0" borderId="10" xfId="0" applyNumberFormat="1" applyFont="1" applyBorder="1" applyAlignment="1">
      <alignment horizontal="right" vertical="center" shrinkToFit="1"/>
    </xf>
    <xf numFmtId="190" fontId="5" fillId="0" borderId="24" xfId="0" applyNumberFormat="1" applyFont="1" applyBorder="1" applyAlignment="1">
      <alignment horizontal="right" vertical="center" shrinkToFit="1"/>
    </xf>
    <xf numFmtId="0" fontId="2" fillId="0" borderId="23" xfId="0" applyFont="1" applyBorder="1" applyAlignment="1">
      <alignment horizontal="distributed" vertical="center"/>
    </xf>
    <xf numFmtId="187" fontId="5" fillId="0" borderId="1" xfId="4" applyNumberFormat="1" applyFont="1" applyFill="1" applyBorder="1" applyAlignment="1">
      <alignment horizontal="right" vertical="center" shrinkToFit="1"/>
    </xf>
    <xf numFmtId="187" fontId="5" fillId="0" borderId="2" xfId="4" applyNumberFormat="1" applyFont="1" applyFill="1" applyBorder="1" applyAlignment="1">
      <alignment horizontal="right" vertical="center" shrinkToFit="1"/>
    </xf>
    <xf numFmtId="187" fontId="5" fillId="0" borderId="3" xfId="4" applyNumberFormat="1" applyFont="1" applyFill="1" applyBorder="1" applyAlignment="1">
      <alignment horizontal="right" vertical="center" shrinkToFit="1"/>
    </xf>
    <xf numFmtId="38" fontId="5" fillId="0" borderId="5" xfId="4" applyFont="1" applyFill="1" applyBorder="1" applyAlignment="1">
      <alignment horizontal="right" vertical="center" shrinkToFit="1"/>
    </xf>
    <xf numFmtId="38" fontId="5" fillId="0" borderId="6" xfId="4" applyFont="1" applyFill="1" applyBorder="1" applyAlignment="1">
      <alignment horizontal="right" vertical="center" shrinkToFit="1"/>
    </xf>
    <xf numFmtId="38" fontId="5" fillId="0" borderId="4" xfId="4" applyFont="1" applyFill="1" applyBorder="1" applyAlignment="1">
      <alignment horizontal="right" vertical="center" shrinkToFit="1"/>
    </xf>
    <xf numFmtId="187" fontId="5" fillId="0" borderId="5" xfId="4" applyNumberFormat="1" applyFont="1" applyFill="1" applyBorder="1" applyAlignment="1">
      <alignment horizontal="right" vertical="center" shrinkToFit="1"/>
    </xf>
    <xf numFmtId="187" fontId="5" fillId="0" borderId="6" xfId="4" applyNumberFormat="1" applyFont="1" applyFill="1" applyBorder="1" applyAlignment="1">
      <alignment horizontal="right" vertical="center" shrinkToFit="1"/>
    </xf>
    <xf numFmtId="187" fontId="5" fillId="0" borderId="4" xfId="4" applyNumberFormat="1" applyFont="1" applyFill="1" applyBorder="1" applyAlignment="1">
      <alignment horizontal="right" vertical="center" shrinkToFit="1"/>
    </xf>
    <xf numFmtId="0" fontId="2" fillId="0" borderId="117" xfId="0" applyFont="1" applyBorder="1">
      <alignment vertical="center"/>
    </xf>
    <xf numFmtId="0" fontId="2" fillId="0" borderId="119" xfId="0" applyFont="1" applyBorder="1">
      <alignment vertical="center"/>
    </xf>
    <xf numFmtId="0" fontId="2" fillId="0" borderId="8" xfId="0" applyFont="1" applyBorder="1" applyAlignment="1">
      <alignment horizontal="distributed" vertical="center"/>
    </xf>
    <xf numFmtId="0" fontId="2" fillId="0" borderId="61" xfId="0" applyFont="1" applyBorder="1" applyAlignment="1">
      <alignment horizontal="distributed" vertical="center"/>
    </xf>
    <xf numFmtId="0" fontId="2" fillId="0" borderId="55" xfId="0" applyFont="1" applyBorder="1" applyAlignment="1">
      <alignment horizontal="distributed" vertical="center"/>
    </xf>
    <xf numFmtId="176" fontId="2" fillId="0" borderId="61" xfId="0" quotePrefix="1" applyNumberFormat="1" applyFont="1" applyBorder="1" applyAlignment="1">
      <alignment horizontal="center" vertical="center"/>
    </xf>
    <xf numFmtId="176" fontId="2" fillId="0" borderId="54" xfId="0" quotePrefix="1" applyNumberFormat="1" applyFont="1" applyBorder="1" applyAlignment="1">
      <alignment horizontal="center" vertical="center"/>
    </xf>
    <xf numFmtId="176" fontId="2" fillId="0" borderId="55" xfId="0" quotePrefix="1" applyNumberFormat="1" applyFont="1" applyBorder="1" applyAlignment="1">
      <alignment horizontal="center" vertical="center"/>
    </xf>
    <xf numFmtId="177" fontId="2" fillId="0" borderId="56" xfId="0" applyNumberFormat="1" applyFont="1" applyBorder="1" applyAlignment="1">
      <alignment horizontal="center" vertical="center"/>
    </xf>
    <xf numFmtId="177" fontId="2" fillId="0" borderId="54" xfId="0" applyNumberFormat="1" applyFont="1" applyBorder="1" applyAlignment="1">
      <alignment horizontal="center" vertical="center"/>
    </xf>
    <xf numFmtId="177" fontId="2" fillId="0" borderId="55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distributed" vertical="center"/>
    </xf>
    <xf numFmtId="0" fontId="2" fillId="0" borderId="24" xfId="0" applyFont="1" applyBorder="1" applyAlignment="1">
      <alignment horizontal="distributed" vertical="center"/>
    </xf>
    <xf numFmtId="38" fontId="5" fillId="0" borderId="7" xfId="4" applyFont="1" applyFill="1" applyBorder="1" applyAlignment="1">
      <alignment horizontal="right" vertical="center" shrinkToFit="1"/>
    </xf>
    <xf numFmtId="38" fontId="5" fillId="0" borderId="8" xfId="4" applyFont="1" applyFill="1" applyBorder="1" applyAlignment="1">
      <alignment horizontal="right" vertical="center" shrinkToFit="1"/>
    </xf>
    <xf numFmtId="38" fontId="5" fillId="0" borderId="9" xfId="4" applyFont="1" applyFill="1" applyBorder="1" applyAlignment="1">
      <alignment horizontal="right" vertical="center" shrinkToFit="1"/>
    </xf>
    <xf numFmtId="0" fontId="2" fillId="0" borderId="23" xfId="0" applyFont="1" applyBorder="1" applyAlignment="1">
      <alignment horizontal="distributed" vertical="center" shrinkToFit="1"/>
    </xf>
    <xf numFmtId="0" fontId="2" fillId="0" borderId="5" xfId="0" applyFont="1" applyBorder="1" applyAlignment="1">
      <alignment horizontal="distributed" vertical="center" shrinkToFit="1"/>
    </xf>
    <xf numFmtId="0" fontId="2" fillId="0" borderId="27" xfId="0" applyFont="1" applyBorder="1" applyAlignment="1">
      <alignment horizontal="distributed" vertical="center" shrinkToFit="1"/>
    </xf>
    <xf numFmtId="0" fontId="2" fillId="0" borderId="14" xfId="0" applyFont="1" applyBorder="1" applyAlignment="1">
      <alignment horizontal="distributed" vertical="center" shrinkToFit="1"/>
    </xf>
    <xf numFmtId="188" fontId="5" fillId="0" borderId="27" xfId="0" applyNumberFormat="1" applyFont="1" applyBorder="1" applyAlignment="1">
      <alignment horizontal="right" vertical="center" shrinkToFit="1"/>
    </xf>
    <xf numFmtId="188" fontId="5" fillId="0" borderId="15" xfId="0" applyNumberFormat="1" applyFont="1" applyBorder="1" applyAlignment="1">
      <alignment horizontal="right" vertical="center" shrinkToFit="1"/>
    </xf>
    <xf numFmtId="188" fontId="5" fillId="0" borderId="3" xfId="0" applyNumberFormat="1" applyFont="1" applyBorder="1" applyAlignment="1">
      <alignment horizontal="right" vertical="center" shrinkToFit="1"/>
    </xf>
    <xf numFmtId="0" fontId="2" fillId="0" borderId="25" xfId="0" applyFont="1" applyBorder="1" applyAlignment="1">
      <alignment horizontal="distributed" vertical="center" shrinkToFit="1"/>
    </xf>
    <xf numFmtId="0" fontId="2" fillId="0" borderId="10" xfId="0" applyFont="1" applyBorder="1" applyAlignment="1">
      <alignment horizontal="distributed" vertical="center" shrinkToFit="1"/>
    </xf>
    <xf numFmtId="188" fontId="5" fillId="0" borderId="25" xfId="0" applyNumberFormat="1" applyFont="1" applyBorder="1" applyAlignment="1">
      <alignment horizontal="right" vertical="center" shrinkToFit="1"/>
    </xf>
    <xf numFmtId="188" fontId="5" fillId="0" borderId="10" xfId="0" applyNumberFormat="1" applyFont="1" applyBorder="1" applyAlignment="1">
      <alignment horizontal="right" vertical="center" shrinkToFit="1"/>
    </xf>
    <xf numFmtId="188" fontId="5" fillId="0" borderId="12" xfId="0" applyNumberFormat="1" applyFont="1" applyBorder="1" applyAlignment="1">
      <alignment horizontal="right" vertical="center" shrinkToFit="1"/>
    </xf>
    <xf numFmtId="188" fontId="5" fillId="0" borderId="11" xfId="0" applyNumberFormat="1" applyFont="1" applyBorder="1" applyAlignment="1">
      <alignment horizontal="right" vertical="center" shrinkToFit="1"/>
    </xf>
    <xf numFmtId="38" fontId="5" fillId="0" borderId="10" xfId="4" applyFont="1" applyFill="1" applyBorder="1" applyAlignment="1">
      <alignment horizontal="right" vertical="center" shrinkToFit="1"/>
    </xf>
    <xf numFmtId="38" fontId="5" fillId="0" borderId="12" xfId="4" applyFont="1" applyFill="1" applyBorder="1" applyAlignment="1">
      <alignment horizontal="right" vertical="center" shrinkToFit="1"/>
    </xf>
    <xf numFmtId="38" fontId="5" fillId="0" borderId="11" xfId="4" applyFont="1" applyFill="1" applyBorder="1" applyAlignment="1">
      <alignment horizontal="right" vertical="center" shrinkToFit="1"/>
    </xf>
    <xf numFmtId="0" fontId="2" fillId="0" borderId="9" xfId="0" applyFont="1" applyBorder="1" applyAlignment="1">
      <alignment horizontal="center" vertical="center" wrapText="1" shrinkToFit="1"/>
    </xf>
    <xf numFmtId="0" fontId="2" fillId="0" borderId="7" xfId="0" applyFont="1" applyBorder="1" applyAlignment="1">
      <alignment horizontal="center" vertical="center" wrapText="1" shrinkToFit="1"/>
    </xf>
    <xf numFmtId="176" fontId="2" fillId="0" borderId="17" xfId="0" quotePrefix="1" applyNumberFormat="1" applyFont="1" applyBorder="1" applyAlignment="1">
      <alignment horizontal="center" vertical="center"/>
    </xf>
    <xf numFmtId="176" fontId="2" fillId="0" borderId="7" xfId="0" quotePrefix="1" applyNumberFormat="1" applyFont="1" applyBorder="1" applyAlignment="1">
      <alignment horizontal="center" vertical="center"/>
    </xf>
    <xf numFmtId="176" fontId="2" fillId="0" borderId="8" xfId="0" quotePrefix="1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 shrinkToFit="1"/>
    </xf>
    <xf numFmtId="176" fontId="2" fillId="0" borderId="61" xfId="0" quotePrefix="1" applyNumberFormat="1" applyFont="1" applyBorder="1" applyAlignment="1">
      <alignment horizontal="right" vertical="center"/>
    </xf>
    <xf numFmtId="40" fontId="5" fillId="0" borderId="16" xfId="4" applyNumberFormat="1" applyFont="1" applyFill="1" applyBorder="1" applyAlignment="1">
      <alignment horizontal="right" vertical="center" shrinkToFit="1"/>
    </xf>
    <xf numFmtId="40" fontId="5" fillId="0" borderId="14" xfId="4" applyNumberFormat="1" applyFont="1" applyFill="1" applyBorder="1" applyAlignment="1">
      <alignment horizontal="right" vertical="center" shrinkToFit="1"/>
    </xf>
    <xf numFmtId="40" fontId="5" fillId="0" borderId="15" xfId="4" applyNumberFormat="1" applyFont="1" applyFill="1" applyBorder="1" applyAlignment="1">
      <alignment horizontal="right" vertical="center" shrinkToFit="1"/>
    </xf>
    <xf numFmtId="190" fontId="5" fillId="0" borderId="40" xfId="0" applyNumberFormat="1" applyFont="1" applyBorder="1" applyAlignment="1">
      <alignment horizontal="right" vertical="center" shrinkToFit="1"/>
    </xf>
    <xf numFmtId="190" fontId="5" fillId="0" borderId="0" xfId="0" applyNumberFormat="1" applyFont="1" applyAlignment="1">
      <alignment horizontal="right" vertical="center" shrinkToFit="1"/>
    </xf>
    <xf numFmtId="190" fontId="5" fillId="0" borderId="41" xfId="0" applyNumberFormat="1" applyFont="1" applyBorder="1" applyAlignment="1">
      <alignment horizontal="right" vertical="center" shrinkToFit="1"/>
    </xf>
    <xf numFmtId="0" fontId="2" fillId="0" borderId="4" xfId="0" applyFont="1" applyBorder="1" applyAlignment="1">
      <alignment horizontal="distributed"/>
    </xf>
    <xf numFmtId="0" fontId="2" fillId="0" borderId="5" xfId="0" applyFont="1" applyBorder="1" applyAlignment="1">
      <alignment horizontal="distributed"/>
    </xf>
    <xf numFmtId="0" fontId="2" fillId="0" borderId="22" xfId="0" applyFont="1" applyBorder="1" applyAlignment="1">
      <alignment horizontal="distributed"/>
    </xf>
    <xf numFmtId="0" fontId="6" fillId="0" borderId="58" xfId="0" applyFont="1" applyBorder="1" applyAlignment="1">
      <alignment horizontal="distributed" vertical="center"/>
    </xf>
    <xf numFmtId="0" fontId="6" fillId="0" borderId="0" xfId="0" applyFont="1" applyAlignment="1">
      <alignment horizontal="distributed" vertical="center"/>
    </xf>
    <xf numFmtId="0" fontId="6" fillId="0" borderId="41" xfId="0" applyFont="1" applyBorder="1" applyAlignment="1">
      <alignment horizontal="distributed" vertical="center"/>
    </xf>
    <xf numFmtId="40" fontId="5" fillId="0" borderId="23" xfId="4" applyNumberFormat="1" applyFont="1" applyFill="1" applyBorder="1" applyAlignment="1">
      <alignment horizontal="right" vertical="center" shrinkToFit="1"/>
    </xf>
    <xf numFmtId="40" fontId="5" fillId="0" borderId="5" xfId="4" applyNumberFormat="1" applyFont="1" applyFill="1" applyBorder="1" applyAlignment="1">
      <alignment horizontal="right" vertical="center" shrinkToFit="1"/>
    </xf>
    <xf numFmtId="40" fontId="5" fillId="0" borderId="6" xfId="4" applyNumberFormat="1" applyFont="1" applyFill="1" applyBorder="1" applyAlignment="1">
      <alignment horizontal="right" vertical="center" shrinkToFit="1"/>
    </xf>
    <xf numFmtId="40" fontId="5" fillId="0" borderId="4" xfId="4" applyNumberFormat="1" applyFont="1" applyFill="1" applyBorder="1" applyAlignment="1">
      <alignment horizontal="right" vertical="center" shrinkToFit="1"/>
    </xf>
    <xf numFmtId="40" fontId="5" fillId="0" borderId="27" xfId="4" applyNumberFormat="1" applyFont="1" applyFill="1" applyBorder="1" applyAlignment="1">
      <alignment horizontal="right" vertical="center" shrinkToFit="1"/>
    </xf>
    <xf numFmtId="40" fontId="5" fillId="0" borderId="17" xfId="4" applyNumberFormat="1" applyFont="1" applyFill="1" applyBorder="1" applyAlignment="1">
      <alignment horizontal="right" vertical="center" shrinkToFit="1"/>
    </xf>
    <xf numFmtId="40" fontId="5" fillId="0" borderId="7" xfId="4" applyNumberFormat="1" applyFont="1" applyFill="1" applyBorder="1" applyAlignment="1">
      <alignment horizontal="right" vertical="center" shrinkToFit="1"/>
    </xf>
    <xf numFmtId="40" fontId="5" fillId="0" borderId="8" xfId="4" applyNumberFormat="1" applyFont="1" applyFill="1" applyBorder="1" applyAlignment="1">
      <alignment horizontal="right" vertical="center" shrinkToFit="1"/>
    </xf>
    <xf numFmtId="40" fontId="5" fillId="0" borderId="9" xfId="4" applyNumberFormat="1" applyFont="1" applyFill="1" applyBorder="1" applyAlignment="1">
      <alignment horizontal="right" vertical="center" shrinkToFit="1"/>
    </xf>
    <xf numFmtId="190" fontId="5" fillId="0" borderId="16" xfId="0" applyNumberFormat="1" applyFont="1" applyBorder="1" applyAlignment="1">
      <alignment horizontal="right" vertical="center" shrinkToFit="1"/>
    </xf>
    <xf numFmtId="190" fontId="5" fillId="0" borderId="14" xfId="0" applyNumberFormat="1" applyFont="1" applyBorder="1" applyAlignment="1">
      <alignment horizontal="right" vertical="center" shrinkToFit="1"/>
    </xf>
    <xf numFmtId="190" fontId="5" fillId="0" borderId="38" xfId="0" applyNumberFormat="1" applyFont="1" applyBorder="1" applyAlignment="1">
      <alignment horizontal="right" vertical="center" shrinkToFit="1"/>
    </xf>
    <xf numFmtId="40" fontId="5" fillId="0" borderId="28" xfId="4" applyNumberFormat="1" applyFont="1" applyFill="1" applyBorder="1" applyAlignment="1">
      <alignment horizontal="right" vertical="center" shrinkToFit="1"/>
    </xf>
    <xf numFmtId="40" fontId="5" fillId="0" borderId="1" xfId="4" applyNumberFormat="1" applyFont="1" applyFill="1" applyBorder="1" applyAlignment="1">
      <alignment horizontal="right" vertical="center" shrinkToFit="1"/>
    </xf>
    <xf numFmtId="40" fontId="5" fillId="0" borderId="2" xfId="4" applyNumberFormat="1" applyFont="1" applyFill="1" applyBorder="1" applyAlignment="1">
      <alignment horizontal="right" vertical="center" shrinkToFit="1"/>
    </xf>
    <xf numFmtId="40" fontId="5" fillId="0" borderId="3" xfId="4" applyNumberFormat="1" applyFont="1" applyFill="1" applyBorder="1" applyAlignment="1">
      <alignment horizontal="right" vertical="center" shrinkToFit="1"/>
    </xf>
    <xf numFmtId="40" fontId="5" fillId="0" borderId="25" xfId="4" applyNumberFormat="1" applyFont="1" applyFill="1" applyBorder="1" applyAlignment="1">
      <alignment horizontal="right" vertical="center" shrinkToFit="1"/>
    </xf>
    <xf numFmtId="40" fontId="5" fillId="0" borderId="10" xfId="4" applyNumberFormat="1" applyFont="1" applyFill="1" applyBorder="1" applyAlignment="1">
      <alignment horizontal="right" vertical="center" shrinkToFit="1"/>
    </xf>
    <xf numFmtId="40" fontId="5" fillId="0" borderId="12" xfId="4" applyNumberFormat="1" applyFont="1" applyFill="1" applyBorder="1" applyAlignment="1">
      <alignment horizontal="right" vertical="center" shrinkToFit="1"/>
    </xf>
    <xf numFmtId="0" fontId="2" fillId="0" borderId="9" xfId="0" applyFont="1" applyBorder="1" applyAlignment="1">
      <alignment horizontal="distributed" vertical="center"/>
    </xf>
    <xf numFmtId="40" fontId="5" fillId="0" borderId="11" xfId="4" applyNumberFormat="1" applyFont="1" applyFill="1" applyBorder="1" applyAlignment="1">
      <alignment horizontal="right" vertical="center" shrinkToFi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60" xfId="0" applyFont="1" applyBorder="1" applyAlignment="1">
      <alignment horizontal="distributed" vertical="center"/>
    </xf>
    <xf numFmtId="0" fontId="2" fillId="0" borderId="13" xfId="0" applyFont="1" applyBorder="1" applyAlignment="1">
      <alignment horizontal="distributed" vertical="center"/>
    </xf>
    <xf numFmtId="0" fontId="2" fillId="0" borderId="53" xfId="0" applyFont="1" applyBorder="1" applyAlignment="1">
      <alignment horizontal="distributed" vertical="center"/>
    </xf>
    <xf numFmtId="0" fontId="2" fillId="0" borderId="58" xfId="0" applyFont="1" applyBorder="1" applyAlignment="1">
      <alignment horizontal="distributed" vertical="center"/>
    </xf>
    <xf numFmtId="0" fontId="2" fillId="0" borderId="0" xfId="0" applyFont="1" applyAlignment="1">
      <alignment horizontal="distributed" vertical="center"/>
    </xf>
    <xf numFmtId="0" fontId="2" fillId="0" borderId="41" xfId="0" applyFont="1" applyBorder="1" applyAlignment="1">
      <alignment horizontal="distributed" vertical="center"/>
    </xf>
    <xf numFmtId="3" fontId="5" fillId="0" borderId="3" xfId="0" applyNumberFormat="1" applyFont="1" applyBorder="1" applyAlignment="1">
      <alignment horizontal="right" vertical="center" shrinkToFit="1"/>
    </xf>
    <xf numFmtId="3" fontId="5" fillId="0" borderId="68" xfId="0" applyNumberFormat="1" applyFont="1" applyBorder="1" applyAlignment="1">
      <alignment horizontal="right" vertical="center" shrinkToFit="1"/>
    </xf>
    <xf numFmtId="3" fontId="5" fillId="0" borderId="69" xfId="0" applyNumberFormat="1" applyFont="1" applyBorder="1" applyAlignment="1">
      <alignment horizontal="right" vertical="center" shrinkToFit="1"/>
    </xf>
    <xf numFmtId="3" fontId="5" fillId="0" borderId="71" xfId="0" applyNumberFormat="1" applyFont="1" applyBorder="1" applyAlignment="1">
      <alignment horizontal="right" vertical="center" shrinkToFit="1"/>
    </xf>
    <xf numFmtId="190" fontId="5" fillId="0" borderId="72" xfId="0" applyNumberFormat="1" applyFont="1" applyBorder="1" applyAlignment="1">
      <alignment horizontal="right" vertical="center" shrinkToFit="1"/>
    </xf>
    <xf numFmtId="190" fontId="5" fillId="0" borderId="69" xfId="0" applyNumberFormat="1" applyFont="1" applyBorder="1" applyAlignment="1">
      <alignment horizontal="right" vertical="center" shrinkToFit="1"/>
    </xf>
    <xf numFmtId="190" fontId="5" fillId="0" borderId="70" xfId="0" applyNumberFormat="1" applyFont="1" applyBorder="1" applyAlignment="1">
      <alignment horizontal="right" vertical="center" shrinkToFit="1"/>
    </xf>
    <xf numFmtId="0" fontId="2" fillId="0" borderId="68" xfId="0" applyFont="1" applyBorder="1" applyAlignment="1">
      <alignment horizontal="distributed" vertical="center"/>
    </xf>
    <xf numFmtId="0" fontId="2" fillId="0" borderId="69" xfId="0" applyFont="1" applyBorder="1" applyAlignment="1">
      <alignment horizontal="distributed" vertical="center"/>
    </xf>
    <xf numFmtId="0" fontId="2" fillId="0" borderId="70" xfId="0" applyFont="1" applyBorder="1" applyAlignment="1">
      <alignment horizontal="distributed" vertical="center"/>
    </xf>
    <xf numFmtId="3" fontId="5" fillId="0" borderId="72" xfId="0" applyNumberFormat="1" applyFont="1" applyBorder="1" applyAlignment="1">
      <alignment horizontal="right" vertical="center" shrinkToFit="1"/>
    </xf>
    <xf numFmtId="0" fontId="2" fillId="0" borderId="22" xfId="0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76" fontId="2" fillId="0" borderId="12" xfId="0" quotePrefix="1" applyNumberFormat="1" applyFont="1" applyBorder="1" applyAlignment="1">
      <alignment horizontal="center" vertical="center"/>
    </xf>
    <xf numFmtId="176" fontId="2" fillId="0" borderId="34" xfId="0" quotePrefix="1" applyNumberFormat="1" applyFont="1" applyBorder="1" applyAlignment="1">
      <alignment horizontal="center" vertical="center"/>
    </xf>
    <xf numFmtId="177" fontId="2" fillId="0" borderId="34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shrinkToFit="1"/>
    </xf>
    <xf numFmtId="0" fontId="2" fillId="0" borderId="67" xfId="0" applyFont="1" applyBorder="1" applyAlignment="1">
      <alignment horizontal="center" vertical="center" shrinkToFit="1"/>
    </xf>
    <xf numFmtId="3" fontId="5" fillId="0" borderId="31" xfId="0" applyNumberFormat="1" applyFont="1" applyBorder="1" applyAlignment="1">
      <alignment horizontal="right" vertical="center" shrinkToFit="1"/>
    </xf>
    <xf numFmtId="0" fontId="2" fillId="0" borderId="28" xfId="0" applyFont="1" applyBorder="1" applyAlignment="1">
      <alignment horizontal="distributed" vertical="center"/>
    </xf>
    <xf numFmtId="0" fontId="2" fillId="0" borderId="1" xfId="0" applyFont="1" applyBorder="1" applyAlignment="1">
      <alignment horizontal="distributed" vertical="center"/>
    </xf>
    <xf numFmtId="0" fontId="2" fillId="0" borderId="26" xfId="0" applyFont="1" applyBorder="1" applyAlignment="1">
      <alignment horizontal="distributed" vertical="center"/>
    </xf>
    <xf numFmtId="3" fontId="5" fillId="0" borderId="30" xfId="0" applyNumberFormat="1" applyFont="1" applyBorder="1" applyAlignment="1">
      <alignment horizontal="right" vertical="center" shrinkToFit="1"/>
    </xf>
    <xf numFmtId="38" fontId="5" fillId="0" borderId="2" xfId="4" applyFont="1" applyFill="1" applyBorder="1" applyAlignment="1">
      <alignment horizontal="right" vertical="center" shrinkToFit="1"/>
    </xf>
    <xf numFmtId="38" fontId="5" fillId="0" borderId="30" xfId="4" applyFont="1" applyFill="1" applyBorder="1" applyAlignment="1">
      <alignment horizontal="right" vertical="center" shrinkToFit="1"/>
    </xf>
    <xf numFmtId="38" fontId="5" fillId="0" borderId="31" xfId="4" applyFont="1" applyFill="1" applyBorder="1" applyAlignment="1">
      <alignment horizontal="right" vertical="center" shrinkToFit="1"/>
    </xf>
    <xf numFmtId="178" fontId="5" fillId="0" borderId="81" xfId="0" applyNumberFormat="1" applyFont="1" applyBorder="1" applyAlignment="1">
      <alignment horizontal="right" vertical="center" shrinkToFit="1"/>
    </xf>
    <xf numFmtId="183" fontId="5" fillId="0" borderId="82" xfId="0" applyNumberFormat="1" applyFont="1" applyBorder="1" applyAlignment="1">
      <alignment horizontal="right" vertical="center" shrinkToFit="1"/>
    </xf>
    <xf numFmtId="178" fontId="5" fillId="0" borderId="82" xfId="0" applyNumberFormat="1" applyFont="1" applyBorder="1" applyAlignment="1">
      <alignment horizontal="right" vertical="center" shrinkToFit="1"/>
    </xf>
    <xf numFmtId="3" fontId="5" fillId="0" borderId="31" xfId="4" applyNumberFormat="1" applyFont="1" applyFill="1" applyBorder="1" applyAlignment="1">
      <alignment horizontal="right" vertical="center" shrinkToFit="1"/>
    </xf>
    <xf numFmtId="3" fontId="5" fillId="0" borderId="12" xfId="4" applyNumberFormat="1" applyFont="1" applyFill="1" applyBorder="1" applyAlignment="1">
      <alignment horizontal="right" vertical="center" shrinkToFit="1"/>
    </xf>
    <xf numFmtId="3" fontId="5" fillId="0" borderId="34" xfId="4" applyNumberFormat="1" applyFont="1" applyFill="1" applyBorder="1" applyAlignment="1">
      <alignment horizontal="right" vertical="center" shrinkToFit="1"/>
    </xf>
    <xf numFmtId="179" fontId="5" fillId="0" borderId="20" xfId="0" applyNumberFormat="1" applyFont="1" applyBorder="1" applyAlignment="1">
      <alignment horizontal="right" vertical="center" shrinkToFit="1"/>
    </xf>
    <xf numFmtId="179" fontId="5" fillId="0" borderId="19" xfId="0" applyNumberFormat="1" applyFont="1" applyBorder="1" applyAlignment="1">
      <alignment horizontal="right" vertical="center" shrinkToFit="1"/>
    </xf>
    <xf numFmtId="179" fontId="5" fillId="0" borderId="21" xfId="0" applyNumberFormat="1" applyFont="1" applyBorder="1" applyAlignment="1">
      <alignment horizontal="right" vertical="center" shrinkToFit="1"/>
    </xf>
    <xf numFmtId="0" fontId="2" fillId="0" borderId="27" xfId="0" applyFont="1" applyBorder="1" applyAlignment="1">
      <alignment horizontal="center" vertical="center"/>
    </xf>
    <xf numFmtId="176" fontId="2" fillId="0" borderId="33" xfId="0" quotePrefix="1" applyNumberFormat="1" applyFont="1" applyBorder="1" applyAlignment="1">
      <alignment horizontal="center" vertical="center"/>
    </xf>
    <xf numFmtId="38" fontId="5" fillId="0" borderId="69" xfId="4" applyFont="1" applyFill="1" applyBorder="1" applyAlignment="1">
      <alignment horizontal="right" vertical="center" shrinkToFit="1"/>
    </xf>
    <xf numFmtId="38" fontId="5" fillId="0" borderId="71" xfId="4" applyFont="1" applyFill="1" applyBorder="1" applyAlignment="1">
      <alignment horizontal="right" vertical="center" shrinkToFit="1"/>
    </xf>
    <xf numFmtId="38" fontId="5" fillId="0" borderId="72" xfId="4" applyFont="1" applyFill="1" applyBorder="1" applyAlignment="1">
      <alignment horizontal="right" vertical="center" shrinkToFit="1"/>
    </xf>
    <xf numFmtId="38" fontId="5" fillId="0" borderId="68" xfId="4" applyFont="1" applyFill="1" applyBorder="1" applyAlignment="1">
      <alignment horizontal="right" vertical="center" shrinkToFit="1"/>
    </xf>
    <xf numFmtId="3" fontId="5" fillId="0" borderId="6" xfId="4" applyNumberFormat="1" applyFont="1" applyFill="1" applyBorder="1" applyAlignment="1">
      <alignment horizontal="right" vertical="center" shrinkToFit="1"/>
    </xf>
    <xf numFmtId="0" fontId="2" fillId="0" borderId="118" xfId="0" applyFont="1" applyBorder="1">
      <alignment vertical="center"/>
    </xf>
    <xf numFmtId="0" fontId="2" fillId="0" borderId="42" xfId="0" applyFont="1" applyBorder="1">
      <alignment vertical="center"/>
    </xf>
    <xf numFmtId="0" fontId="2" fillId="0" borderId="27" xfId="0" applyFont="1" applyBorder="1" applyAlignment="1">
      <alignment horizontal="distributed" vertical="center" justifyLastLine="1"/>
    </xf>
    <xf numFmtId="0" fontId="2" fillId="0" borderId="14" xfId="0" applyFont="1" applyBorder="1" applyAlignment="1">
      <alignment horizontal="distributed" vertical="center" justifyLastLine="1"/>
    </xf>
    <xf numFmtId="0" fontId="2" fillId="0" borderId="38" xfId="0" applyFont="1" applyBorder="1" applyAlignment="1">
      <alignment horizontal="distributed" vertical="center" justifyLastLine="1"/>
    </xf>
    <xf numFmtId="0" fontId="2" fillId="0" borderId="120" xfId="0" applyFont="1" applyBorder="1">
      <alignment vertical="center"/>
    </xf>
    <xf numFmtId="0" fontId="2" fillId="0" borderId="11" xfId="0" applyFont="1" applyBorder="1" applyAlignment="1">
      <alignment horizontal="distributed"/>
    </xf>
    <xf numFmtId="0" fontId="2" fillId="0" borderId="10" xfId="0" applyFont="1" applyBorder="1" applyAlignment="1">
      <alignment horizontal="distributed"/>
    </xf>
    <xf numFmtId="0" fontId="2" fillId="0" borderId="24" xfId="0" applyFont="1" applyBorder="1" applyAlignment="1">
      <alignment horizontal="distributed"/>
    </xf>
    <xf numFmtId="40" fontId="5" fillId="0" borderId="58" xfId="4" applyNumberFormat="1" applyFont="1" applyFill="1" applyBorder="1" applyAlignment="1">
      <alignment horizontal="right" vertical="center" shrinkToFit="1"/>
    </xf>
    <xf numFmtId="40" fontId="5" fillId="0" borderId="0" xfId="4" applyNumberFormat="1" applyFont="1" applyFill="1" applyBorder="1" applyAlignment="1">
      <alignment horizontal="right" vertical="center" shrinkToFit="1"/>
    </xf>
    <xf numFmtId="40" fontId="5" fillId="0" borderId="65" xfId="4" applyNumberFormat="1" applyFont="1" applyFill="1" applyBorder="1" applyAlignment="1">
      <alignment horizontal="right" vertical="center" shrinkToFit="1"/>
    </xf>
    <xf numFmtId="0" fontId="2" fillId="0" borderId="23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22" xfId="0" applyFont="1" applyBorder="1">
      <alignment vertical="center"/>
    </xf>
    <xf numFmtId="0" fontId="2" fillId="0" borderId="25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24" xfId="0" applyFont="1" applyBorder="1">
      <alignment vertical="center"/>
    </xf>
    <xf numFmtId="0" fontId="2" fillId="0" borderId="68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27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38" xfId="0" applyFont="1" applyBorder="1">
      <alignment vertical="center"/>
    </xf>
    <xf numFmtId="0" fontId="2" fillId="0" borderId="6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8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26" xfId="0" applyFont="1" applyBorder="1">
      <alignment vertical="center"/>
    </xf>
    <xf numFmtId="3" fontId="5" fillId="0" borderId="2" xfId="4" applyNumberFormat="1" applyFont="1" applyFill="1" applyBorder="1" applyAlignment="1">
      <alignment horizontal="right" vertical="center" shrinkToFit="1"/>
    </xf>
    <xf numFmtId="3" fontId="5" fillId="0" borderId="30" xfId="4" applyNumberFormat="1" applyFont="1" applyFill="1" applyBorder="1" applyAlignment="1">
      <alignment horizontal="right" vertical="center" shrinkToFit="1"/>
    </xf>
    <xf numFmtId="190" fontId="5" fillId="0" borderId="34" xfId="0" applyNumberFormat="1" applyFont="1" applyBorder="1" applyAlignment="1">
      <alignment horizontal="right" vertical="center" shrinkToFit="1"/>
    </xf>
    <xf numFmtId="190" fontId="5" fillId="0" borderId="67" xfId="0" applyNumberFormat="1" applyFont="1" applyBorder="1" applyAlignment="1">
      <alignment horizontal="right" vertical="center" shrinkToFit="1"/>
    </xf>
    <xf numFmtId="3" fontId="5" fillId="0" borderId="60" xfId="0" applyNumberFormat="1" applyFont="1" applyBorder="1" applyAlignment="1">
      <alignment horizontal="right" vertical="center" shrinkToFit="1"/>
    </xf>
    <xf numFmtId="3" fontId="5" fillId="0" borderId="13" xfId="0" applyNumberFormat="1" applyFont="1" applyBorder="1" applyAlignment="1">
      <alignment horizontal="right" vertical="center" shrinkToFit="1"/>
    </xf>
    <xf numFmtId="3" fontId="5" fillId="0" borderId="51" xfId="0" applyNumberFormat="1" applyFont="1" applyBorder="1" applyAlignment="1">
      <alignment horizontal="right" vertical="center" shrinkToFit="1"/>
    </xf>
    <xf numFmtId="190" fontId="5" fillId="0" borderId="31" xfId="0" applyNumberFormat="1" applyFont="1" applyBorder="1" applyAlignment="1">
      <alignment horizontal="right" vertical="center" shrinkToFit="1"/>
    </xf>
    <xf numFmtId="190" fontId="5" fillId="0" borderId="74" xfId="0" applyNumberFormat="1" applyFont="1" applyBorder="1" applyAlignment="1">
      <alignment horizontal="right" vertical="center" shrinkToFit="1"/>
    </xf>
    <xf numFmtId="0" fontId="2" fillId="0" borderId="72" xfId="0" applyFont="1" applyBorder="1" applyAlignment="1">
      <alignment horizontal="center" vertical="center" wrapText="1" shrinkToFit="1"/>
    </xf>
    <xf numFmtId="0" fontId="2" fillId="0" borderId="69" xfId="0" applyFont="1" applyBorder="1" applyAlignment="1">
      <alignment horizontal="center" vertical="center" wrapText="1" shrinkToFit="1"/>
    </xf>
    <xf numFmtId="0" fontId="2" fillId="0" borderId="70" xfId="0" applyFont="1" applyBorder="1" applyAlignment="1">
      <alignment horizontal="center" vertical="center" wrapText="1" shrinkToFit="1"/>
    </xf>
    <xf numFmtId="187" fontId="5" fillId="0" borderId="27" xfId="4" applyNumberFormat="1" applyFont="1" applyFill="1" applyBorder="1" applyAlignment="1">
      <alignment horizontal="right" vertical="center" shrinkToFit="1"/>
    </xf>
    <xf numFmtId="187" fontId="5" fillId="0" borderId="14" xfId="4" applyNumberFormat="1" applyFont="1" applyFill="1" applyBorder="1" applyAlignment="1">
      <alignment horizontal="right" vertical="center" shrinkToFit="1"/>
    </xf>
    <xf numFmtId="187" fontId="5" fillId="0" borderId="15" xfId="4" applyNumberFormat="1" applyFont="1" applyFill="1" applyBorder="1" applyAlignment="1">
      <alignment horizontal="right" vertical="center" shrinkToFit="1"/>
    </xf>
    <xf numFmtId="187" fontId="5" fillId="0" borderId="28" xfId="4" applyNumberFormat="1" applyFont="1" applyFill="1" applyBorder="1" applyAlignment="1">
      <alignment horizontal="right" vertical="center" shrinkToFit="1"/>
    </xf>
    <xf numFmtId="178" fontId="5" fillId="0" borderId="25" xfId="0" applyNumberFormat="1" applyFont="1" applyBorder="1" applyAlignment="1">
      <alignment horizontal="center" vertical="center" shrinkToFit="1"/>
    </xf>
    <xf numFmtId="178" fontId="5" fillId="0" borderId="10" xfId="0" applyNumberFormat="1" applyFont="1" applyBorder="1" applyAlignment="1">
      <alignment horizontal="center" vertical="center" shrinkToFit="1"/>
    </xf>
    <xf numFmtId="178" fontId="5" fillId="0" borderId="23" xfId="0" applyNumberFormat="1" applyFont="1" applyBorder="1" applyAlignment="1">
      <alignment horizontal="center" vertical="center" shrinkToFit="1"/>
    </xf>
    <xf numFmtId="178" fontId="5" fillId="0" borderId="5" xfId="0" applyNumberFormat="1" applyFont="1" applyBorder="1" applyAlignment="1">
      <alignment horizontal="center" vertical="center" shrinkToFit="1"/>
    </xf>
    <xf numFmtId="178" fontId="5" fillId="0" borderId="27" xfId="0" applyNumberFormat="1" applyFont="1" applyBorder="1" applyAlignment="1">
      <alignment horizontal="center" vertical="center" shrinkToFit="1"/>
    </xf>
    <xf numFmtId="178" fontId="5" fillId="0" borderId="14" xfId="0" applyNumberFormat="1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distributed" vertical="center"/>
    </xf>
    <xf numFmtId="0" fontId="2" fillId="0" borderId="77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2" fillId="0" borderId="61" xfId="0" applyFont="1" applyBorder="1">
      <alignment vertical="center"/>
    </xf>
    <xf numFmtId="0" fontId="2" fillId="0" borderId="54" xfId="0" applyFont="1" applyBorder="1">
      <alignment vertical="center"/>
    </xf>
    <xf numFmtId="0" fontId="2" fillId="0" borderId="57" xfId="0" applyFont="1" applyBorder="1">
      <alignment vertical="center"/>
    </xf>
    <xf numFmtId="187" fontId="5" fillId="0" borderId="68" xfId="4" applyNumberFormat="1" applyFont="1" applyFill="1" applyBorder="1" applyAlignment="1">
      <alignment horizontal="right" vertical="center" shrinkToFit="1"/>
    </xf>
    <xf numFmtId="187" fontId="5" fillId="0" borderId="69" xfId="4" applyNumberFormat="1" applyFont="1" applyFill="1" applyBorder="1" applyAlignment="1">
      <alignment horizontal="right" vertical="center" shrinkToFit="1"/>
    </xf>
    <xf numFmtId="187" fontId="5" fillId="0" borderId="71" xfId="4" applyNumberFormat="1" applyFont="1" applyFill="1" applyBorder="1" applyAlignment="1">
      <alignment horizontal="right" vertical="center" shrinkToFit="1"/>
    </xf>
    <xf numFmtId="187" fontId="5" fillId="0" borderId="25" xfId="4" applyNumberFormat="1" applyFont="1" applyFill="1" applyBorder="1" applyAlignment="1">
      <alignment horizontal="right" vertical="center" shrinkToFit="1"/>
    </xf>
    <xf numFmtId="187" fontId="5" fillId="0" borderId="10" xfId="4" applyNumberFormat="1" applyFont="1" applyFill="1" applyBorder="1" applyAlignment="1">
      <alignment horizontal="right" vertical="center" shrinkToFit="1"/>
    </xf>
    <xf numFmtId="187" fontId="5" fillId="0" borderId="12" xfId="4" applyNumberFormat="1" applyFont="1" applyFill="1" applyBorder="1" applyAlignment="1">
      <alignment horizontal="right" vertical="center" shrinkToFit="1"/>
    </xf>
    <xf numFmtId="4" fontId="5" fillId="0" borderId="32" xfId="0" applyNumberFormat="1" applyFont="1" applyBorder="1" applyAlignment="1">
      <alignment horizontal="right" vertical="center" shrinkToFit="1"/>
    </xf>
    <xf numFmtId="4" fontId="5" fillId="0" borderId="31" xfId="0" applyNumberFormat="1" applyFont="1" applyBorder="1" applyAlignment="1">
      <alignment horizontal="right" vertical="center" shrinkToFit="1"/>
    </xf>
    <xf numFmtId="187" fontId="5" fillId="0" borderId="11" xfId="4" applyNumberFormat="1" applyFont="1" applyFill="1" applyBorder="1" applyAlignment="1">
      <alignment horizontal="right" vertical="center" shrinkToFit="1"/>
    </xf>
    <xf numFmtId="4" fontId="5" fillId="0" borderId="23" xfId="4" applyNumberFormat="1" applyFont="1" applyFill="1" applyBorder="1" applyAlignment="1">
      <alignment horizontal="right" vertical="center" shrinkToFit="1"/>
    </xf>
    <xf numFmtId="4" fontId="5" fillId="0" borderId="5" xfId="4" applyNumberFormat="1" applyFont="1" applyFill="1" applyBorder="1" applyAlignment="1">
      <alignment horizontal="right" vertical="center" shrinkToFit="1"/>
    </xf>
    <xf numFmtId="4" fontId="5" fillId="0" borderId="6" xfId="4" applyNumberFormat="1" applyFont="1" applyFill="1" applyBorder="1" applyAlignment="1">
      <alignment horizontal="right" vertical="center" shrinkToFit="1"/>
    </xf>
    <xf numFmtId="4" fontId="5" fillId="0" borderId="32" xfId="4" applyNumberFormat="1" applyFont="1" applyFill="1" applyBorder="1" applyAlignment="1">
      <alignment horizontal="right" vertical="center" shrinkToFit="1"/>
    </xf>
    <xf numFmtId="4" fontId="5" fillId="0" borderId="31" xfId="4" applyNumberFormat="1" applyFont="1" applyFill="1" applyBorder="1" applyAlignment="1">
      <alignment horizontal="right" vertical="center" shrinkToFit="1"/>
    </xf>
    <xf numFmtId="180" fontId="5" fillId="0" borderId="114" xfId="0" applyNumberFormat="1" applyFont="1" applyBorder="1" applyAlignment="1">
      <alignment horizontal="right" vertical="center" shrinkToFit="1"/>
    </xf>
    <xf numFmtId="184" fontId="5" fillId="0" borderId="115" xfId="0" applyNumberFormat="1" applyFont="1" applyBorder="1" applyAlignment="1">
      <alignment horizontal="right" vertical="center" shrinkToFit="1"/>
    </xf>
    <xf numFmtId="180" fontId="5" fillId="0" borderId="115" xfId="0" applyNumberFormat="1" applyFont="1" applyBorder="1" applyAlignment="1">
      <alignment horizontal="right" vertical="center" shrinkToFit="1"/>
    </xf>
    <xf numFmtId="189" fontId="5" fillId="0" borderId="112" xfId="0" applyNumberFormat="1" applyFont="1" applyBorder="1" applyAlignment="1">
      <alignment horizontal="right" vertical="center" shrinkToFit="1"/>
    </xf>
    <xf numFmtId="189" fontId="5" fillId="0" borderId="113" xfId="0" applyNumberFormat="1" applyFont="1" applyBorder="1" applyAlignment="1">
      <alignment horizontal="right" vertical="center" shrinkToFit="1"/>
    </xf>
    <xf numFmtId="40" fontId="5" fillId="0" borderId="29" xfId="4" applyNumberFormat="1" applyFont="1" applyFill="1" applyBorder="1" applyAlignment="1">
      <alignment horizontal="right" vertical="center" shrinkToFit="1"/>
    </xf>
    <xf numFmtId="40" fontId="5" fillId="0" borderId="30" xfId="4" applyNumberFormat="1" applyFont="1" applyFill="1" applyBorder="1" applyAlignment="1">
      <alignment horizontal="right" vertical="center" shrinkToFit="1"/>
    </xf>
    <xf numFmtId="40" fontId="5" fillId="0" borderId="33" xfId="4" applyNumberFormat="1" applyFont="1" applyFill="1" applyBorder="1" applyAlignment="1">
      <alignment horizontal="right" vertical="center" shrinkToFit="1"/>
    </xf>
    <xf numFmtId="40" fontId="5" fillId="0" borderId="34" xfId="4" applyNumberFormat="1" applyFont="1" applyFill="1" applyBorder="1" applyAlignment="1">
      <alignment horizontal="right" vertical="center" shrinkToFit="1"/>
    </xf>
    <xf numFmtId="0" fontId="2" fillId="0" borderId="14" xfId="0" applyFont="1" applyBorder="1" applyAlignment="1">
      <alignment horizontal="center" vertical="center" justifyLastLine="1"/>
    </xf>
    <xf numFmtId="0" fontId="2" fillId="0" borderId="38" xfId="0" applyFont="1" applyBorder="1" applyAlignment="1">
      <alignment horizontal="center" vertical="center" justifyLastLine="1"/>
    </xf>
    <xf numFmtId="0" fontId="2" fillId="0" borderId="27" xfId="0" applyFont="1" applyBorder="1" applyAlignment="1">
      <alignment horizontal="center" vertical="center" justifyLastLine="1"/>
    </xf>
    <xf numFmtId="176" fontId="2" fillId="0" borderId="10" xfId="0" quotePrefix="1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  <xf numFmtId="177" fontId="2" fillId="0" borderId="12" xfId="0" applyNumberFormat="1" applyFont="1" applyBorder="1" applyAlignment="1">
      <alignment horizontal="center" vertical="center"/>
    </xf>
    <xf numFmtId="176" fontId="2" fillId="0" borderId="71" xfId="0" quotePrefix="1" applyNumberFormat="1" applyFont="1" applyBorder="1" applyAlignment="1">
      <alignment horizontal="center" vertical="center"/>
    </xf>
    <xf numFmtId="176" fontId="2" fillId="0" borderId="76" xfId="0" quotePrefix="1" applyNumberFormat="1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 shrinkToFit="1"/>
    </xf>
    <xf numFmtId="0" fontId="2" fillId="0" borderId="80" xfId="0" applyFont="1" applyBorder="1" applyAlignment="1">
      <alignment horizontal="center" vertical="center" shrinkToFit="1"/>
    </xf>
    <xf numFmtId="177" fontId="2" fillId="0" borderId="76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textRotation="255"/>
    </xf>
    <xf numFmtId="0" fontId="2" fillId="0" borderId="59" xfId="0" applyFont="1" applyBorder="1" applyAlignment="1">
      <alignment horizontal="center" vertical="center" textRotation="255"/>
    </xf>
    <xf numFmtId="179" fontId="5" fillId="0" borderId="115" xfId="0" applyNumberFormat="1" applyFont="1" applyBorder="1" applyAlignment="1">
      <alignment horizontal="right" vertical="center" shrinkToFit="1"/>
    </xf>
    <xf numFmtId="179" fontId="5" fillId="0" borderId="116" xfId="0" applyNumberFormat="1" applyFont="1" applyBorder="1" applyAlignment="1">
      <alignment horizontal="right" vertical="center" shrinkToFit="1"/>
    </xf>
    <xf numFmtId="0" fontId="2" fillId="0" borderId="3" xfId="0" applyFont="1" applyBorder="1" applyAlignment="1">
      <alignment horizontal="distributed" vertical="center"/>
    </xf>
    <xf numFmtId="188" fontId="5" fillId="0" borderId="96" xfId="0" applyNumberFormat="1" applyFont="1" applyBorder="1" applyAlignment="1">
      <alignment horizontal="right" vertical="center" shrinkToFit="1"/>
    </xf>
    <xf numFmtId="188" fontId="5" fillId="0" borderId="97" xfId="0" applyNumberFormat="1" applyFont="1" applyBorder="1" applyAlignment="1">
      <alignment horizontal="right" vertical="center" shrinkToFit="1"/>
    </xf>
    <xf numFmtId="188" fontId="5" fillId="0" borderId="98" xfId="0" applyNumberFormat="1" applyFont="1" applyBorder="1" applyAlignment="1">
      <alignment horizontal="right" vertical="center" shrinkToFit="1"/>
    </xf>
    <xf numFmtId="0" fontId="2" fillId="0" borderId="38" xfId="0" applyFont="1" applyBorder="1" applyAlignment="1">
      <alignment horizontal="distributed" vertical="center"/>
    </xf>
    <xf numFmtId="0" fontId="2" fillId="0" borderId="83" xfId="0" applyFont="1" applyBorder="1" applyAlignment="1">
      <alignment horizontal="center" vertical="center" textRotation="255"/>
    </xf>
    <xf numFmtId="0" fontId="2" fillId="0" borderId="16" xfId="0" applyFont="1" applyBorder="1" applyAlignment="1">
      <alignment horizontal="distributed" vertical="center"/>
    </xf>
    <xf numFmtId="3" fontId="5" fillId="0" borderId="29" xfId="0" applyNumberFormat="1" applyFont="1" applyBorder="1" applyAlignment="1">
      <alignment horizontal="right" vertical="center" shrinkToFit="1"/>
    </xf>
    <xf numFmtId="3" fontId="5" fillId="0" borderId="32" xfId="0" applyNumberFormat="1" applyFont="1" applyBorder="1" applyAlignment="1">
      <alignment horizontal="right" vertical="center" shrinkToFit="1"/>
    </xf>
    <xf numFmtId="178" fontId="5" fillId="0" borderId="56" xfId="0" applyNumberFormat="1" applyFont="1" applyBorder="1" applyAlignment="1">
      <alignment horizontal="center" vertical="center" shrinkToFit="1"/>
    </xf>
    <xf numFmtId="178" fontId="5" fillId="0" borderId="54" xfId="0" applyNumberFormat="1" applyFont="1" applyBorder="1" applyAlignment="1">
      <alignment horizontal="center" vertical="center" shrinkToFit="1"/>
    </xf>
    <xf numFmtId="178" fontId="5" fillId="0" borderId="55" xfId="0" applyNumberFormat="1" applyFont="1" applyBorder="1" applyAlignment="1">
      <alignment horizontal="center" vertical="center" shrinkToFit="1"/>
    </xf>
    <xf numFmtId="179" fontId="5" fillId="0" borderId="11" xfId="0" applyNumberFormat="1" applyFont="1" applyBorder="1" applyAlignment="1">
      <alignment horizontal="right" vertical="center" shrinkToFit="1"/>
    </xf>
    <xf numFmtId="179" fontId="5" fillId="0" borderId="10" xfId="0" applyNumberFormat="1" applyFont="1" applyBorder="1" applyAlignment="1">
      <alignment horizontal="right" vertical="center" shrinkToFit="1"/>
    </xf>
    <xf numFmtId="179" fontId="5" fillId="0" borderId="24" xfId="0" applyNumberFormat="1" applyFont="1" applyBorder="1" applyAlignment="1">
      <alignment horizontal="right" vertical="center" shrinkToFit="1"/>
    </xf>
    <xf numFmtId="179" fontId="5" fillId="0" borderId="16" xfId="0" applyNumberFormat="1" applyFont="1" applyBorder="1" applyAlignment="1">
      <alignment horizontal="right" vertical="center" shrinkToFit="1"/>
    </xf>
    <xf numFmtId="179" fontId="5" fillId="0" borderId="14" xfId="0" applyNumberFormat="1" applyFont="1" applyBorder="1" applyAlignment="1">
      <alignment horizontal="right" vertical="center" shrinkToFit="1"/>
    </xf>
    <xf numFmtId="179" fontId="5" fillId="0" borderId="38" xfId="0" applyNumberFormat="1" applyFont="1" applyBorder="1" applyAlignment="1">
      <alignment horizontal="right" vertical="center" shrinkToFit="1"/>
    </xf>
    <xf numFmtId="178" fontId="5" fillId="0" borderId="4" xfId="0" applyNumberFormat="1" applyFont="1" applyBorder="1" applyAlignment="1">
      <alignment horizontal="center" vertical="center" shrinkToFit="1"/>
    </xf>
    <xf numFmtId="178" fontId="5" fillId="0" borderId="6" xfId="0" applyNumberFormat="1" applyFont="1" applyBorder="1" applyAlignment="1">
      <alignment horizontal="center" vertical="center" shrinkToFit="1"/>
    </xf>
    <xf numFmtId="178" fontId="5" fillId="0" borderId="16" xfId="0" applyNumberFormat="1" applyFont="1" applyBorder="1" applyAlignment="1">
      <alignment horizontal="center" vertical="center" shrinkToFit="1"/>
    </xf>
    <xf numFmtId="178" fontId="5" fillId="0" borderId="15" xfId="0" applyNumberFormat="1" applyFont="1" applyBorder="1" applyAlignment="1">
      <alignment horizontal="center" vertical="center" shrinkToFit="1"/>
    </xf>
    <xf numFmtId="179" fontId="5" fillId="0" borderId="4" xfId="0" applyNumberFormat="1" applyFont="1" applyBorder="1" applyAlignment="1">
      <alignment horizontal="right" vertical="center" shrinkToFit="1"/>
    </xf>
    <xf numFmtId="179" fontId="5" fillId="0" borderId="5" xfId="0" applyNumberFormat="1" applyFont="1" applyBorder="1" applyAlignment="1">
      <alignment horizontal="right" vertical="center" shrinkToFit="1"/>
    </xf>
    <xf numFmtId="179" fontId="5" fillId="0" borderId="22" xfId="0" applyNumberFormat="1" applyFont="1" applyBorder="1" applyAlignment="1">
      <alignment horizontal="right" vertical="center" shrinkToFit="1"/>
    </xf>
    <xf numFmtId="0" fontId="2" fillId="0" borderId="68" xfId="0" applyFont="1" applyBorder="1">
      <alignment vertical="center"/>
    </xf>
    <xf numFmtId="0" fontId="2" fillId="0" borderId="69" xfId="0" applyFont="1" applyBorder="1">
      <alignment vertical="center"/>
    </xf>
    <xf numFmtId="0" fontId="2" fillId="0" borderId="70" xfId="0" applyFont="1" applyBorder="1">
      <alignment vertical="center"/>
    </xf>
    <xf numFmtId="3" fontId="5" fillId="0" borderId="39" xfId="0" applyNumberFormat="1" applyFont="1" applyBorder="1" applyAlignment="1">
      <alignment horizontal="right" vertical="center" shrinkToFit="1"/>
    </xf>
    <xf numFmtId="190" fontId="5" fillId="0" borderId="30" xfId="0" applyNumberFormat="1" applyFont="1" applyBorder="1" applyAlignment="1">
      <alignment horizontal="right" vertical="center" shrinkToFit="1"/>
    </xf>
    <xf numFmtId="190" fontId="5" fillId="0" borderId="73" xfId="0" applyNumberFormat="1" applyFont="1" applyBorder="1" applyAlignment="1">
      <alignment horizontal="right" vertical="center" shrinkToFit="1"/>
    </xf>
    <xf numFmtId="4" fontId="5" fillId="0" borderId="36" xfId="4" applyNumberFormat="1" applyFont="1" applyFill="1" applyBorder="1" applyAlignment="1">
      <alignment horizontal="right" vertical="center" shrinkToFit="1"/>
    </xf>
    <xf numFmtId="4" fontId="5" fillId="0" borderId="35" xfId="4" applyNumberFormat="1" applyFont="1" applyFill="1" applyBorder="1" applyAlignment="1">
      <alignment horizontal="right" vertical="center" shrinkToFit="1"/>
    </xf>
    <xf numFmtId="187" fontId="5" fillId="0" borderId="7" xfId="4" applyNumberFormat="1" applyFont="1" applyFill="1" applyBorder="1" applyAlignment="1">
      <alignment horizontal="right" vertical="center" shrinkToFit="1"/>
    </xf>
    <xf numFmtId="187" fontId="5" fillId="0" borderId="8" xfId="4" applyNumberFormat="1" applyFont="1" applyFill="1" applyBorder="1" applyAlignment="1">
      <alignment horizontal="right" vertical="center" shrinkToFit="1"/>
    </xf>
    <xf numFmtId="187" fontId="5" fillId="0" borderId="9" xfId="4" applyNumberFormat="1" applyFont="1" applyFill="1" applyBorder="1" applyAlignment="1">
      <alignment horizontal="right" vertical="center" shrinkToFit="1"/>
    </xf>
    <xf numFmtId="179" fontId="2" fillId="0" borderId="0" xfId="0" applyNumberFormat="1" applyFont="1" applyAlignment="1">
      <alignment horizontal="right" vertical="center" shrinkToFit="1"/>
    </xf>
    <xf numFmtId="180" fontId="2" fillId="0" borderId="0" xfId="0" applyNumberFormat="1" applyFont="1" applyAlignment="1">
      <alignment horizontal="right" vertical="center" shrinkToFit="1"/>
    </xf>
    <xf numFmtId="184" fontId="2" fillId="0" borderId="0" xfId="0" applyNumberFormat="1" applyFont="1" applyAlignment="1">
      <alignment horizontal="right" vertical="center" shrinkToFit="1"/>
    </xf>
    <xf numFmtId="4" fontId="5" fillId="0" borderId="4" xfId="4" applyNumberFormat="1" applyFont="1" applyFill="1" applyBorder="1" applyAlignment="1">
      <alignment horizontal="right" vertical="center" shrinkToFit="1"/>
    </xf>
    <xf numFmtId="4" fontId="5" fillId="0" borderId="17" xfId="4" applyNumberFormat="1" applyFont="1" applyFill="1" applyBorder="1" applyAlignment="1">
      <alignment horizontal="right" vertical="center" shrinkToFit="1"/>
    </xf>
    <xf numFmtId="4" fontId="5" fillId="0" borderId="7" xfId="4" applyNumberFormat="1" applyFont="1" applyFill="1" applyBorder="1" applyAlignment="1">
      <alignment horizontal="right" vertical="center" shrinkToFit="1"/>
    </xf>
    <xf numFmtId="4" fontId="5" fillId="0" borderId="8" xfId="4" applyNumberFormat="1" applyFont="1" applyFill="1" applyBorder="1" applyAlignment="1">
      <alignment horizontal="right" vertical="center" shrinkToFit="1"/>
    </xf>
    <xf numFmtId="4" fontId="5" fillId="0" borderId="9" xfId="4" applyNumberFormat="1" applyFont="1" applyFill="1" applyBorder="1" applyAlignment="1">
      <alignment horizontal="right" vertical="center" shrinkToFit="1"/>
    </xf>
    <xf numFmtId="4" fontId="5" fillId="0" borderId="34" xfId="0" applyNumberFormat="1" applyFont="1" applyBorder="1" applyAlignment="1">
      <alignment horizontal="right" vertical="center" shrinkToFit="1"/>
    </xf>
    <xf numFmtId="4" fontId="5" fillId="0" borderId="33" xfId="0" applyNumberFormat="1" applyFont="1" applyBorder="1" applyAlignment="1">
      <alignment horizontal="right" vertical="center" shrinkToFit="1"/>
    </xf>
  </cellXfs>
  <cellStyles count="5">
    <cellStyle name="桁区切り" xfId="4" builtinId="6"/>
    <cellStyle name="標準" xfId="0" builtinId="0"/>
    <cellStyle name="標準 2" xfId="1" xr:uid="{00000000-0005-0000-0000-000002000000}"/>
    <cellStyle name="標準 3" xfId="2" xr:uid="{00000000-0005-0000-0000-000003000000}"/>
    <cellStyle name="標準 4" xfId="3" xr:uid="{00000000-0005-0000-0000-000004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D54"/>
  <sheetViews>
    <sheetView showGridLines="0" tabSelected="1" view="pageBreakPreview" zoomScaleNormal="100" zoomScaleSheetLayoutView="100" workbookViewId="0">
      <selection sqref="A1:AN2"/>
    </sheetView>
  </sheetViews>
  <sheetFormatPr defaultColWidth="2.625" defaultRowHeight="14.1" customHeight="1" x14ac:dyDescent="0.15"/>
  <cols>
    <col min="1" max="72" width="2.625" style="2" customWidth="1"/>
    <col min="73" max="80" width="2.625" style="2"/>
    <col min="81" max="81" width="2.625" style="2" customWidth="1"/>
    <col min="82" max="16384" width="2.625" style="2"/>
  </cols>
  <sheetData>
    <row r="1" spans="1:82" ht="12" customHeight="1" x14ac:dyDescent="0.15">
      <c r="A1" s="85" t="str">
        <f>IF(H5="【個】[000101]","9999",H5)&amp;"年　農業経営統計調査　子牛生産費統計　個別結果検討表　№１"</f>
        <v>年　農業経営統計調査　子牛生産費統計　個別結果検討表　№１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6"/>
      <c r="AO1" s="250" t="s">
        <v>0</v>
      </c>
      <c r="AP1" s="250"/>
      <c r="AQ1" s="250"/>
      <c r="AR1" s="250"/>
      <c r="AS1" s="250"/>
      <c r="AT1" s="250"/>
      <c r="AU1" s="250"/>
      <c r="AV1" s="250"/>
      <c r="AW1" s="250"/>
      <c r="AX1" s="250"/>
      <c r="AY1" s="250"/>
      <c r="AZ1" s="250"/>
    </row>
    <row r="2" spans="1:82" ht="12" customHeight="1" x14ac:dyDescent="0.1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6"/>
      <c r="AO2" s="251"/>
      <c r="AP2" s="251"/>
      <c r="AQ2" s="251"/>
      <c r="AR2" s="251"/>
      <c r="AS2" s="251"/>
      <c r="AT2" s="251"/>
      <c r="AU2" s="251"/>
      <c r="AV2" s="251"/>
      <c r="AW2" s="251"/>
      <c r="AX2" s="251"/>
      <c r="AY2" s="251"/>
      <c r="AZ2" s="251"/>
    </row>
    <row r="3" spans="1:82" ht="12" customHeight="1" x14ac:dyDescent="0.15"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</row>
    <row r="4" spans="1:82" ht="12" customHeight="1" x14ac:dyDescent="0.15">
      <c r="A4" s="4" t="s">
        <v>131</v>
      </c>
      <c r="G4" s="26"/>
      <c r="AR4" s="3"/>
      <c r="AS4" s="3"/>
      <c r="AT4" s="3"/>
    </row>
    <row r="5" spans="1:82" ht="12" customHeight="1" x14ac:dyDescent="0.15">
      <c r="A5" s="165" t="s">
        <v>103</v>
      </c>
      <c r="B5" s="166"/>
      <c r="C5" s="166"/>
      <c r="D5" s="166"/>
      <c r="E5" s="166"/>
      <c r="F5" s="166"/>
      <c r="G5" s="169" t="s">
        <v>104</v>
      </c>
      <c r="H5" s="252"/>
      <c r="I5" s="252"/>
      <c r="J5" s="252"/>
      <c r="K5" s="253"/>
      <c r="L5" s="256" t="s">
        <v>105</v>
      </c>
      <c r="M5" s="257"/>
      <c r="N5" s="258"/>
      <c r="O5" s="259" t="str">
        <f>IF(H5="","",IF(H5="【個】[000101]","年",H5-1))</f>
        <v/>
      </c>
      <c r="P5" s="252"/>
      <c r="Q5" s="252"/>
      <c r="R5" s="253"/>
      <c r="S5" s="256" t="s">
        <v>105</v>
      </c>
      <c r="T5" s="257"/>
      <c r="U5" s="257"/>
      <c r="V5" s="261" t="s">
        <v>106</v>
      </c>
      <c r="W5" s="233"/>
      <c r="X5" s="233"/>
      <c r="Y5" s="233" t="s">
        <v>107</v>
      </c>
      <c r="Z5" s="233"/>
      <c r="AA5" s="234"/>
      <c r="AB5" s="237" t="s">
        <v>108</v>
      </c>
      <c r="AC5" s="238"/>
      <c r="AD5" s="238"/>
      <c r="AE5" s="238"/>
      <c r="AF5" s="238"/>
      <c r="AG5" s="238"/>
      <c r="AH5" s="238"/>
      <c r="AI5" s="238"/>
      <c r="AJ5" s="238"/>
      <c r="AK5" s="238"/>
      <c r="AL5" s="238"/>
      <c r="AM5" s="238"/>
      <c r="AN5" s="238"/>
      <c r="AO5" s="238"/>
      <c r="AP5" s="238"/>
      <c r="AQ5" s="238"/>
      <c r="AR5" s="238"/>
      <c r="AS5" s="238"/>
      <c r="AT5" s="238"/>
      <c r="AU5" s="238"/>
      <c r="AV5" s="238"/>
      <c r="AW5" s="238"/>
      <c r="AX5" s="238"/>
      <c r="AY5" s="238"/>
      <c r="AZ5" s="239"/>
      <c r="BA5" s="3"/>
      <c r="BJ5" s="3"/>
      <c r="BM5" s="4"/>
      <c r="CB5" s="3"/>
      <c r="CD5" s="3"/>
    </row>
    <row r="6" spans="1:82" ht="12" customHeight="1" x14ac:dyDescent="0.15">
      <c r="A6" s="167"/>
      <c r="B6" s="168"/>
      <c r="C6" s="168"/>
      <c r="D6" s="168"/>
      <c r="E6" s="168"/>
      <c r="F6" s="168"/>
      <c r="G6" s="170"/>
      <c r="H6" s="254"/>
      <c r="I6" s="254"/>
      <c r="J6" s="254"/>
      <c r="K6" s="255"/>
      <c r="L6" s="243" t="s">
        <v>109</v>
      </c>
      <c r="M6" s="244"/>
      <c r="N6" s="245"/>
      <c r="O6" s="260"/>
      <c r="P6" s="254"/>
      <c r="Q6" s="254"/>
      <c r="R6" s="255"/>
      <c r="S6" s="243" t="s">
        <v>109</v>
      </c>
      <c r="T6" s="244"/>
      <c r="U6" s="244"/>
      <c r="V6" s="246" t="s">
        <v>109</v>
      </c>
      <c r="W6" s="247"/>
      <c r="X6" s="247"/>
      <c r="Y6" s="235"/>
      <c r="Z6" s="235"/>
      <c r="AA6" s="236"/>
      <c r="AB6" s="240"/>
      <c r="AC6" s="241"/>
      <c r="AD6" s="241"/>
      <c r="AE6" s="241"/>
      <c r="AF6" s="241"/>
      <c r="AG6" s="241"/>
      <c r="AH6" s="241"/>
      <c r="AI6" s="241"/>
      <c r="AJ6" s="241"/>
      <c r="AK6" s="241"/>
      <c r="AL6" s="241"/>
      <c r="AM6" s="241"/>
      <c r="AN6" s="241"/>
      <c r="AO6" s="241"/>
      <c r="AP6" s="241"/>
      <c r="AQ6" s="241"/>
      <c r="AR6" s="241"/>
      <c r="AS6" s="241"/>
      <c r="AT6" s="241"/>
      <c r="AU6" s="241"/>
      <c r="AV6" s="241"/>
      <c r="AW6" s="241"/>
      <c r="AX6" s="241"/>
      <c r="AY6" s="241"/>
      <c r="AZ6" s="242"/>
      <c r="BA6" s="3"/>
      <c r="BB6" s="27"/>
      <c r="BC6" s="27"/>
      <c r="BD6" s="27"/>
      <c r="BE6" s="28"/>
      <c r="BF6" s="28"/>
      <c r="BG6" s="28"/>
      <c r="BH6" s="29"/>
      <c r="BI6" s="29"/>
      <c r="BJ6" s="29"/>
      <c r="BT6" s="27"/>
      <c r="BU6" s="27"/>
      <c r="BV6" s="27"/>
      <c r="BW6" s="28"/>
      <c r="BX6" s="28"/>
      <c r="BY6" s="28"/>
      <c r="BZ6" s="29"/>
      <c r="CA6" s="29"/>
      <c r="CB6" s="29"/>
    </row>
    <row r="7" spans="1:82" ht="12" customHeight="1" x14ac:dyDescent="0.15">
      <c r="A7" s="171" t="s">
        <v>110</v>
      </c>
      <c r="B7" s="172"/>
      <c r="C7" s="172"/>
      <c r="D7" s="172"/>
      <c r="E7" s="172"/>
      <c r="F7" s="173"/>
      <c r="G7" s="55" t="s">
        <v>111</v>
      </c>
      <c r="H7" s="201"/>
      <c r="I7" s="201"/>
      <c r="J7" s="201"/>
      <c r="K7" s="248"/>
      <c r="L7" s="215" t="str">
        <f>IFERROR(ROUND(H7/$H$25*100,1),"-")</f>
        <v>-</v>
      </c>
      <c r="M7" s="216"/>
      <c r="N7" s="217"/>
      <c r="O7" s="249"/>
      <c r="P7" s="201"/>
      <c r="Q7" s="201"/>
      <c r="R7" s="248"/>
      <c r="S7" s="215" t="str">
        <f>IFERROR(ROUND(O7/$O$25*100,1),"-")</f>
        <v>-</v>
      </c>
      <c r="T7" s="216"/>
      <c r="U7" s="216"/>
      <c r="V7" s="262" t="str">
        <f>IF(H7="-", "-", IF(O7="-", "-", IF(ABS(O7)=0, "-", ROUND(100*(H7-O7)/ABS(O7),10))))</f>
        <v>-</v>
      </c>
      <c r="W7" s="263"/>
      <c r="X7" s="263"/>
      <c r="Y7" s="264">
        <f>H7-O7</f>
        <v>0</v>
      </c>
      <c r="Z7" s="264"/>
      <c r="AA7" s="265"/>
      <c r="AB7" s="266"/>
      <c r="AC7" s="267"/>
      <c r="AD7" s="267"/>
      <c r="AE7" s="267"/>
      <c r="AF7" s="267"/>
      <c r="AG7" s="267"/>
      <c r="AH7" s="267"/>
      <c r="AI7" s="267"/>
      <c r="AJ7" s="267"/>
      <c r="AK7" s="267"/>
      <c r="AL7" s="267"/>
      <c r="AM7" s="267"/>
      <c r="AN7" s="267"/>
      <c r="AO7" s="267"/>
      <c r="AP7" s="267"/>
      <c r="AQ7" s="267"/>
      <c r="AR7" s="267"/>
      <c r="AS7" s="267"/>
      <c r="AT7" s="267"/>
      <c r="AU7" s="267"/>
      <c r="AV7" s="267"/>
      <c r="AW7" s="267"/>
      <c r="AX7" s="267"/>
      <c r="AY7" s="267"/>
      <c r="AZ7" s="268"/>
      <c r="BA7" s="3"/>
      <c r="BB7" s="27"/>
      <c r="BC7" s="27"/>
      <c r="BD7" s="27"/>
      <c r="BE7" s="27"/>
      <c r="BF7" s="27"/>
      <c r="BG7" s="27"/>
      <c r="BH7" s="29"/>
      <c r="BI7" s="29"/>
      <c r="BJ7" s="29"/>
      <c r="BT7" s="27"/>
      <c r="BU7" s="27"/>
      <c r="BV7" s="27"/>
      <c r="BW7" s="28"/>
      <c r="BX7" s="28"/>
      <c r="BY7" s="28"/>
      <c r="BZ7" s="29"/>
      <c r="CA7" s="29"/>
      <c r="CB7" s="29"/>
    </row>
    <row r="8" spans="1:82" ht="12" customHeight="1" x14ac:dyDescent="0.15">
      <c r="A8" s="56"/>
      <c r="B8" s="161" t="s">
        <v>6</v>
      </c>
      <c r="C8" s="161"/>
      <c r="D8" s="161"/>
      <c r="E8" s="161"/>
      <c r="F8" s="157"/>
      <c r="G8" s="57" t="s">
        <v>112</v>
      </c>
      <c r="H8" s="176"/>
      <c r="I8" s="176"/>
      <c r="J8" s="176"/>
      <c r="K8" s="189"/>
      <c r="L8" s="110" t="str">
        <f t="shared" ref="L8:L25" si="0">IFERROR(ROUND(H8/$H$25*100,1),"-")</f>
        <v>-</v>
      </c>
      <c r="M8" s="102"/>
      <c r="N8" s="111"/>
      <c r="O8" s="190"/>
      <c r="P8" s="176"/>
      <c r="Q8" s="176"/>
      <c r="R8" s="189"/>
      <c r="S8" s="110" t="str">
        <f t="shared" ref="S8:S25" si="1">IFERROR(ROUND(O8/$O$25*100,1),"-")</f>
        <v>-</v>
      </c>
      <c r="T8" s="102"/>
      <c r="U8" s="111"/>
      <c r="V8" s="107" t="str">
        <f t="shared" ref="V8:V39" si="2">IF(H8="-", "-", IF(O8="-", "-", IF(ABS(O8)=0, "-", ROUND(100*(H8-O8)/ABS(O8),10))))</f>
        <v>-</v>
      </c>
      <c r="W8" s="108"/>
      <c r="X8" s="109"/>
      <c r="Y8" s="175">
        <f t="shared" ref="Y8:Y48" si="3">H8-O8</f>
        <v>0</v>
      </c>
      <c r="Z8" s="176"/>
      <c r="AA8" s="177"/>
      <c r="AB8" s="98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100"/>
      <c r="BA8" s="3"/>
      <c r="BB8" s="30"/>
      <c r="BC8" s="30"/>
      <c r="BD8" s="30"/>
      <c r="BE8" s="30"/>
      <c r="BF8" s="30"/>
      <c r="BG8" s="30"/>
      <c r="BH8" s="8"/>
      <c r="BI8" s="8"/>
      <c r="BJ8" s="8"/>
      <c r="BS8" s="31"/>
      <c r="BT8" s="30"/>
      <c r="BU8" s="30"/>
      <c r="BV8" s="30"/>
      <c r="BW8" s="30"/>
      <c r="BX8" s="30"/>
      <c r="BY8" s="30"/>
      <c r="BZ8" s="8"/>
      <c r="CA8" s="8"/>
      <c r="CB8" s="8"/>
    </row>
    <row r="9" spans="1:82" ht="12" customHeight="1" x14ac:dyDescent="0.15">
      <c r="A9" s="56"/>
      <c r="B9" s="174" t="s">
        <v>132</v>
      </c>
      <c r="C9" s="161"/>
      <c r="D9" s="161"/>
      <c r="E9" s="161"/>
      <c r="F9" s="161"/>
      <c r="G9" s="57" t="s">
        <v>112</v>
      </c>
      <c r="H9" s="176"/>
      <c r="I9" s="176"/>
      <c r="J9" s="176"/>
      <c r="K9" s="189"/>
      <c r="L9" s="110" t="str">
        <f t="shared" si="0"/>
        <v>-</v>
      </c>
      <c r="M9" s="102"/>
      <c r="N9" s="111"/>
      <c r="O9" s="190"/>
      <c r="P9" s="176"/>
      <c r="Q9" s="176"/>
      <c r="R9" s="189"/>
      <c r="S9" s="110" t="str">
        <f t="shared" si="1"/>
        <v>-</v>
      </c>
      <c r="T9" s="102"/>
      <c r="U9" s="111"/>
      <c r="V9" s="107" t="str">
        <f t="shared" si="2"/>
        <v>-</v>
      </c>
      <c r="W9" s="108"/>
      <c r="X9" s="109"/>
      <c r="Y9" s="175">
        <f t="shared" si="3"/>
        <v>0</v>
      </c>
      <c r="Z9" s="176"/>
      <c r="AA9" s="177"/>
      <c r="AB9" s="98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100"/>
      <c r="BA9" s="3"/>
      <c r="BS9" s="31"/>
      <c r="BT9" s="30"/>
      <c r="BU9" s="30"/>
      <c r="BV9" s="30"/>
      <c r="BW9" s="30"/>
      <c r="BX9" s="30"/>
      <c r="BY9" s="30"/>
      <c r="BZ9" s="8"/>
      <c r="CA9" s="8"/>
      <c r="CB9" s="8"/>
    </row>
    <row r="10" spans="1:82" ht="12" customHeight="1" x14ac:dyDescent="0.15">
      <c r="A10" s="58"/>
      <c r="B10" s="32"/>
      <c r="C10" s="124" t="s">
        <v>7</v>
      </c>
      <c r="D10" s="125"/>
      <c r="E10" s="125"/>
      <c r="F10" s="125"/>
      <c r="G10" s="57" t="s">
        <v>112</v>
      </c>
      <c r="H10" s="176"/>
      <c r="I10" s="176"/>
      <c r="J10" s="176"/>
      <c r="K10" s="189"/>
      <c r="L10" s="110" t="str">
        <f t="shared" si="0"/>
        <v>-</v>
      </c>
      <c r="M10" s="102"/>
      <c r="N10" s="111"/>
      <c r="O10" s="190"/>
      <c r="P10" s="176"/>
      <c r="Q10" s="176"/>
      <c r="R10" s="189"/>
      <c r="S10" s="110" t="str">
        <f t="shared" si="1"/>
        <v>-</v>
      </c>
      <c r="T10" s="102"/>
      <c r="U10" s="111"/>
      <c r="V10" s="107" t="str">
        <f t="shared" si="2"/>
        <v>-</v>
      </c>
      <c r="W10" s="108"/>
      <c r="X10" s="109"/>
      <c r="Y10" s="175">
        <f t="shared" si="3"/>
        <v>0</v>
      </c>
      <c r="Z10" s="176"/>
      <c r="AA10" s="177"/>
      <c r="AB10" s="98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100"/>
      <c r="BA10" s="3"/>
      <c r="BS10" s="31"/>
      <c r="BT10" s="30"/>
      <c r="BU10" s="30"/>
      <c r="BV10" s="30"/>
      <c r="BW10" s="30"/>
      <c r="BX10" s="30"/>
      <c r="BY10" s="30"/>
      <c r="BZ10" s="8"/>
      <c r="CA10" s="8"/>
      <c r="CB10" s="8"/>
    </row>
    <row r="11" spans="1:82" ht="12" customHeight="1" x14ac:dyDescent="0.15">
      <c r="A11" s="58"/>
      <c r="B11" s="33"/>
      <c r="C11" s="126" t="s">
        <v>97</v>
      </c>
      <c r="D11" s="127"/>
      <c r="E11" s="127"/>
      <c r="F11" s="127"/>
      <c r="G11" s="57" t="s">
        <v>112</v>
      </c>
      <c r="H11" s="176"/>
      <c r="I11" s="176"/>
      <c r="J11" s="176"/>
      <c r="K11" s="189"/>
      <c r="L11" s="110" t="str">
        <f t="shared" si="0"/>
        <v>-</v>
      </c>
      <c r="M11" s="102"/>
      <c r="N11" s="111"/>
      <c r="O11" s="190"/>
      <c r="P11" s="176"/>
      <c r="Q11" s="176"/>
      <c r="R11" s="189"/>
      <c r="S11" s="110" t="str">
        <f t="shared" si="1"/>
        <v>-</v>
      </c>
      <c r="T11" s="102"/>
      <c r="U11" s="111"/>
      <c r="V11" s="107" t="str">
        <f t="shared" si="2"/>
        <v>-</v>
      </c>
      <c r="W11" s="108"/>
      <c r="X11" s="109"/>
      <c r="Y11" s="175">
        <f t="shared" si="3"/>
        <v>0</v>
      </c>
      <c r="Z11" s="176"/>
      <c r="AA11" s="177"/>
      <c r="AB11" s="98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100"/>
      <c r="BA11" s="3"/>
      <c r="BS11" s="31"/>
      <c r="BT11" s="30"/>
      <c r="BU11" s="30"/>
      <c r="BV11" s="30"/>
      <c r="BW11" s="30"/>
      <c r="BX11" s="30"/>
      <c r="BY11" s="30"/>
      <c r="BZ11" s="8"/>
      <c r="CA11" s="8"/>
      <c r="CB11" s="8"/>
    </row>
    <row r="12" spans="1:82" ht="12" customHeight="1" x14ac:dyDescent="0.15">
      <c r="A12" s="59"/>
      <c r="B12" s="161" t="s">
        <v>8</v>
      </c>
      <c r="C12" s="161"/>
      <c r="D12" s="161"/>
      <c r="E12" s="161"/>
      <c r="F12" s="157"/>
      <c r="G12" s="57" t="s">
        <v>112</v>
      </c>
      <c r="H12" s="176"/>
      <c r="I12" s="176"/>
      <c r="J12" s="176"/>
      <c r="K12" s="189"/>
      <c r="L12" s="110" t="str">
        <f t="shared" si="0"/>
        <v>-</v>
      </c>
      <c r="M12" s="102"/>
      <c r="N12" s="111"/>
      <c r="O12" s="190"/>
      <c r="P12" s="176"/>
      <c r="Q12" s="176"/>
      <c r="R12" s="189"/>
      <c r="S12" s="110" t="str">
        <f t="shared" si="1"/>
        <v>-</v>
      </c>
      <c r="T12" s="102"/>
      <c r="U12" s="111"/>
      <c r="V12" s="107" t="str">
        <f t="shared" si="2"/>
        <v>-</v>
      </c>
      <c r="W12" s="108"/>
      <c r="X12" s="109"/>
      <c r="Y12" s="175">
        <f t="shared" si="3"/>
        <v>0</v>
      </c>
      <c r="Z12" s="176"/>
      <c r="AA12" s="177"/>
      <c r="AB12" s="98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100"/>
      <c r="BA12" s="3"/>
      <c r="BC12" s="50"/>
      <c r="BD12" s="5"/>
      <c r="BE12" s="5"/>
      <c r="BF12" s="5"/>
      <c r="BG12" s="5"/>
      <c r="BH12" s="5"/>
      <c r="BI12" s="5"/>
      <c r="BJ12" s="5"/>
      <c r="BS12" s="31"/>
      <c r="BT12" s="30"/>
      <c r="BU12" s="30"/>
      <c r="BV12" s="30"/>
      <c r="BW12" s="30"/>
      <c r="BX12" s="30"/>
      <c r="BY12" s="30"/>
      <c r="BZ12" s="8"/>
      <c r="CA12" s="8"/>
      <c r="CB12" s="8"/>
    </row>
    <row r="13" spans="1:82" ht="12" customHeight="1" x14ac:dyDescent="0.15">
      <c r="A13" s="59"/>
      <c r="B13" s="161" t="s">
        <v>99</v>
      </c>
      <c r="C13" s="161"/>
      <c r="D13" s="161"/>
      <c r="E13" s="161"/>
      <c r="F13" s="157"/>
      <c r="G13" s="57" t="s">
        <v>112</v>
      </c>
      <c r="H13" s="176"/>
      <c r="I13" s="176"/>
      <c r="J13" s="176"/>
      <c r="K13" s="189"/>
      <c r="L13" s="110" t="str">
        <f t="shared" si="0"/>
        <v>-</v>
      </c>
      <c r="M13" s="102"/>
      <c r="N13" s="111"/>
      <c r="O13" s="190"/>
      <c r="P13" s="176"/>
      <c r="Q13" s="176"/>
      <c r="R13" s="189"/>
      <c r="S13" s="110" t="str">
        <f t="shared" si="1"/>
        <v>-</v>
      </c>
      <c r="T13" s="102"/>
      <c r="U13" s="111"/>
      <c r="V13" s="107" t="str">
        <f t="shared" si="2"/>
        <v>-</v>
      </c>
      <c r="W13" s="108"/>
      <c r="X13" s="109"/>
      <c r="Y13" s="175">
        <f t="shared" si="3"/>
        <v>0</v>
      </c>
      <c r="Z13" s="176"/>
      <c r="AA13" s="177"/>
      <c r="AB13" s="98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100"/>
      <c r="BA13" s="3"/>
      <c r="BC13" s="27"/>
      <c r="BD13" s="27"/>
      <c r="BE13" s="28"/>
      <c r="BF13" s="28"/>
      <c r="BG13" s="28"/>
      <c r="BH13" s="29"/>
      <c r="BI13" s="29"/>
      <c r="BJ13" s="29"/>
      <c r="BS13" s="31"/>
      <c r="BT13" s="30"/>
      <c r="BU13" s="30"/>
      <c r="BV13" s="30"/>
      <c r="BW13" s="30"/>
      <c r="BX13" s="30"/>
      <c r="BY13" s="30"/>
      <c r="BZ13" s="8"/>
      <c r="CA13" s="8"/>
      <c r="CB13" s="8"/>
    </row>
    <row r="14" spans="1:82" ht="12" customHeight="1" x14ac:dyDescent="0.15">
      <c r="A14" s="59"/>
      <c r="B14" s="161" t="s">
        <v>113</v>
      </c>
      <c r="C14" s="161"/>
      <c r="D14" s="161"/>
      <c r="E14" s="156"/>
      <c r="F14" s="157"/>
      <c r="G14" s="57" t="s">
        <v>112</v>
      </c>
      <c r="H14" s="176"/>
      <c r="I14" s="176"/>
      <c r="J14" s="176"/>
      <c r="K14" s="189"/>
      <c r="L14" s="110" t="str">
        <f t="shared" si="0"/>
        <v>-</v>
      </c>
      <c r="M14" s="102"/>
      <c r="N14" s="111"/>
      <c r="O14" s="190"/>
      <c r="P14" s="176"/>
      <c r="Q14" s="176"/>
      <c r="R14" s="189"/>
      <c r="S14" s="110" t="str">
        <f t="shared" si="1"/>
        <v>-</v>
      </c>
      <c r="T14" s="102"/>
      <c r="U14" s="111"/>
      <c r="V14" s="107" t="str">
        <f t="shared" si="2"/>
        <v>-</v>
      </c>
      <c r="W14" s="108"/>
      <c r="X14" s="109"/>
      <c r="Y14" s="175">
        <f t="shared" si="3"/>
        <v>0</v>
      </c>
      <c r="Z14" s="176"/>
      <c r="AA14" s="177"/>
      <c r="AB14" s="98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100"/>
      <c r="BA14" s="3"/>
      <c r="BB14" s="50"/>
      <c r="BC14" s="27"/>
      <c r="BD14" s="27"/>
      <c r="BE14" s="28"/>
      <c r="BF14" s="28"/>
      <c r="BG14" s="28"/>
      <c r="BH14" s="29"/>
      <c r="BI14" s="29"/>
      <c r="BJ14" s="29"/>
      <c r="BS14" s="31"/>
      <c r="BT14" s="34"/>
      <c r="BU14" s="34"/>
      <c r="BV14" s="34"/>
      <c r="BW14" s="34"/>
      <c r="BX14" s="34"/>
      <c r="BY14" s="34"/>
      <c r="BZ14" s="8"/>
      <c r="CA14" s="8"/>
      <c r="CB14" s="8"/>
    </row>
    <row r="15" spans="1:82" ht="12" customHeight="1" x14ac:dyDescent="0.15">
      <c r="A15" s="59"/>
      <c r="B15" s="161" t="s">
        <v>114</v>
      </c>
      <c r="C15" s="161"/>
      <c r="D15" s="161"/>
      <c r="E15" s="156"/>
      <c r="F15" s="157"/>
      <c r="G15" s="57" t="s">
        <v>112</v>
      </c>
      <c r="H15" s="176"/>
      <c r="I15" s="176"/>
      <c r="J15" s="176"/>
      <c r="K15" s="189"/>
      <c r="L15" s="110" t="str">
        <f t="shared" si="0"/>
        <v>-</v>
      </c>
      <c r="M15" s="102"/>
      <c r="N15" s="111"/>
      <c r="O15" s="190"/>
      <c r="P15" s="176"/>
      <c r="Q15" s="176"/>
      <c r="R15" s="189"/>
      <c r="S15" s="110" t="str">
        <f t="shared" si="1"/>
        <v>-</v>
      </c>
      <c r="T15" s="102"/>
      <c r="U15" s="111"/>
      <c r="V15" s="107" t="str">
        <f t="shared" si="2"/>
        <v>-</v>
      </c>
      <c r="W15" s="108"/>
      <c r="X15" s="109"/>
      <c r="Y15" s="175">
        <f t="shared" si="3"/>
        <v>0</v>
      </c>
      <c r="Z15" s="176"/>
      <c r="AA15" s="177"/>
      <c r="AB15" s="98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100"/>
      <c r="BA15" s="3"/>
      <c r="BB15" s="27"/>
      <c r="BC15" s="35"/>
      <c r="BD15" s="35"/>
      <c r="BE15" s="35"/>
      <c r="BF15" s="35"/>
      <c r="BG15" s="35"/>
      <c r="BH15" s="8"/>
      <c r="BI15" s="8"/>
      <c r="BJ15" s="8"/>
      <c r="BS15" s="31"/>
      <c r="BT15" s="34"/>
      <c r="BU15" s="34"/>
      <c r="BV15" s="34"/>
      <c r="BW15" s="34"/>
      <c r="BX15" s="34"/>
      <c r="BY15" s="34"/>
      <c r="BZ15" s="8"/>
      <c r="CA15" s="8"/>
      <c r="CB15" s="8"/>
    </row>
    <row r="16" spans="1:82" ht="12" customHeight="1" x14ac:dyDescent="0.15">
      <c r="A16" s="59"/>
      <c r="B16" s="161" t="s">
        <v>11</v>
      </c>
      <c r="C16" s="161"/>
      <c r="D16" s="161"/>
      <c r="E16" s="161"/>
      <c r="F16" s="157"/>
      <c r="G16" s="57" t="s">
        <v>112</v>
      </c>
      <c r="H16" s="176"/>
      <c r="I16" s="176"/>
      <c r="J16" s="176"/>
      <c r="K16" s="189"/>
      <c r="L16" s="110" t="str">
        <f t="shared" si="0"/>
        <v>-</v>
      </c>
      <c r="M16" s="102"/>
      <c r="N16" s="111"/>
      <c r="O16" s="190"/>
      <c r="P16" s="176"/>
      <c r="Q16" s="176"/>
      <c r="R16" s="189"/>
      <c r="S16" s="110" t="str">
        <f t="shared" si="1"/>
        <v>-</v>
      </c>
      <c r="T16" s="102"/>
      <c r="U16" s="111"/>
      <c r="V16" s="107" t="str">
        <f t="shared" si="2"/>
        <v>-</v>
      </c>
      <c r="W16" s="108"/>
      <c r="X16" s="109"/>
      <c r="Y16" s="175">
        <f t="shared" si="3"/>
        <v>0</v>
      </c>
      <c r="Z16" s="176"/>
      <c r="AA16" s="177"/>
      <c r="AB16" s="98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100"/>
      <c r="BA16" s="3"/>
      <c r="BB16" s="27"/>
      <c r="BC16" s="35"/>
      <c r="BD16" s="35"/>
      <c r="BE16" s="35"/>
      <c r="BF16" s="35"/>
      <c r="BG16" s="35"/>
      <c r="BH16" s="8"/>
      <c r="BI16" s="8"/>
      <c r="BJ16" s="8"/>
    </row>
    <row r="17" spans="1:82" ht="12" customHeight="1" x14ac:dyDescent="0.15">
      <c r="A17" s="59"/>
      <c r="B17" s="161" t="s">
        <v>115</v>
      </c>
      <c r="C17" s="161"/>
      <c r="D17" s="161"/>
      <c r="E17" s="161"/>
      <c r="F17" s="157"/>
      <c r="G17" s="57" t="s">
        <v>112</v>
      </c>
      <c r="H17" s="176"/>
      <c r="I17" s="176"/>
      <c r="J17" s="176"/>
      <c r="K17" s="189"/>
      <c r="L17" s="110" t="str">
        <f t="shared" si="0"/>
        <v>-</v>
      </c>
      <c r="M17" s="102"/>
      <c r="N17" s="111"/>
      <c r="O17" s="190"/>
      <c r="P17" s="176"/>
      <c r="Q17" s="176"/>
      <c r="R17" s="189"/>
      <c r="S17" s="110" t="str">
        <f t="shared" si="1"/>
        <v>-</v>
      </c>
      <c r="T17" s="102"/>
      <c r="U17" s="111"/>
      <c r="V17" s="107" t="str">
        <f t="shared" si="2"/>
        <v>-</v>
      </c>
      <c r="W17" s="108"/>
      <c r="X17" s="109"/>
      <c r="Y17" s="175">
        <f t="shared" si="3"/>
        <v>0</v>
      </c>
      <c r="Z17" s="176"/>
      <c r="AA17" s="177"/>
      <c r="AB17" s="98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100"/>
      <c r="BA17" s="3"/>
      <c r="BB17" s="35"/>
      <c r="BC17" s="35"/>
      <c r="BD17" s="35"/>
      <c r="BE17" s="35"/>
      <c r="BF17" s="35"/>
      <c r="BG17" s="35"/>
      <c r="BH17" s="8"/>
      <c r="BI17" s="8"/>
      <c r="BJ17" s="8"/>
    </row>
    <row r="18" spans="1:82" ht="12" customHeight="1" x14ac:dyDescent="0.15">
      <c r="A18" s="59"/>
      <c r="B18" s="161" t="s">
        <v>133</v>
      </c>
      <c r="C18" s="161"/>
      <c r="D18" s="161"/>
      <c r="E18" s="161"/>
      <c r="F18" s="157"/>
      <c r="G18" s="57" t="s">
        <v>112</v>
      </c>
      <c r="H18" s="176"/>
      <c r="I18" s="176"/>
      <c r="J18" s="176"/>
      <c r="K18" s="189"/>
      <c r="L18" s="110" t="str">
        <f t="shared" si="0"/>
        <v>-</v>
      </c>
      <c r="M18" s="102"/>
      <c r="N18" s="111"/>
      <c r="O18" s="190"/>
      <c r="P18" s="176"/>
      <c r="Q18" s="176"/>
      <c r="R18" s="189"/>
      <c r="S18" s="110" t="str">
        <f t="shared" si="1"/>
        <v>-</v>
      </c>
      <c r="T18" s="102"/>
      <c r="U18" s="111"/>
      <c r="V18" s="107" t="str">
        <f t="shared" si="2"/>
        <v>-</v>
      </c>
      <c r="W18" s="108"/>
      <c r="X18" s="109"/>
      <c r="Y18" s="175">
        <f t="shared" si="3"/>
        <v>0</v>
      </c>
      <c r="Z18" s="176"/>
      <c r="AA18" s="177"/>
      <c r="AB18" s="98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100"/>
      <c r="BA18" s="3"/>
      <c r="BB18" s="35"/>
      <c r="BC18" s="35"/>
      <c r="BD18" s="35"/>
      <c r="BE18" s="35"/>
      <c r="BF18" s="35"/>
      <c r="BG18" s="35"/>
      <c r="BH18" s="8"/>
      <c r="BI18" s="8"/>
      <c r="BJ18" s="8"/>
      <c r="BM18" s="4"/>
      <c r="BN18" s="4"/>
    </row>
    <row r="19" spans="1:82" ht="12" customHeight="1" x14ac:dyDescent="0.15">
      <c r="A19" s="59"/>
      <c r="B19" s="161" t="s">
        <v>13</v>
      </c>
      <c r="C19" s="161"/>
      <c r="D19" s="161"/>
      <c r="E19" s="161"/>
      <c r="F19" s="157"/>
      <c r="G19" s="57" t="s">
        <v>112</v>
      </c>
      <c r="H19" s="176"/>
      <c r="I19" s="176"/>
      <c r="J19" s="176"/>
      <c r="K19" s="189"/>
      <c r="L19" s="110" t="str">
        <f t="shared" si="0"/>
        <v>-</v>
      </c>
      <c r="M19" s="102"/>
      <c r="N19" s="111"/>
      <c r="O19" s="190"/>
      <c r="P19" s="176"/>
      <c r="Q19" s="176"/>
      <c r="R19" s="189"/>
      <c r="S19" s="110" t="str">
        <f t="shared" si="1"/>
        <v>-</v>
      </c>
      <c r="T19" s="102"/>
      <c r="U19" s="111"/>
      <c r="V19" s="107" t="str">
        <f t="shared" si="2"/>
        <v>-</v>
      </c>
      <c r="W19" s="108"/>
      <c r="X19" s="109"/>
      <c r="Y19" s="175">
        <f t="shared" si="3"/>
        <v>0</v>
      </c>
      <c r="Z19" s="176"/>
      <c r="AA19" s="177"/>
      <c r="AB19" s="98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100"/>
      <c r="BA19" s="3"/>
      <c r="BB19" s="35"/>
      <c r="BC19" s="35"/>
      <c r="BD19" s="35"/>
      <c r="BE19" s="35"/>
      <c r="BF19" s="35"/>
      <c r="BG19" s="35"/>
      <c r="BH19" s="8"/>
      <c r="BI19" s="8"/>
      <c r="BJ19" s="8"/>
      <c r="BT19" s="27"/>
      <c r="BU19" s="27"/>
      <c r="BV19" s="27"/>
      <c r="BW19" s="28"/>
      <c r="BX19" s="28"/>
      <c r="BY19" s="28"/>
      <c r="BZ19" s="29"/>
      <c r="CA19" s="29"/>
      <c r="CB19" s="29"/>
    </row>
    <row r="20" spans="1:82" ht="12" customHeight="1" x14ac:dyDescent="0.15">
      <c r="A20" s="59"/>
      <c r="B20" s="161" t="s">
        <v>14</v>
      </c>
      <c r="C20" s="161"/>
      <c r="D20" s="161"/>
      <c r="E20" s="161"/>
      <c r="F20" s="157"/>
      <c r="G20" s="57" t="s">
        <v>112</v>
      </c>
      <c r="H20" s="176"/>
      <c r="I20" s="176"/>
      <c r="J20" s="176"/>
      <c r="K20" s="189"/>
      <c r="L20" s="110" t="str">
        <f t="shared" si="0"/>
        <v>-</v>
      </c>
      <c r="M20" s="102"/>
      <c r="N20" s="111"/>
      <c r="O20" s="190"/>
      <c r="P20" s="176"/>
      <c r="Q20" s="176"/>
      <c r="R20" s="189"/>
      <c r="S20" s="110" t="str">
        <f t="shared" si="1"/>
        <v>-</v>
      </c>
      <c r="T20" s="102"/>
      <c r="U20" s="111"/>
      <c r="V20" s="107" t="str">
        <f t="shared" si="2"/>
        <v>-</v>
      </c>
      <c r="W20" s="108"/>
      <c r="X20" s="109"/>
      <c r="Y20" s="175">
        <f t="shared" si="3"/>
        <v>0</v>
      </c>
      <c r="Z20" s="176"/>
      <c r="AA20" s="177"/>
      <c r="AB20" s="98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100"/>
      <c r="BA20" s="3"/>
      <c r="BB20" s="35"/>
      <c r="BC20" s="35"/>
      <c r="BD20" s="35"/>
      <c r="BE20" s="35"/>
      <c r="BF20" s="35"/>
      <c r="BG20" s="35"/>
      <c r="BH20" s="8"/>
      <c r="BI20" s="8"/>
      <c r="BJ20" s="8"/>
      <c r="BT20" s="27"/>
      <c r="BU20" s="27"/>
      <c r="BV20" s="27"/>
      <c r="BW20" s="27"/>
      <c r="BX20" s="27"/>
      <c r="BY20" s="27"/>
      <c r="BZ20" s="29"/>
      <c r="CA20" s="29"/>
      <c r="CB20" s="29"/>
    </row>
    <row r="21" spans="1:82" ht="12" customHeight="1" x14ac:dyDescent="0.15">
      <c r="A21" s="59"/>
      <c r="B21" s="161" t="s">
        <v>15</v>
      </c>
      <c r="C21" s="161"/>
      <c r="D21" s="161"/>
      <c r="E21" s="161"/>
      <c r="F21" s="157"/>
      <c r="G21" s="57" t="s">
        <v>112</v>
      </c>
      <c r="H21" s="176"/>
      <c r="I21" s="176"/>
      <c r="J21" s="176"/>
      <c r="K21" s="189"/>
      <c r="L21" s="110" t="str">
        <f t="shared" si="0"/>
        <v>-</v>
      </c>
      <c r="M21" s="102"/>
      <c r="N21" s="111"/>
      <c r="O21" s="190"/>
      <c r="P21" s="176"/>
      <c r="Q21" s="176"/>
      <c r="R21" s="189"/>
      <c r="S21" s="110" t="str">
        <f t="shared" si="1"/>
        <v>-</v>
      </c>
      <c r="T21" s="102"/>
      <c r="U21" s="111"/>
      <c r="V21" s="107" t="str">
        <f t="shared" si="2"/>
        <v>-</v>
      </c>
      <c r="W21" s="108"/>
      <c r="X21" s="109"/>
      <c r="Y21" s="175">
        <f t="shared" si="3"/>
        <v>0</v>
      </c>
      <c r="Z21" s="176"/>
      <c r="AA21" s="177"/>
      <c r="AB21" s="98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100"/>
      <c r="BB21" s="35"/>
      <c r="BC21" s="35"/>
      <c r="BD21" s="35"/>
      <c r="BE21" s="35"/>
      <c r="BF21" s="35"/>
      <c r="BG21" s="35"/>
      <c r="BH21" s="8"/>
      <c r="BI21" s="8"/>
      <c r="BJ21" s="8"/>
      <c r="BT21" s="30"/>
      <c r="BU21" s="30"/>
      <c r="BV21" s="30"/>
      <c r="BW21" s="30"/>
      <c r="BX21" s="30"/>
      <c r="BY21" s="30"/>
      <c r="BZ21" s="8"/>
      <c r="CA21" s="8"/>
      <c r="CB21" s="8"/>
    </row>
    <row r="22" spans="1:82" ht="12" customHeight="1" x14ac:dyDescent="0.15">
      <c r="A22" s="60"/>
      <c r="B22" s="161" t="s">
        <v>116</v>
      </c>
      <c r="C22" s="161"/>
      <c r="D22" s="161"/>
      <c r="E22" s="161"/>
      <c r="F22" s="157"/>
      <c r="G22" s="57" t="s">
        <v>112</v>
      </c>
      <c r="H22" s="176"/>
      <c r="I22" s="176"/>
      <c r="J22" s="176"/>
      <c r="K22" s="189"/>
      <c r="L22" s="110" t="str">
        <f t="shared" si="0"/>
        <v>-</v>
      </c>
      <c r="M22" s="102"/>
      <c r="N22" s="111"/>
      <c r="O22" s="190"/>
      <c r="P22" s="176"/>
      <c r="Q22" s="176"/>
      <c r="R22" s="189"/>
      <c r="S22" s="110" t="str">
        <f t="shared" si="1"/>
        <v>-</v>
      </c>
      <c r="T22" s="102"/>
      <c r="U22" s="111"/>
      <c r="V22" s="107" t="str">
        <f t="shared" si="2"/>
        <v>-</v>
      </c>
      <c r="W22" s="108"/>
      <c r="X22" s="109"/>
      <c r="Y22" s="175">
        <f t="shared" si="3"/>
        <v>0</v>
      </c>
      <c r="Z22" s="176"/>
      <c r="AA22" s="177"/>
      <c r="AB22" s="98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100"/>
      <c r="BA22" s="6"/>
      <c r="BB22" s="35"/>
    </row>
    <row r="23" spans="1:82" ht="12" customHeight="1" x14ac:dyDescent="0.15">
      <c r="A23" s="162" t="s">
        <v>18</v>
      </c>
      <c r="B23" s="163"/>
      <c r="C23" s="163"/>
      <c r="D23" s="163"/>
      <c r="E23" s="163"/>
      <c r="F23" s="164"/>
      <c r="G23" s="61" t="s">
        <v>112</v>
      </c>
      <c r="H23" s="176"/>
      <c r="I23" s="176"/>
      <c r="J23" s="176"/>
      <c r="K23" s="189"/>
      <c r="L23" s="110" t="str">
        <f t="shared" si="0"/>
        <v>-</v>
      </c>
      <c r="M23" s="102"/>
      <c r="N23" s="111"/>
      <c r="O23" s="190"/>
      <c r="P23" s="176"/>
      <c r="Q23" s="176"/>
      <c r="R23" s="189"/>
      <c r="S23" s="110" t="str">
        <f t="shared" si="1"/>
        <v>-</v>
      </c>
      <c r="T23" s="102"/>
      <c r="U23" s="111"/>
      <c r="V23" s="107" t="str">
        <f t="shared" si="2"/>
        <v>-</v>
      </c>
      <c r="W23" s="108"/>
      <c r="X23" s="109"/>
      <c r="Y23" s="175">
        <f t="shared" si="3"/>
        <v>0</v>
      </c>
      <c r="Z23" s="176"/>
      <c r="AA23" s="177"/>
      <c r="AB23" s="98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100"/>
      <c r="BB23" s="35"/>
    </row>
    <row r="24" spans="1:82" ht="12" customHeight="1" x14ac:dyDescent="0.15">
      <c r="A24" s="62"/>
      <c r="B24" s="137" t="s">
        <v>117</v>
      </c>
      <c r="C24" s="138"/>
      <c r="D24" s="138"/>
      <c r="E24" s="138"/>
      <c r="F24" s="138"/>
      <c r="G24" s="63" t="s">
        <v>112</v>
      </c>
      <c r="H24" s="176"/>
      <c r="I24" s="176"/>
      <c r="J24" s="176"/>
      <c r="K24" s="189"/>
      <c r="L24" s="110" t="str">
        <f t="shared" si="0"/>
        <v>-</v>
      </c>
      <c r="M24" s="102"/>
      <c r="N24" s="111"/>
      <c r="O24" s="190"/>
      <c r="P24" s="176"/>
      <c r="Q24" s="176"/>
      <c r="R24" s="189"/>
      <c r="S24" s="110" t="str">
        <f t="shared" si="1"/>
        <v>-</v>
      </c>
      <c r="T24" s="102"/>
      <c r="U24" s="111"/>
      <c r="V24" s="107" t="str">
        <f t="shared" si="2"/>
        <v>-</v>
      </c>
      <c r="W24" s="108"/>
      <c r="X24" s="109"/>
      <c r="Y24" s="175">
        <f t="shared" si="3"/>
        <v>0</v>
      </c>
      <c r="Z24" s="176"/>
      <c r="AA24" s="177"/>
      <c r="AB24" s="98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100"/>
      <c r="BM24" s="4"/>
      <c r="CD24" s="3"/>
    </row>
    <row r="25" spans="1:82" ht="12" customHeight="1" x14ac:dyDescent="0.15">
      <c r="A25" s="155" t="s">
        <v>22</v>
      </c>
      <c r="B25" s="156"/>
      <c r="C25" s="156"/>
      <c r="D25" s="156"/>
      <c r="E25" s="156"/>
      <c r="F25" s="157"/>
      <c r="G25" s="57" t="s">
        <v>112</v>
      </c>
      <c r="H25" s="176"/>
      <c r="I25" s="176"/>
      <c r="J25" s="176"/>
      <c r="K25" s="189"/>
      <c r="L25" s="110" t="str">
        <f t="shared" si="0"/>
        <v>-</v>
      </c>
      <c r="M25" s="102"/>
      <c r="N25" s="111"/>
      <c r="O25" s="190"/>
      <c r="P25" s="176"/>
      <c r="Q25" s="176"/>
      <c r="R25" s="189"/>
      <c r="S25" s="110" t="str">
        <f t="shared" si="1"/>
        <v>-</v>
      </c>
      <c r="T25" s="102"/>
      <c r="U25" s="111"/>
      <c r="V25" s="107" t="str">
        <f t="shared" si="2"/>
        <v>-</v>
      </c>
      <c r="W25" s="108"/>
      <c r="X25" s="109"/>
      <c r="Y25" s="175">
        <f t="shared" si="3"/>
        <v>0</v>
      </c>
      <c r="Z25" s="176"/>
      <c r="AA25" s="177"/>
      <c r="AB25" s="98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100"/>
      <c r="BJ25" s="3"/>
      <c r="BM25" s="4"/>
    </row>
    <row r="26" spans="1:82" ht="12" customHeight="1" x14ac:dyDescent="0.15">
      <c r="A26" s="155" t="s">
        <v>24</v>
      </c>
      <c r="B26" s="156"/>
      <c r="C26" s="156"/>
      <c r="D26" s="156"/>
      <c r="E26" s="156"/>
      <c r="F26" s="157"/>
      <c r="G26" s="57" t="s">
        <v>112</v>
      </c>
      <c r="H26" s="176"/>
      <c r="I26" s="176"/>
      <c r="J26" s="176"/>
      <c r="K26" s="189"/>
      <c r="L26" s="104"/>
      <c r="M26" s="105"/>
      <c r="N26" s="106"/>
      <c r="O26" s="190"/>
      <c r="P26" s="176"/>
      <c r="Q26" s="176"/>
      <c r="R26" s="189"/>
      <c r="S26" s="104"/>
      <c r="T26" s="105"/>
      <c r="U26" s="106"/>
      <c r="V26" s="107" t="str">
        <f t="shared" si="2"/>
        <v>-</v>
      </c>
      <c r="W26" s="108"/>
      <c r="X26" s="109"/>
      <c r="Y26" s="175">
        <f t="shared" si="3"/>
        <v>0</v>
      </c>
      <c r="Z26" s="176"/>
      <c r="AA26" s="177"/>
      <c r="AB26" s="98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100"/>
      <c r="BC26" s="27"/>
      <c r="BD26" s="27"/>
      <c r="BE26" s="28"/>
      <c r="BF26" s="28"/>
      <c r="BG26" s="28"/>
      <c r="BH26" s="29"/>
      <c r="BI26" s="29"/>
      <c r="BJ26" s="29"/>
      <c r="BT26" s="27"/>
      <c r="BU26" s="27"/>
      <c r="BV26" s="27"/>
      <c r="BW26" s="28"/>
      <c r="BX26" s="28"/>
      <c r="BY26" s="28"/>
      <c r="BZ26" s="29"/>
      <c r="CA26" s="29"/>
      <c r="CB26" s="29"/>
    </row>
    <row r="27" spans="1:82" ht="12" customHeight="1" x14ac:dyDescent="0.15">
      <c r="A27" s="135" t="s">
        <v>25</v>
      </c>
      <c r="B27" s="156"/>
      <c r="C27" s="156"/>
      <c r="D27" s="156"/>
      <c r="E27" s="156"/>
      <c r="F27" s="157"/>
      <c r="G27" s="57" t="s">
        <v>112</v>
      </c>
      <c r="H27" s="176"/>
      <c r="I27" s="176"/>
      <c r="J27" s="176"/>
      <c r="K27" s="189"/>
      <c r="L27" s="104"/>
      <c r="M27" s="105"/>
      <c r="N27" s="106"/>
      <c r="O27" s="190"/>
      <c r="P27" s="176"/>
      <c r="Q27" s="176"/>
      <c r="R27" s="189"/>
      <c r="S27" s="104"/>
      <c r="T27" s="105"/>
      <c r="U27" s="106"/>
      <c r="V27" s="107" t="str">
        <f t="shared" si="2"/>
        <v>-</v>
      </c>
      <c r="W27" s="108"/>
      <c r="X27" s="109"/>
      <c r="Y27" s="175">
        <f t="shared" si="3"/>
        <v>0</v>
      </c>
      <c r="Z27" s="176"/>
      <c r="AA27" s="177"/>
      <c r="AB27" s="98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100"/>
      <c r="BC27" s="27"/>
      <c r="BD27" s="27"/>
      <c r="BE27" s="27"/>
      <c r="BF27" s="27"/>
      <c r="BG27" s="27"/>
      <c r="BH27" s="29"/>
      <c r="BI27" s="29"/>
      <c r="BJ27" s="29"/>
      <c r="BT27" s="27"/>
      <c r="BU27" s="27"/>
      <c r="BV27" s="27"/>
      <c r="BW27" s="27"/>
      <c r="BX27" s="27"/>
      <c r="BY27" s="27"/>
      <c r="BZ27" s="29"/>
      <c r="CA27" s="29"/>
      <c r="CB27" s="29"/>
    </row>
    <row r="28" spans="1:82" ht="12" customHeight="1" x14ac:dyDescent="0.15">
      <c r="A28" s="155" t="s">
        <v>118</v>
      </c>
      <c r="B28" s="156"/>
      <c r="C28" s="156"/>
      <c r="D28" s="156"/>
      <c r="E28" s="156"/>
      <c r="F28" s="157"/>
      <c r="G28" s="57" t="s">
        <v>112</v>
      </c>
      <c r="H28" s="176"/>
      <c r="I28" s="176"/>
      <c r="J28" s="176"/>
      <c r="K28" s="189"/>
      <c r="L28" s="104"/>
      <c r="M28" s="105"/>
      <c r="N28" s="106"/>
      <c r="O28" s="190"/>
      <c r="P28" s="176"/>
      <c r="Q28" s="176"/>
      <c r="R28" s="189"/>
      <c r="S28" s="104"/>
      <c r="T28" s="105"/>
      <c r="U28" s="106"/>
      <c r="V28" s="107" t="str">
        <f t="shared" si="2"/>
        <v>-</v>
      </c>
      <c r="W28" s="108"/>
      <c r="X28" s="109"/>
      <c r="Y28" s="175">
        <f t="shared" si="3"/>
        <v>0</v>
      </c>
      <c r="Z28" s="176"/>
      <c r="AA28" s="177"/>
      <c r="AB28" s="98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100"/>
      <c r="BB28" s="27"/>
      <c r="BC28" s="30"/>
      <c r="BD28" s="30"/>
      <c r="BE28" s="30"/>
      <c r="BF28" s="30"/>
      <c r="BG28" s="30"/>
      <c r="BH28" s="8"/>
      <c r="BI28" s="8"/>
      <c r="BJ28" s="8"/>
      <c r="BT28" s="30"/>
      <c r="BU28" s="30"/>
      <c r="BV28" s="30"/>
      <c r="BW28" s="30"/>
      <c r="BX28" s="30"/>
      <c r="BY28" s="30"/>
      <c r="BZ28" s="8"/>
      <c r="CA28" s="8"/>
      <c r="CB28" s="8"/>
    </row>
    <row r="29" spans="1:82" ht="12" customHeight="1" x14ac:dyDescent="0.15">
      <c r="A29" s="155" t="s">
        <v>26</v>
      </c>
      <c r="B29" s="156"/>
      <c r="C29" s="156"/>
      <c r="D29" s="156"/>
      <c r="E29" s="156"/>
      <c r="F29" s="157"/>
      <c r="G29" s="57" t="s">
        <v>112</v>
      </c>
      <c r="H29" s="176"/>
      <c r="I29" s="176"/>
      <c r="J29" s="176"/>
      <c r="K29" s="189"/>
      <c r="L29" s="104"/>
      <c r="M29" s="105"/>
      <c r="N29" s="106"/>
      <c r="O29" s="190"/>
      <c r="P29" s="176"/>
      <c r="Q29" s="176"/>
      <c r="R29" s="189"/>
      <c r="S29" s="104"/>
      <c r="T29" s="105"/>
      <c r="U29" s="106"/>
      <c r="V29" s="107" t="str">
        <f t="shared" si="2"/>
        <v>-</v>
      </c>
      <c r="W29" s="108"/>
      <c r="X29" s="109"/>
      <c r="Y29" s="175">
        <f t="shared" si="3"/>
        <v>0</v>
      </c>
      <c r="Z29" s="176"/>
      <c r="AA29" s="177"/>
      <c r="AB29" s="98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100"/>
      <c r="BB29" s="27"/>
      <c r="BC29" s="30"/>
      <c r="BD29" s="30"/>
      <c r="BE29" s="30"/>
      <c r="BF29" s="30"/>
      <c r="BG29" s="30"/>
      <c r="BH29" s="8"/>
      <c r="BI29" s="8"/>
      <c r="BJ29" s="8"/>
      <c r="BT29" s="30"/>
      <c r="BU29" s="30"/>
      <c r="BV29" s="30"/>
      <c r="BW29" s="30"/>
      <c r="BX29" s="30"/>
      <c r="BY29" s="30"/>
      <c r="BZ29" s="8"/>
      <c r="CA29" s="8"/>
      <c r="CB29" s="8"/>
    </row>
    <row r="30" spans="1:82" ht="12" customHeight="1" x14ac:dyDescent="0.15">
      <c r="A30" s="135" t="s">
        <v>119</v>
      </c>
      <c r="B30" s="156"/>
      <c r="C30" s="156"/>
      <c r="D30" s="156"/>
      <c r="E30" s="156"/>
      <c r="F30" s="157"/>
      <c r="G30" s="57" t="s">
        <v>112</v>
      </c>
      <c r="H30" s="176"/>
      <c r="I30" s="176"/>
      <c r="J30" s="176"/>
      <c r="K30" s="189"/>
      <c r="L30" s="104"/>
      <c r="M30" s="105"/>
      <c r="N30" s="106"/>
      <c r="O30" s="190"/>
      <c r="P30" s="176"/>
      <c r="Q30" s="176"/>
      <c r="R30" s="189"/>
      <c r="S30" s="104"/>
      <c r="T30" s="105"/>
      <c r="U30" s="106"/>
      <c r="V30" s="107" t="str">
        <f t="shared" si="2"/>
        <v>-</v>
      </c>
      <c r="W30" s="108"/>
      <c r="X30" s="109"/>
      <c r="Y30" s="175">
        <f t="shared" si="3"/>
        <v>0</v>
      </c>
      <c r="Z30" s="176"/>
      <c r="AA30" s="177"/>
      <c r="AB30" s="98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100"/>
      <c r="BB30" s="30"/>
      <c r="BC30" s="30"/>
      <c r="BD30" s="30"/>
      <c r="BE30" s="30"/>
      <c r="BF30" s="30"/>
      <c r="BG30" s="30"/>
      <c r="BH30" s="8"/>
      <c r="BI30" s="8"/>
      <c r="BJ30" s="8"/>
      <c r="BT30" s="30"/>
      <c r="BU30" s="30"/>
      <c r="BV30" s="30"/>
      <c r="BW30" s="30"/>
      <c r="BX30" s="30"/>
      <c r="BY30" s="30"/>
      <c r="BZ30" s="8"/>
      <c r="CA30" s="8"/>
      <c r="CB30" s="8"/>
    </row>
    <row r="31" spans="1:82" ht="12" customHeight="1" x14ac:dyDescent="0.15">
      <c r="A31" s="155" t="s">
        <v>27</v>
      </c>
      <c r="B31" s="156"/>
      <c r="C31" s="156"/>
      <c r="D31" s="156"/>
      <c r="E31" s="156"/>
      <c r="F31" s="157"/>
      <c r="G31" s="57" t="s">
        <v>112</v>
      </c>
      <c r="H31" s="176"/>
      <c r="I31" s="176"/>
      <c r="J31" s="176"/>
      <c r="K31" s="189"/>
      <c r="L31" s="104"/>
      <c r="M31" s="105"/>
      <c r="N31" s="106"/>
      <c r="O31" s="190"/>
      <c r="P31" s="176"/>
      <c r="Q31" s="176"/>
      <c r="R31" s="189"/>
      <c r="S31" s="104"/>
      <c r="T31" s="105"/>
      <c r="U31" s="106"/>
      <c r="V31" s="107" t="str">
        <f t="shared" si="2"/>
        <v>-</v>
      </c>
      <c r="W31" s="108"/>
      <c r="X31" s="109"/>
      <c r="Y31" s="175">
        <f t="shared" si="3"/>
        <v>0</v>
      </c>
      <c r="Z31" s="176"/>
      <c r="AA31" s="177"/>
      <c r="AB31" s="98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100"/>
      <c r="BB31" s="30"/>
      <c r="BT31" s="30"/>
      <c r="BU31" s="30"/>
      <c r="BV31" s="30"/>
      <c r="BW31" s="30"/>
      <c r="BX31" s="30"/>
      <c r="BY31" s="30"/>
      <c r="BZ31" s="8"/>
      <c r="CA31" s="8"/>
      <c r="CB31" s="8"/>
    </row>
    <row r="32" spans="1:82" ht="12" customHeight="1" x14ac:dyDescent="0.15">
      <c r="A32" s="155" t="s">
        <v>120</v>
      </c>
      <c r="B32" s="156"/>
      <c r="C32" s="156"/>
      <c r="D32" s="156"/>
      <c r="E32" s="156"/>
      <c r="F32" s="157"/>
      <c r="G32" s="57" t="s">
        <v>112</v>
      </c>
      <c r="H32" s="176"/>
      <c r="I32" s="176"/>
      <c r="J32" s="176"/>
      <c r="K32" s="189"/>
      <c r="L32" s="104"/>
      <c r="M32" s="105"/>
      <c r="N32" s="106"/>
      <c r="O32" s="190"/>
      <c r="P32" s="176"/>
      <c r="Q32" s="176"/>
      <c r="R32" s="189"/>
      <c r="S32" s="104"/>
      <c r="T32" s="105"/>
      <c r="U32" s="106"/>
      <c r="V32" s="107" t="str">
        <f t="shared" si="2"/>
        <v>-</v>
      </c>
      <c r="W32" s="108"/>
      <c r="X32" s="109"/>
      <c r="Y32" s="175">
        <f t="shared" si="3"/>
        <v>0</v>
      </c>
      <c r="Z32" s="176"/>
      <c r="AA32" s="177"/>
      <c r="AB32" s="98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100"/>
      <c r="BB32" s="30"/>
      <c r="BT32" s="30"/>
      <c r="BU32" s="30"/>
      <c r="BV32" s="30"/>
      <c r="BW32" s="30"/>
      <c r="BX32" s="30"/>
      <c r="BY32" s="30"/>
      <c r="BZ32" s="8"/>
      <c r="CA32" s="8"/>
      <c r="CB32" s="8"/>
    </row>
    <row r="33" spans="1:80" ht="12" customHeight="1" x14ac:dyDescent="0.15">
      <c r="A33" s="158" t="s">
        <v>28</v>
      </c>
      <c r="B33" s="159"/>
      <c r="C33" s="159"/>
      <c r="D33" s="159"/>
      <c r="E33" s="159"/>
      <c r="F33" s="160"/>
      <c r="G33" s="64" t="s">
        <v>112</v>
      </c>
      <c r="H33" s="88"/>
      <c r="I33" s="88"/>
      <c r="J33" s="88"/>
      <c r="K33" s="89"/>
      <c r="L33" s="90"/>
      <c r="M33" s="91"/>
      <c r="N33" s="92"/>
      <c r="O33" s="87"/>
      <c r="P33" s="88"/>
      <c r="Q33" s="88"/>
      <c r="R33" s="89"/>
      <c r="S33" s="90"/>
      <c r="T33" s="91"/>
      <c r="U33" s="92"/>
      <c r="V33" s="93" t="str">
        <f t="shared" si="2"/>
        <v>-</v>
      </c>
      <c r="W33" s="94"/>
      <c r="X33" s="95"/>
      <c r="Y33" s="96">
        <f t="shared" si="3"/>
        <v>0</v>
      </c>
      <c r="Z33" s="88"/>
      <c r="AA33" s="97"/>
      <c r="AB33" s="98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100"/>
      <c r="BT33" s="30"/>
      <c r="BU33" s="30"/>
      <c r="BV33" s="30"/>
      <c r="BW33" s="30"/>
      <c r="BX33" s="30"/>
      <c r="BY33" s="30"/>
      <c r="BZ33" s="8"/>
      <c r="CA33" s="8"/>
      <c r="CB33" s="8"/>
    </row>
    <row r="34" spans="1:80" ht="12" customHeight="1" x14ac:dyDescent="0.15">
      <c r="A34" s="142" t="s">
        <v>121</v>
      </c>
      <c r="B34" s="143"/>
      <c r="C34" s="143"/>
      <c r="D34" s="143"/>
      <c r="E34" s="143"/>
      <c r="F34" s="143"/>
      <c r="G34" s="65" t="s">
        <v>122</v>
      </c>
      <c r="H34" s="221"/>
      <c r="I34" s="221"/>
      <c r="J34" s="221"/>
      <c r="K34" s="228"/>
      <c r="L34" s="229"/>
      <c r="M34" s="230"/>
      <c r="N34" s="231"/>
      <c r="O34" s="232"/>
      <c r="P34" s="221"/>
      <c r="Q34" s="221"/>
      <c r="R34" s="228"/>
      <c r="S34" s="229"/>
      <c r="T34" s="230"/>
      <c r="U34" s="231"/>
      <c r="V34" s="197" t="str">
        <f t="shared" si="2"/>
        <v>-</v>
      </c>
      <c r="W34" s="198"/>
      <c r="X34" s="199"/>
      <c r="Y34" s="220">
        <f t="shared" si="3"/>
        <v>0</v>
      </c>
      <c r="Z34" s="221"/>
      <c r="AA34" s="222"/>
      <c r="AB34" s="98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100"/>
    </row>
    <row r="35" spans="1:80" ht="12" customHeight="1" x14ac:dyDescent="0.15">
      <c r="A35" s="66"/>
      <c r="B35" s="144" t="s">
        <v>123</v>
      </c>
      <c r="C35" s="145"/>
      <c r="D35" s="145"/>
      <c r="E35" s="145"/>
      <c r="F35" s="145"/>
      <c r="G35" s="67" t="s">
        <v>124</v>
      </c>
      <c r="H35" s="223"/>
      <c r="I35" s="223"/>
      <c r="J35" s="223"/>
      <c r="K35" s="224"/>
      <c r="L35" s="104"/>
      <c r="M35" s="105"/>
      <c r="N35" s="106"/>
      <c r="O35" s="225"/>
      <c r="P35" s="223"/>
      <c r="Q35" s="223"/>
      <c r="R35" s="224"/>
      <c r="S35" s="104"/>
      <c r="T35" s="105"/>
      <c r="U35" s="106"/>
      <c r="V35" s="107" t="str">
        <f t="shared" si="2"/>
        <v>-</v>
      </c>
      <c r="W35" s="108"/>
      <c r="X35" s="109"/>
      <c r="Y35" s="226">
        <f t="shared" si="3"/>
        <v>0</v>
      </c>
      <c r="Z35" s="223"/>
      <c r="AA35" s="227"/>
      <c r="AB35" s="98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100"/>
    </row>
    <row r="36" spans="1:80" ht="12" customHeight="1" x14ac:dyDescent="0.15">
      <c r="A36" s="68"/>
      <c r="B36" s="146" t="s">
        <v>125</v>
      </c>
      <c r="C36" s="147"/>
      <c r="D36" s="147"/>
      <c r="E36" s="147"/>
      <c r="F36" s="147"/>
      <c r="G36" s="64" t="s">
        <v>124</v>
      </c>
      <c r="H36" s="210"/>
      <c r="I36" s="210"/>
      <c r="J36" s="210"/>
      <c r="K36" s="218"/>
      <c r="L36" s="90"/>
      <c r="M36" s="91"/>
      <c r="N36" s="92"/>
      <c r="O36" s="219"/>
      <c r="P36" s="210"/>
      <c r="Q36" s="210"/>
      <c r="R36" s="218"/>
      <c r="S36" s="90"/>
      <c r="T36" s="91"/>
      <c r="U36" s="92"/>
      <c r="V36" s="93" t="str">
        <f t="shared" si="2"/>
        <v>-</v>
      </c>
      <c r="W36" s="94"/>
      <c r="X36" s="95"/>
      <c r="Y36" s="209">
        <f t="shared" si="3"/>
        <v>0</v>
      </c>
      <c r="Z36" s="210"/>
      <c r="AA36" s="211"/>
      <c r="AB36" s="98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100"/>
      <c r="BC36" s="40"/>
      <c r="BD36" s="40"/>
      <c r="BE36" s="40"/>
      <c r="BF36" s="40"/>
      <c r="BG36" s="40"/>
      <c r="BH36" s="41"/>
      <c r="BI36" s="41"/>
      <c r="BJ36" s="41"/>
      <c r="CA36" s="3"/>
      <c r="CB36" s="3"/>
    </row>
    <row r="37" spans="1:80" ht="12" customHeight="1" x14ac:dyDescent="0.15">
      <c r="A37" s="148" t="s">
        <v>134</v>
      </c>
      <c r="B37" s="149"/>
      <c r="C37" s="150" t="s">
        <v>135</v>
      </c>
      <c r="D37" s="151"/>
      <c r="E37" s="151"/>
      <c r="F37" s="152"/>
      <c r="G37" s="69" t="s">
        <v>136</v>
      </c>
      <c r="H37" s="212"/>
      <c r="I37" s="212"/>
      <c r="J37" s="212"/>
      <c r="K37" s="213"/>
      <c r="L37" s="193"/>
      <c r="M37" s="194"/>
      <c r="N37" s="195"/>
      <c r="O37" s="214"/>
      <c r="P37" s="212"/>
      <c r="Q37" s="212"/>
      <c r="R37" s="213"/>
      <c r="S37" s="193"/>
      <c r="T37" s="194"/>
      <c r="U37" s="195"/>
      <c r="V37" s="197" t="str">
        <f t="shared" si="2"/>
        <v>-</v>
      </c>
      <c r="W37" s="198"/>
      <c r="X37" s="199"/>
      <c r="Y37" s="215">
        <f t="shared" si="3"/>
        <v>0</v>
      </c>
      <c r="Z37" s="216"/>
      <c r="AA37" s="217"/>
      <c r="AB37" s="98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100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</row>
    <row r="38" spans="1:80" ht="12" customHeight="1" x14ac:dyDescent="0.15">
      <c r="A38" s="148"/>
      <c r="B38" s="149"/>
      <c r="C38" s="137" t="s">
        <v>141</v>
      </c>
      <c r="D38" s="138"/>
      <c r="E38" s="138"/>
      <c r="F38" s="138"/>
      <c r="G38" s="57" t="s">
        <v>137</v>
      </c>
      <c r="H38" s="102"/>
      <c r="I38" s="102"/>
      <c r="J38" s="102"/>
      <c r="K38" s="103"/>
      <c r="L38" s="104"/>
      <c r="M38" s="105"/>
      <c r="N38" s="106"/>
      <c r="O38" s="101"/>
      <c r="P38" s="102"/>
      <c r="Q38" s="102"/>
      <c r="R38" s="103"/>
      <c r="S38" s="104"/>
      <c r="T38" s="105"/>
      <c r="U38" s="106"/>
      <c r="V38" s="107" t="str">
        <f t="shared" si="2"/>
        <v>-</v>
      </c>
      <c r="W38" s="108"/>
      <c r="X38" s="109"/>
      <c r="Y38" s="110">
        <f t="shared" si="3"/>
        <v>0</v>
      </c>
      <c r="Z38" s="102"/>
      <c r="AA38" s="111"/>
      <c r="AB38" s="98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100"/>
      <c r="BB38" s="40"/>
      <c r="BC38" s="27"/>
      <c r="BD38" s="27"/>
      <c r="BE38" s="28"/>
      <c r="BF38" s="28"/>
      <c r="BG38" s="28"/>
      <c r="BH38" s="29"/>
      <c r="BI38" s="29"/>
      <c r="BJ38" s="29"/>
      <c r="BK38" s="27"/>
      <c r="BL38" s="27"/>
      <c r="BM38" s="27"/>
      <c r="BN38" s="28"/>
      <c r="BO38" s="28"/>
      <c r="BP38" s="28"/>
      <c r="BQ38" s="29"/>
      <c r="BR38" s="29"/>
      <c r="BS38" s="29"/>
      <c r="BT38" s="27"/>
      <c r="BU38" s="27"/>
      <c r="BV38" s="27"/>
      <c r="BW38" s="28"/>
      <c r="BX38" s="28"/>
      <c r="BY38" s="28"/>
      <c r="BZ38" s="29"/>
      <c r="CA38" s="29"/>
      <c r="CB38" s="29"/>
    </row>
    <row r="39" spans="1:80" ht="12" customHeight="1" thickBot="1" x14ac:dyDescent="0.2">
      <c r="A39" s="148"/>
      <c r="B39" s="149"/>
      <c r="C39" s="153" t="s">
        <v>138</v>
      </c>
      <c r="D39" s="154"/>
      <c r="E39" s="154"/>
      <c r="F39" s="154"/>
      <c r="G39" s="61" t="s">
        <v>111</v>
      </c>
      <c r="H39" s="203"/>
      <c r="I39" s="203"/>
      <c r="J39" s="203"/>
      <c r="K39" s="204"/>
      <c r="L39" s="205"/>
      <c r="M39" s="206"/>
      <c r="N39" s="207"/>
      <c r="O39" s="208"/>
      <c r="P39" s="203"/>
      <c r="Q39" s="203"/>
      <c r="R39" s="204"/>
      <c r="S39" s="205"/>
      <c r="T39" s="206"/>
      <c r="U39" s="207"/>
      <c r="V39" s="184" t="str">
        <f t="shared" si="2"/>
        <v>-</v>
      </c>
      <c r="W39" s="185"/>
      <c r="X39" s="186"/>
      <c r="Y39" s="187">
        <f t="shared" si="3"/>
        <v>0</v>
      </c>
      <c r="Z39" s="178"/>
      <c r="AA39" s="188"/>
      <c r="AB39" s="98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100"/>
      <c r="BB39" s="36"/>
      <c r="BC39" s="27"/>
      <c r="BD39" s="27"/>
      <c r="BE39" s="27"/>
      <c r="BF39" s="27"/>
      <c r="BG39" s="27"/>
      <c r="BH39" s="29"/>
      <c r="BI39" s="29"/>
      <c r="BJ39" s="29"/>
      <c r="BK39" s="27"/>
      <c r="BL39" s="27"/>
      <c r="BM39" s="27"/>
      <c r="BN39" s="27"/>
      <c r="BO39" s="27"/>
      <c r="BP39" s="27"/>
      <c r="BQ39" s="29"/>
      <c r="BR39" s="29"/>
      <c r="BS39" s="29"/>
      <c r="BT39" s="27"/>
      <c r="BU39" s="27"/>
      <c r="BV39" s="27"/>
      <c r="BW39" s="27"/>
      <c r="BX39" s="27"/>
      <c r="BY39" s="27"/>
      <c r="BZ39" s="29"/>
      <c r="CA39" s="29"/>
      <c r="CB39" s="29"/>
    </row>
    <row r="40" spans="1:80" ht="12" customHeight="1" thickTop="1" x14ac:dyDescent="0.15">
      <c r="A40" s="70" t="s">
        <v>139</v>
      </c>
      <c r="B40" s="71"/>
      <c r="C40" s="71"/>
      <c r="D40" s="71"/>
      <c r="E40" s="71"/>
      <c r="F40" s="71"/>
      <c r="G40" s="72"/>
      <c r="H40" s="112"/>
      <c r="I40" s="112"/>
      <c r="J40" s="112"/>
      <c r="K40" s="112"/>
      <c r="L40" s="113"/>
      <c r="M40" s="113"/>
      <c r="N40" s="113"/>
      <c r="O40" s="112"/>
      <c r="P40" s="112"/>
      <c r="Q40" s="112"/>
      <c r="R40" s="112"/>
      <c r="S40" s="113"/>
      <c r="T40" s="113"/>
      <c r="U40" s="113"/>
      <c r="V40" s="114"/>
      <c r="W40" s="114"/>
      <c r="X40" s="114"/>
      <c r="Y40" s="112"/>
      <c r="Z40" s="112"/>
      <c r="AA40" s="115"/>
      <c r="AB40" s="98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100"/>
      <c r="BB40" s="27"/>
      <c r="BC40" s="35"/>
      <c r="BD40" s="35"/>
      <c r="BE40" s="35"/>
      <c r="BF40" s="35"/>
      <c r="BG40" s="35"/>
      <c r="BH40" s="8"/>
      <c r="BI40" s="8"/>
      <c r="BJ40" s="8"/>
      <c r="BK40" s="35"/>
      <c r="BL40" s="35"/>
      <c r="BM40" s="35"/>
      <c r="BN40" s="35"/>
      <c r="BO40" s="35"/>
      <c r="BP40" s="35"/>
      <c r="BQ40" s="8"/>
      <c r="BR40" s="8"/>
      <c r="BS40" s="8"/>
      <c r="BT40" s="35"/>
      <c r="BU40" s="35"/>
      <c r="BV40" s="35"/>
      <c r="BW40" s="35"/>
      <c r="BX40" s="35"/>
      <c r="BY40" s="35"/>
      <c r="BZ40" s="8"/>
      <c r="CA40" s="8"/>
      <c r="CB40" s="8"/>
    </row>
    <row r="41" spans="1:80" ht="12" customHeight="1" x14ac:dyDescent="0.15">
      <c r="A41" s="128" t="s">
        <v>142</v>
      </c>
      <c r="B41" s="129"/>
      <c r="C41" s="129"/>
      <c r="D41" s="137" t="s">
        <v>69</v>
      </c>
      <c r="E41" s="138"/>
      <c r="F41" s="139"/>
      <c r="G41" s="57" t="s">
        <v>136</v>
      </c>
      <c r="H41" s="102"/>
      <c r="I41" s="102"/>
      <c r="J41" s="102"/>
      <c r="K41" s="103"/>
      <c r="L41" s="104"/>
      <c r="M41" s="105"/>
      <c r="N41" s="106"/>
      <c r="O41" s="101"/>
      <c r="P41" s="102"/>
      <c r="Q41" s="102"/>
      <c r="R41" s="103"/>
      <c r="S41" s="104"/>
      <c r="T41" s="105"/>
      <c r="U41" s="106"/>
      <c r="V41" s="107" t="str">
        <f t="shared" ref="V41:V48" si="4">IF(H41="-", "-", IF(O41="-", "-", IF(ABS(O41)=0, "-", ROUND(100*(H41-O41)/ABS(O41),1))))</f>
        <v>-</v>
      </c>
      <c r="W41" s="108"/>
      <c r="X41" s="109"/>
      <c r="Y41" s="110">
        <f t="shared" si="3"/>
        <v>0</v>
      </c>
      <c r="Z41" s="102"/>
      <c r="AA41" s="111"/>
      <c r="AB41" s="98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100"/>
      <c r="BB41" s="27"/>
      <c r="BC41" s="35"/>
      <c r="BD41" s="35"/>
      <c r="BE41" s="35"/>
      <c r="BF41" s="35"/>
      <c r="BG41" s="35"/>
      <c r="BH41" s="8"/>
      <c r="BI41" s="8"/>
      <c r="BJ41" s="8"/>
      <c r="BK41" s="35"/>
      <c r="BL41" s="35"/>
      <c r="BM41" s="35"/>
      <c r="BN41" s="35"/>
      <c r="BO41" s="35"/>
      <c r="BP41" s="35"/>
      <c r="BQ41" s="8"/>
      <c r="BR41" s="8"/>
      <c r="BS41" s="8"/>
      <c r="BT41" s="35"/>
      <c r="BU41" s="35"/>
      <c r="BV41" s="35"/>
      <c r="BW41" s="35"/>
      <c r="BX41" s="35"/>
      <c r="BY41" s="35"/>
      <c r="BZ41" s="8"/>
      <c r="CA41" s="8"/>
      <c r="CB41" s="8"/>
    </row>
    <row r="42" spans="1:80" ht="12" customHeight="1" x14ac:dyDescent="0.15">
      <c r="A42" s="130"/>
      <c r="B42" s="131"/>
      <c r="C42" s="131"/>
      <c r="D42" s="140" t="s">
        <v>95</v>
      </c>
      <c r="E42" s="123"/>
      <c r="F42" s="141"/>
      <c r="G42" s="64" t="s">
        <v>111</v>
      </c>
      <c r="H42" s="88"/>
      <c r="I42" s="88"/>
      <c r="J42" s="88"/>
      <c r="K42" s="89"/>
      <c r="L42" s="90"/>
      <c r="M42" s="91"/>
      <c r="N42" s="92"/>
      <c r="O42" s="87"/>
      <c r="P42" s="88"/>
      <c r="Q42" s="88"/>
      <c r="R42" s="89"/>
      <c r="S42" s="90"/>
      <c r="T42" s="91"/>
      <c r="U42" s="92"/>
      <c r="V42" s="93" t="str">
        <f t="shared" si="4"/>
        <v>-</v>
      </c>
      <c r="W42" s="94"/>
      <c r="X42" s="95"/>
      <c r="Y42" s="96">
        <f t="shared" si="3"/>
        <v>0</v>
      </c>
      <c r="Z42" s="88"/>
      <c r="AA42" s="97"/>
      <c r="AB42" s="98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100"/>
      <c r="BB42" s="35"/>
      <c r="BC42" s="35"/>
      <c r="BD42" s="35"/>
      <c r="BE42" s="35"/>
      <c r="BF42" s="35"/>
      <c r="BG42" s="35"/>
      <c r="BH42" s="8"/>
      <c r="BI42" s="8"/>
      <c r="BJ42" s="8"/>
      <c r="BK42" s="35"/>
      <c r="BL42" s="35"/>
      <c r="BM42" s="35"/>
      <c r="BN42" s="35"/>
      <c r="BO42" s="35"/>
      <c r="BP42" s="35"/>
      <c r="BQ42" s="8"/>
      <c r="BR42" s="8"/>
      <c r="BS42" s="8"/>
      <c r="BT42" s="35"/>
      <c r="BU42" s="35"/>
      <c r="BV42" s="35"/>
      <c r="BW42" s="35"/>
      <c r="BX42" s="35"/>
      <c r="BY42" s="35"/>
      <c r="BZ42" s="8"/>
      <c r="CA42" s="8"/>
      <c r="CB42" s="8"/>
    </row>
    <row r="43" spans="1:80" ht="12" customHeight="1" x14ac:dyDescent="0.15">
      <c r="A43" s="132" t="s">
        <v>126</v>
      </c>
      <c r="B43" s="133"/>
      <c r="C43" s="133"/>
      <c r="D43" s="134"/>
      <c r="E43" s="134"/>
      <c r="F43" s="134"/>
      <c r="G43" s="69" t="s">
        <v>112</v>
      </c>
      <c r="H43" s="191"/>
      <c r="I43" s="191"/>
      <c r="J43" s="191"/>
      <c r="K43" s="192"/>
      <c r="L43" s="193"/>
      <c r="M43" s="194"/>
      <c r="N43" s="195"/>
      <c r="O43" s="196"/>
      <c r="P43" s="191"/>
      <c r="Q43" s="191"/>
      <c r="R43" s="192"/>
      <c r="S43" s="193"/>
      <c r="T43" s="194"/>
      <c r="U43" s="195"/>
      <c r="V43" s="197" t="str">
        <f t="shared" si="4"/>
        <v>-</v>
      </c>
      <c r="W43" s="198"/>
      <c r="X43" s="199"/>
      <c r="Y43" s="200">
        <f t="shared" si="3"/>
        <v>0</v>
      </c>
      <c r="Z43" s="201"/>
      <c r="AA43" s="202"/>
      <c r="AB43" s="98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100"/>
      <c r="BB43" s="35"/>
      <c r="BC43" s="35"/>
      <c r="BD43" s="35"/>
      <c r="BE43" s="35"/>
      <c r="BF43" s="35"/>
      <c r="BG43" s="35"/>
      <c r="BH43" s="8"/>
      <c r="BI43" s="8"/>
      <c r="BJ43" s="8"/>
      <c r="BK43" s="35"/>
      <c r="BL43" s="35"/>
      <c r="BM43" s="35"/>
      <c r="BN43" s="35"/>
      <c r="BO43" s="35"/>
      <c r="BP43" s="35"/>
      <c r="BQ43" s="8"/>
      <c r="BR43" s="8"/>
      <c r="BS43" s="8"/>
      <c r="BT43" s="35"/>
      <c r="BU43" s="35"/>
      <c r="BV43" s="35"/>
      <c r="BW43" s="35"/>
      <c r="BX43" s="35"/>
      <c r="BY43" s="35"/>
      <c r="BZ43" s="8"/>
      <c r="CA43" s="8"/>
      <c r="CB43" s="8"/>
    </row>
    <row r="44" spans="1:80" ht="12" customHeight="1" x14ac:dyDescent="0.15">
      <c r="A44" s="135" t="s">
        <v>127</v>
      </c>
      <c r="B44" s="136"/>
      <c r="C44" s="136"/>
      <c r="D44" s="136"/>
      <c r="E44" s="136"/>
      <c r="F44" s="136"/>
      <c r="G44" s="57" t="s">
        <v>112</v>
      </c>
      <c r="H44" s="176"/>
      <c r="I44" s="176"/>
      <c r="J44" s="176"/>
      <c r="K44" s="189"/>
      <c r="L44" s="104"/>
      <c r="M44" s="105"/>
      <c r="N44" s="106"/>
      <c r="O44" s="190"/>
      <c r="P44" s="176"/>
      <c r="Q44" s="176"/>
      <c r="R44" s="189"/>
      <c r="S44" s="104"/>
      <c r="T44" s="105"/>
      <c r="U44" s="106"/>
      <c r="V44" s="107" t="str">
        <f t="shared" si="4"/>
        <v>-</v>
      </c>
      <c r="W44" s="108"/>
      <c r="X44" s="109"/>
      <c r="Y44" s="175">
        <f t="shared" si="3"/>
        <v>0</v>
      </c>
      <c r="Z44" s="176"/>
      <c r="AA44" s="177"/>
      <c r="AB44" s="98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100"/>
      <c r="BB44" s="35"/>
      <c r="BC44" s="35"/>
      <c r="BD44" s="35"/>
      <c r="BE44" s="35"/>
      <c r="BF44" s="35"/>
      <c r="BG44" s="35"/>
      <c r="BH44" s="8"/>
      <c r="BI44" s="8"/>
      <c r="BJ44" s="8"/>
      <c r="BK44" s="35"/>
      <c r="BL44" s="35"/>
      <c r="BM44" s="35"/>
      <c r="BN44" s="35"/>
      <c r="BO44" s="35"/>
      <c r="BP44" s="35"/>
      <c r="BQ44" s="8"/>
      <c r="BR44" s="8"/>
      <c r="BS44" s="8"/>
      <c r="BT44" s="35"/>
      <c r="BU44" s="35"/>
      <c r="BV44" s="35"/>
      <c r="BW44" s="35"/>
      <c r="BX44" s="35"/>
      <c r="BY44" s="35"/>
      <c r="BZ44" s="8"/>
      <c r="CA44" s="8"/>
      <c r="CB44" s="8"/>
    </row>
    <row r="45" spans="1:80" ht="12" customHeight="1" thickBot="1" x14ac:dyDescent="0.2">
      <c r="A45" s="73"/>
      <c r="B45" s="116" t="s">
        <v>128</v>
      </c>
      <c r="C45" s="117"/>
      <c r="D45" s="117"/>
      <c r="E45" s="117"/>
      <c r="F45" s="118"/>
      <c r="G45" s="74" t="s">
        <v>112</v>
      </c>
      <c r="H45" s="178"/>
      <c r="I45" s="178"/>
      <c r="J45" s="178"/>
      <c r="K45" s="179"/>
      <c r="L45" s="180"/>
      <c r="M45" s="181"/>
      <c r="N45" s="182"/>
      <c r="O45" s="183"/>
      <c r="P45" s="178"/>
      <c r="Q45" s="178"/>
      <c r="R45" s="179"/>
      <c r="S45" s="180"/>
      <c r="T45" s="181"/>
      <c r="U45" s="182"/>
      <c r="V45" s="184" t="str">
        <f t="shared" si="4"/>
        <v>-</v>
      </c>
      <c r="W45" s="185"/>
      <c r="X45" s="186"/>
      <c r="Y45" s="187">
        <f t="shared" si="3"/>
        <v>0</v>
      </c>
      <c r="Z45" s="178"/>
      <c r="AA45" s="188"/>
      <c r="AB45" s="98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100"/>
      <c r="BB45" s="35"/>
      <c r="BC45" s="35"/>
      <c r="BD45" s="35"/>
      <c r="BE45" s="35"/>
      <c r="BF45" s="35"/>
      <c r="BG45" s="35"/>
      <c r="BH45" s="8"/>
      <c r="BI45" s="8"/>
      <c r="BJ45" s="8"/>
      <c r="BK45" s="35"/>
      <c r="BL45" s="35"/>
      <c r="BM45" s="35"/>
      <c r="BN45" s="35"/>
      <c r="BO45" s="35"/>
      <c r="BP45" s="35"/>
      <c r="BQ45" s="8"/>
      <c r="BR45" s="8"/>
      <c r="BS45" s="8"/>
      <c r="BT45" s="35"/>
      <c r="BU45" s="35"/>
      <c r="BV45" s="35"/>
      <c r="BW45" s="35"/>
      <c r="BX45" s="35"/>
      <c r="BY45" s="35"/>
      <c r="BZ45" s="8"/>
      <c r="CA45" s="8"/>
      <c r="CB45" s="8"/>
    </row>
    <row r="46" spans="1:80" ht="12" customHeight="1" thickTop="1" x14ac:dyDescent="0.15">
      <c r="A46" s="70" t="s">
        <v>129</v>
      </c>
      <c r="B46" s="75"/>
      <c r="C46" s="75"/>
      <c r="D46" s="75"/>
      <c r="E46" s="75"/>
      <c r="F46" s="75"/>
      <c r="G46" s="72"/>
      <c r="H46" s="112"/>
      <c r="I46" s="112"/>
      <c r="J46" s="112"/>
      <c r="K46" s="112"/>
      <c r="L46" s="113"/>
      <c r="M46" s="113"/>
      <c r="N46" s="113"/>
      <c r="O46" s="112"/>
      <c r="P46" s="112"/>
      <c r="Q46" s="112"/>
      <c r="R46" s="112"/>
      <c r="S46" s="113"/>
      <c r="T46" s="113"/>
      <c r="U46" s="113"/>
      <c r="V46" s="114"/>
      <c r="W46" s="114"/>
      <c r="X46" s="114"/>
      <c r="Y46" s="112"/>
      <c r="Z46" s="112"/>
      <c r="AA46" s="115"/>
      <c r="AB46" s="98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100"/>
      <c r="BB46" s="35"/>
      <c r="BC46" s="35"/>
      <c r="BD46" s="35"/>
      <c r="BE46" s="35"/>
      <c r="BF46" s="35"/>
      <c r="BG46" s="35"/>
      <c r="BH46" s="8"/>
      <c r="BI46" s="8"/>
      <c r="BJ46" s="8"/>
      <c r="BK46" s="35"/>
      <c r="BL46" s="35"/>
      <c r="BM46" s="35"/>
      <c r="BN46" s="35"/>
      <c r="BO46" s="35"/>
      <c r="BP46" s="35"/>
      <c r="BQ46" s="8"/>
      <c r="BR46" s="8"/>
      <c r="BS46" s="8"/>
      <c r="BT46" s="35"/>
      <c r="BU46" s="35"/>
      <c r="BV46" s="35"/>
      <c r="BW46" s="35"/>
      <c r="BX46" s="35"/>
      <c r="BY46" s="35"/>
      <c r="BZ46" s="8"/>
      <c r="CA46" s="8"/>
      <c r="CB46" s="8"/>
    </row>
    <row r="47" spans="1:80" ht="12" customHeight="1" x14ac:dyDescent="0.15">
      <c r="A47" s="119" t="s">
        <v>140</v>
      </c>
      <c r="B47" s="120"/>
      <c r="C47" s="120"/>
      <c r="D47" s="120"/>
      <c r="E47" s="120"/>
      <c r="F47" s="121"/>
      <c r="G47" s="76" t="s">
        <v>130</v>
      </c>
      <c r="H47" s="101"/>
      <c r="I47" s="102"/>
      <c r="J47" s="102"/>
      <c r="K47" s="103"/>
      <c r="L47" s="104"/>
      <c r="M47" s="105"/>
      <c r="N47" s="106"/>
      <c r="O47" s="101"/>
      <c r="P47" s="102"/>
      <c r="Q47" s="102"/>
      <c r="R47" s="103"/>
      <c r="S47" s="104"/>
      <c r="T47" s="105"/>
      <c r="U47" s="106"/>
      <c r="V47" s="107" t="str">
        <f t="shared" si="4"/>
        <v>-</v>
      </c>
      <c r="W47" s="108"/>
      <c r="X47" s="109"/>
      <c r="Y47" s="110">
        <f t="shared" si="3"/>
        <v>0</v>
      </c>
      <c r="Z47" s="102"/>
      <c r="AA47" s="111"/>
      <c r="AB47" s="98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100"/>
      <c r="BB47" s="35"/>
      <c r="BC47" s="35"/>
      <c r="BD47" s="35"/>
      <c r="BE47" s="35"/>
      <c r="BF47" s="35"/>
      <c r="BG47" s="35"/>
      <c r="BH47" s="8"/>
      <c r="BI47" s="8"/>
      <c r="BJ47" s="8"/>
      <c r="BK47" s="35"/>
      <c r="BL47" s="35"/>
      <c r="BM47" s="35"/>
      <c r="BN47" s="35"/>
      <c r="BO47" s="35"/>
      <c r="BP47" s="35"/>
      <c r="BQ47" s="8"/>
      <c r="BR47" s="8"/>
      <c r="BS47" s="8"/>
      <c r="BT47" s="35"/>
      <c r="BU47" s="35"/>
      <c r="BV47" s="35"/>
      <c r="BW47" s="35"/>
      <c r="BX47" s="35"/>
      <c r="BY47" s="35"/>
      <c r="BZ47" s="8"/>
      <c r="CA47" s="8"/>
      <c r="CB47" s="8"/>
    </row>
    <row r="48" spans="1:80" ht="12" customHeight="1" x14ac:dyDescent="0.15">
      <c r="A48" s="122" t="s">
        <v>67</v>
      </c>
      <c r="B48" s="123"/>
      <c r="C48" s="123"/>
      <c r="D48" s="123"/>
      <c r="E48" s="123"/>
      <c r="F48" s="123"/>
      <c r="G48" s="77" t="s">
        <v>130</v>
      </c>
      <c r="H48" s="87"/>
      <c r="I48" s="88"/>
      <c r="J48" s="88"/>
      <c r="K48" s="89"/>
      <c r="L48" s="90"/>
      <c r="M48" s="91"/>
      <c r="N48" s="92"/>
      <c r="O48" s="87"/>
      <c r="P48" s="88"/>
      <c r="Q48" s="88"/>
      <c r="R48" s="89"/>
      <c r="S48" s="90"/>
      <c r="T48" s="91"/>
      <c r="U48" s="92"/>
      <c r="V48" s="93" t="str">
        <f t="shared" si="4"/>
        <v>-</v>
      </c>
      <c r="W48" s="94"/>
      <c r="X48" s="95"/>
      <c r="Y48" s="96">
        <f t="shared" si="3"/>
        <v>0</v>
      </c>
      <c r="Z48" s="88"/>
      <c r="AA48" s="97"/>
      <c r="AB48" s="82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4"/>
      <c r="BB48" s="35"/>
    </row>
    <row r="49" spans="1:59" ht="12.6" customHeight="1" x14ac:dyDescent="0.15">
      <c r="G49" s="31"/>
      <c r="BB49" s="35"/>
    </row>
    <row r="50" spans="1:59" ht="12.6" customHeight="1" x14ac:dyDescent="0.15"/>
    <row r="51" spans="1:59" ht="14.1" customHeight="1" x14ac:dyDescent="0.15"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BC51" s="5"/>
      <c r="BD51" s="5"/>
      <c r="BE51" s="5"/>
      <c r="BF51" s="5"/>
      <c r="BG51" s="7"/>
    </row>
    <row r="53" spans="1:59" ht="14.1" customHeight="1" x14ac:dyDescent="0.15">
      <c r="A53" s="5"/>
      <c r="B53" s="5"/>
      <c r="C53" s="5"/>
      <c r="D53" s="5"/>
      <c r="E53" s="5"/>
      <c r="F53" s="5"/>
      <c r="G53" s="5"/>
      <c r="BB53" s="5"/>
    </row>
    <row r="54" spans="1:59" ht="14.1" customHeight="1" x14ac:dyDescent="0.15">
      <c r="BA54" s="5"/>
    </row>
  </sheetData>
  <mergeCells count="351">
    <mergeCell ref="AO1:AZ1"/>
    <mergeCell ref="AO2:AZ2"/>
    <mergeCell ref="H5:K6"/>
    <mergeCell ref="L5:N5"/>
    <mergeCell ref="O5:R6"/>
    <mergeCell ref="S5:U5"/>
    <mergeCell ref="V5:X5"/>
    <mergeCell ref="V7:X7"/>
    <mergeCell ref="Y7:AA7"/>
    <mergeCell ref="AB7:AZ7"/>
    <mergeCell ref="H8:K8"/>
    <mergeCell ref="L8:N8"/>
    <mergeCell ref="O8:R8"/>
    <mergeCell ref="S8:U8"/>
    <mergeCell ref="V8:X8"/>
    <mergeCell ref="Y5:AA6"/>
    <mergeCell ref="AB5:AZ6"/>
    <mergeCell ref="L6:N6"/>
    <mergeCell ref="S6:U6"/>
    <mergeCell ref="V6:X6"/>
    <mergeCell ref="H7:K7"/>
    <mergeCell ref="L7:N7"/>
    <mergeCell ref="O7:R7"/>
    <mergeCell ref="S7:U7"/>
    <mergeCell ref="Y8:AA8"/>
    <mergeCell ref="AB8:AZ8"/>
    <mergeCell ref="H9:K9"/>
    <mergeCell ref="L9:N9"/>
    <mergeCell ref="O9:R9"/>
    <mergeCell ref="S9:U9"/>
    <mergeCell ref="V9:X9"/>
    <mergeCell ref="Y9:AA9"/>
    <mergeCell ref="AB9:AZ9"/>
    <mergeCell ref="Y10:AA10"/>
    <mergeCell ref="AB10:AZ10"/>
    <mergeCell ref="H11:K11"/>
    <mergeCell ref="L11:N11"/>
    <mergeCell ref="O11:R11"/>
    <mergeCell ref="S11:U11"/>
    <mergeCell ref="V11:X11"/>
    <mergeCell ref="Y11:AA11"/>
    <mergeCell ref="AB11:AZ11"/>
    <mergeCell ref="H10:K10"/>
    <mergeCell ref="L10:N10"/>
    <mergeCell ref="O10:R10"/>
    <mergeCell ref="S10:U10"/>
    <mergeCell ref="V10:X10"/>
    <mergeCell ref="Y12:AA12"/>
    <mergeCell ref="AB12:AZ12"/>
    <mergeCell ref="H13:K13"/>
    <mergeCell ref="L13:N13"/>
    <mergeCell ref="O13:R13"/>
    <mergeCell ref="S13:U13"/>
    <mergeCell ref="V13:X13"/>
    <mergeCell ref="Y13:AA13"/>
    <mergeCell ref="AB13:AZ13"/>
    <mergeCell ref="H12:K12"/>
    <mergeCell ref="L12:N12"/>
    <mergeCell ref="O12:R12"/>
    <mergeCell ref="S12:U12"/>
    <mergeCell ref="V12:X12"/>
    <mergeCell ref="Y14:AA14"/>
    <mergeCell ref="AB14:AZ14"/>
    <mergeCell ref="H15:K15"/>
    <mergeCell ref="L15:N15"/>
    <mergeCell ref="O15:R15"/>
    <mergeCell ref="S15:U15"/>
    <mergeCell ref="V15:X15"/>
    <mergeCell ref="Y15:AA15"/>
    <mergeCell ref="AB15:AZ15"/>
    <mergeCell ref="H14:K14"/>
    <mergeCell ref="L14:N14"/>
    <mergeCell ref="O14:R14"/>
    <mergeCell ref="S14:U14"/>
    <mergeCell ref="V14:X14"/>
    <mergeCell ref="Y16:AA16"/>
    <mergeCell ref="AB16:AZ16"/>
    <mergeCell ref="H17:K17"/>
    <mergeCell ref="L17:N17"/>
    <mergeCell ref="O17:R17"/>
    <mergeCell ref="S17:U17"/>
    <mergeCell ref="V17:X17"/>
    <mergeCell ref="Y17:AA17"/>
    <mergeCell ref="AB17:AZ17"/>
    <mergeCell ref="H16:K16"/>
    <mergeCell ref="L16:N16"/>
    <mergeCell ref="O16:R16"/>
    <mergeCell ref="S16:U16"/>
    <mergeCell ref="V16:X16"/>
    <mergeCell ref="Y18:AA18"/>
    <mergeCell ref="AB18:AZ18"/>
    <mergeCell ref="H19:K19"/>
    <mergeCell ref="L19:N19"/>
    <mergeCell ref="O19:R19"/>
    <mergeCell ref="S19:U19"/>
    <mergeCell ref="V19:X19"/>
    <mergeCell ref="Y19:AA19"/>
    <mergeCell ref="AB19:AZ19"/>
    <mergeCell ref="H18:K18"/>
    <mergeCell ref="L18:N18"/>
    <mergeCell ref="O18:R18"/>
    <mergeCell ref="S18:U18"/>
    <mergeCell ref="V18:X18"/>
    <mergeCell ref="Y20:AA20"/>
    <mergeCell ref="AB20:AZ20"/>
    <mergeCell ref="H21:K21"/>
    <mergeCell ref="L21:N21"/>
    <mergeCell ref="O21:R21"/>
    <mergeCell ref="S21:U21"/>
    <mergeCell ref="V21:X21"/>
    <mergeCell ref="Y21:AA21"/>
    <mergeCell ref="AB21:AZ21"/>
    <mergeCell ref="H20:K20"/>
    <mergeCell ref="L20:N20"/>
    <mergeCell ref="O20:R20"/>
    <mergeCell ref="S20:U20"/>
    <mergeCell ref="V20:X20"/>
    <mergeCell ref="Y22:AA22"/>
    <mergeCell ref="AB22:AZ22"/>
    <mergeCell ref="H23:K23"/>
    <mergeCell ref="L23:N23"/>
    <mergeCell ref="O23:R23"/>
    <mergeCell ref="S23:U23"/>
    <mergeCell ref="V23:X23"/>
    <mergeCell ref="Y23:AA23"/>
    <mergeCell ref="AB23:AZ23"/>
    <mergeCell ref="H22:K22"/>
    <mergeCell ref="L22:N22"/>
    <mergeCell ref="O22:R22"/>
    <mergeCell ref="S22:U22"/>
    <mergeCell ref="V22:X22"/>
    <mergeCell ref="Y24:AA24"/>
    <mergeCell ref="AB24:AZ24"/>
    <mergeCell ref="H25:K25"/>
    <mergeCell ref="L25:N25"/>
    <mergeCell ref="O25:R25"/>
    <mergeCell ref="S25:U25"/>
    <mergeCell ref="V25:X25"/>
    <mergeCell ref="Y25:AA25"/>
    <mergeCell ref="AB25:AZ25"/>
    <mergeCell ref="H24:K24"/>
    <mergeCell ref="L24:N24"/>
    <mergeCell ref="O24:R24"/>
    <mergeCell ref="S24:U24"/>
    <mergeCell ref="V24:X24"/>
    <mergeCell ref="Y26:AA26"/>
    <mergeCell ref="AB26:AZ26"/>
    <mergeCell ref="H27:K27"/>
    <mergeCell ref="L27:N27"/>
    <mergeCell ref="O27:R27"/>
    <mergeCell ref="S27:U27"/>
    <mergeCell ref="V27:X27"/>
    <mergeCell ref="Y27:AA27"/>
    <mergeCell ref="AB27:AZ27"/>
    <mergeCell ref="H26:K26"/>
    <mergeCell ref="L26:N26"/>
    <mergeCell ref="O26:R26"/>
    <mergeCell ref="S26:U26"/>
    <mergeCell ref="V26:X26"/>
    <mergeCell ref="Y28:AA28"/>
    <mergeCell ref="AB28:AZ28"/>
    <mergeCell ref="H29:K29"/>
    <mergeCell ref="L29:N29"/>
    <mergeCell ref="O29:R29"/>
    <mergeCell ref="S29:U29"/>
    <mergeCell ref="V29:X29"/>
    <mergeCell ref="Y29:AA29"/>
    <mergeCell ref="AB29:AZ29"/>
    <mergeCell ref="H28:K28"/>
    <mergeCell ref="L28:N28"/>
    <mergeCell ref="O28:R28"/>
    <mergeCell ref="S28:U28"/>
    <mergeCell ref="V28:X28"/>
    <mergeCell ref="Y30:AA30"/>
    <mergeCell ref="AB30:AZ30"/>
    <mergeCell ref="H31:K31"/>
    <mergeCell ref="L31:N31"/>
    <mergeCell ref="O31:R31"/>
    <mergeCell ref="S31:U31"/>
    <mergeCell ref="V31:X31"/>
    <mergeCell ref="Y31:AA31"/>
    <mergeCell ref="AB31:AZ31"/>
    <mergeCell ref="H30:K30"/>
    <mergeCell ref="L30:N30"/>
    <mergeCell ref="O30:R30"/>
    <mergeCell ref="S30:U30"/>
    <mergeCell ref="V30:X30"/>
    <mergeCell ref="Y32:AA32"/>
    <mergeCell ref="AB32:AZ32"/>
    <mergeCell ref="H33:K33"/>
    <mergeCell ref="L33:N33"/>
    <mergeCell ref="O33:R33"/>
    <mergeCell ref="S33:U33"/>
    <mergeCell ref="V33:X33"/>
    <mergeCell ref="Y33:AA33"/>
    <mergeCell ref="AB33:AZ33"/>
    <mergeCell ref="H32:K32"/>
    <mergeCell ref="L32:N32"/>
    <mergeCell ref="O32:R32"/>
    <mergeCell ref="S32:U32"/>
    <mergeCell ref="V32:X32"/>
    <mergeCell ref="Y34:AA34"/>
    <mergeCell ref="AB34:AZ34"/>
    <mergeCell ref="H35:K35"/>
    <mergeCell ref="L35:N35"/>
    <mergeCell ref="O35:R35"/>
    <mergeCell ref="S35:U35"/>
    <mergeCell ref="V35:X35"/>
    <mergeCell ref="Y35:AA35"/>
    <mergeCell ref="AB35:AZ35"/>
    <mergeCell ref="H34:K34"/>
    <mergeCell ref="L34:N34"/>
    <mergeCell ref="O34:R34"/>
    <mergeCell ref="S34:U34"/>
    <mergeCell ref="V34:X34"/>
    <mergeCell ref="Y36:AA36"/>
    <mergeCell ref="AB36:AZ36"/>
    <mergeCell ref="H37:K37"/>
    <mergeCell ref="L37:N37"/>
    <mergeCell ref="O37:R37"/>
    <mergeCell ref="S37:U37"/>
    <mergeCell ref="V37:X37"/>
    <mergeCell ref="Y37:AA37"/>
    <mergeCell ref="AB37:AZ37"/>
    <mergeCell ref="H36:K36"/>
    <mergeCell ref="L36:N36"/>
    <mergeCell ref="O36:R36"/>
    <mergeCell ref="S36:U36"/>
    <mergeCell ref="V36:X36"/>
    <mergeCell ref="Y38:AA38"/>
    <mergeCell ref="AB38:AZ38"/>
    <mergeCell ref="H39:K39"/>
    <mergeCell ref="L39:N39"/>
    <mergeCell ref="O39:R39"/>
    <mergeCell ref="S39:U39"/>
    <mergeCell ref="V39:X39"/>
    <mergeCell ref="Y39:AA39"/>
    <mergeCell ref="AB39:AZ39"/>
    <mergeCell ref="H38:K38"/>
    <mergeCell ref="L38:N38"/>
    <mergeCell ref="O38:R38"/>
    <mergeCell ref="S38:U38"/>
    <mergeCell ref="V38:X38"/>
    <mergeCell ref="Y40:AA40"/>
    <mergeCell ref="AB40:AZ40"/>
    <mergeCell ref="H41:K41"/>
    <mergeCell ref="L41:N41"/>
    <mergeCell ref="O41:R41"/>
    <mergeCell ref="S41:U41"/>
    <mergeCell ref="V41:X41"/>
    <mergeCell ref="Y41:AA41"/>
    <mergeCell ref="AB41:AZ41"/>
    <mergeCell ref="H40:K40"/>
    <mergeCell ref="L40:N40"/>
    <mergeCell ref="O40:R40"/>
    <mergeCell ref="S40:U40"/>
    <mergeCell ref="V40:X40"/>
    <mergeCell ref="Y42:AA42"/>
    <mergeCell ref="AB42:AZ42"/>
    <mergeCell ref="H43:K43"/>
    <mergeCell ref="L43:N43"/>
    <mergeCell ref="O43:R43"/>
    <mergeCell ref="S43:U43"/>
    <mergeCell ref="V43:X43"/>
    <mergeCell ref="Y43:AA43"/>
    <mergeCell ref="AB43:AZ43"/>
    <mergeCell ref="H42:K42"/>
    <mergeCell ref="L42:N42"/>
    <mergeCell ref="O42:R42"/>
    <mergeCell ref="S42:U42"/>
    <mergeCell ref="V42:X42"/>
    <mergeCell ref="Y44:AA44"/>
    <mergeCell ref="AB44:AZ44"/>
    <mergeCell ref="H45:K45"/>
    <mergeCell ref="L45:N45"/>
    <mergeCell ref="O45:R45"/>
    <mergeCell ref="S45:U45"/>
    <mergeCell ref="V45:X45"/>
    <mergeCell ref="Y45:AA45"/>
    <mergeCell ref="AB45:AZ45"/>
    <mergeCell ref="H44:K44"/>
    <mergeCell ref="L44:N44"/>
    <mergeCell ref="O44:R44"/>
    <mergeCell ref="S44:U44"/>
    <mergeCell ref="V44:X44"/>
    <mergeCell ref="A5:F6"/>
    <mergeCell ref="G5:G6"/>
    <mergeCell ref="A7:F7"/>
    <mergeCell ref="B8:F8"/>
    <mergeCell ref="B9:F9"/>
    <mergeCell ref="B12:F12"/>
    <mergeCell ref="B13:F13"/>
    <mergeCell ref="B14:F14"/>
    <mergeCell ref="B15:F15"/>
    <mergeCell ref="A25:F25"/>
    <mergeCell ref="A26:F26"/>
    <mergeCell ref="A27:F27"/>
    <mergeCell ref="B16:F16"/>
    <mergeCell ref="B17:F17"/>
    <mergeCell ref="B18:F18"/>
    <mergeCell ref="B19:F19"/>
    <mergeCell ref="B20:F20"/>
    <mergeCell ref="B21:F21"/>
    <mergeCell ref="A48:F48"/>
    <mergeCell ref="C10:F10"/>
    <mergeCell ref="C11:F11"/>
    <mergeCell ref="A41:C42"/>
    <mergeCell ref="A43:F43"/>
    <mergeCell ref="A44:F44"/>
    <mergeCell ref="D41:F41"/>
    <mergeCell ref="D42:F42"/>
    <mergeCell ref="A34:F34"/>
    <mergeCell ref="B35:F35"/>
    <mergeCell ref="B36:F36"/>
    <mergeCell ref="A37:B39"/>
    <mergeCell ref="C37:F37"/>
    <mergeCell ref="C38:F38"/>
    <mergeCell ref="C39:F39"/>
    <mergeCell ref="A28:F28"/>
    <mergeCell ref="A29:F29"/>
    <mergeCell ref="A30:F30"/>
    <mergeCell ref="A31:F31"/>
    <mergeCell ref="A32:F32"/>
    <mergeCell ref="A33:F33"/>
    <mergeCell ref="B22:F22"/>
    <mergeCell ref="A23:F23"/>
    <mergeCell ref="B24:F24"/>
    <mergeCell ref="AB48:AZ48"/>
    <mergeCell ref="A1:AN2"/>
    <mergeCell ref="H48:K48"/>
    <mergeCell ref="L48:N48"/>
    <mergeCell ref="O48:R48"/>
    <mergeCell ref="S48:U48"/>
    <mergeCell ref="V48:X48"/>
    <mergeCell ref="Y48:AA48"/>
    <mergeCell ref="AB46:AZ46"/>
    <mergeCell ref="H47:K47"/>
    <mergeCell ref="L47:N47"/>
    <mergeCell ref="O47:R47"/>
    <mergeCell ref="S47:U47"/>
    <mergeCell ref="V47:X47"/>
    <mergeCell ref="Y47:AA47"/>
    <mergeCell ref="AB47:AZ47"/>
    <mergeCell ref="H46:K46"/>
    <mergeCell ref="L46:N46"/>
    <mergeCell ref="O46:R46"/>
    <mergeCell ref="S46:U46"/>
    <mergeCell ref="V46:X46"/>
    <mergeCell ref="Y46:AA46"/>
    <mergeCell ref="B45:F45"/>
    <mergeCell ref="A47:F47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  <ignoredErrors>
    <ignoredError sqref="Y7:AA39 Y41:AA45 Y47:AA48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E68"/>
  <sheetViews>
    <sheetView showGridLines="0" view="pageBreakPreview" zoomScaleNormal="100" zoomScaleSheetLayoutView="100" workbookViewId="0">
      <selection sqref="A1:AO2"/>
    </sheetView>
  </sheetViews>
  <sheetFormatPr defaultColWidth="2.625" defaultRowHeight="14.1" customHeight="1" x14ac:dyDescent="0.15"/>
  <cols>
    <col min="1" max="76" width="2.625" style="2" customWidth="1"/>
    <col min="77" max="84" width="2.625" style="2"/>
    <col min="85" max="85" width="2.625" style="2" customWidth="1"/>
    <col min="86" max="16384" width="2.625" style="2"/>
  </cols>
  <sheetData>
    <row r="1" spans="1:109" ht="12.6" customHeight="1" x14ac:dyDescent="0.15">
      <c r="A1" s="85" t="str">
        <f>IF(H5="年","9999",H5)&amp;"年　農業経営統計調査　子牛生産費統計　個別結果検討表　№２"</f>
        <v>0年　農業経営統計調査　子牛生産費統計　個別結果検討表　№２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6"/>
      <c r="AP1" s="250" t="s">
        <v>0</v>
      </c>
      <c r="AQ1" s="250"/>
      <c r="AR1" s="250"/>
      <c r="AS1" s="250"/>
      <c r="AT1" s="250"/>
      <c r="AU1" s="250"/>
      <c r="AV1" s="250"/>
      <c r="AW1" s="250"/>
      <c r="AX1" s="250"/>
      <c r="AY1" s="250"/>
      <c r="AZ1" s="250"/>
      <c r="BA1" s="250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</row>
    <row r="2" spans="1:109" ht="12.6" customHeight="1" x14ac:dyDescent="0.1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6"/>
      <c r="AP2" s="272" t="str">
        <f>IF('No1'!AO2="","",'No1'!AO2)</f>
        <v/>
      </c>
      <c r="AQ2" s="272"/>
      <c r="AR2" s="272"/>
      <c r="AS2" s="272"/>
      <c r="AT2" s="272"/>
      <c r="AU2" s="272"/>
      <c r="AV2" s="272"/>
      <c r="AW2" s="272"/>
      <c r="AX2" s="272"/>
      <c r="AY2" s="272"/>
      <c r="AZ2" s="272"/>
      <c r="BA2" s="272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</row>
    <row r="3" spans="1:109" ht="12.6" customHeight="1" x14ac:dyDescent="0.15">
      <c r="P3" s="3"/>
      <c r="Q3" s="3"/>
      <c r="R3" s="3"/>
    </row>
    <row r="4" spans="1:109" ht="13.35" customHeight="1" x14ac:dyDescent="0.15">
      <c r="A4" s="4" t="s">
        <v>148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4" t="s">
        <v>1</v>
      </c>
      <c r="BR4" s="3"/>
      <c r="CF4" s="4" t="s">
        <v>78</v>
      </c>
      <c r="CG4" s="50"/>
      <c r="CH4" s="50"/>
      <c r="CI4" s="50"/>
      <c r="CJ4" s="50"/>
      <c r="CK4" s="50"/>
      <c r="CL4" s="50"/>
      <c r="CM4" s="50"/>
      <c r="CN4" s="50"/>
      <c r="CO4" s="5"/>
      <c r="CP4" s="5"/>
      <c r="CQ4" s="5"/>
      <c r="CR4" s="5"/>
      <c r="CS4" s="5"/>
      <c r="CT4" s="5"/>
      <c r="CU4" s="5"/>
    </row>
    <row r="5" spans="1:109" ht="13.35" customHeight="1" x14ac:dyDescent="0.15">
      <c r="A5" s="273"/>
      <c r="B5" s="274"/>
      <c r="C5" s="274"/>
      <c r="D5" s="274"/>
      <c r="E5" s="274"/>
      <c r="F5" s="274"/>
      <c r="G5" s="308"/>
      <c r="H5" s="277">
        <f>IF('No1'!H5="【個】[000101]","年",'No1'!H5)</f>
        <v>0</v>
      </c>
      <c r="I5" s="278"/>
      <c r="J5" s="279"/>
      <c r="K5" s="280">
        <f>IF(H5="年","年",H5-1)</f>
        <v>-1</v>
      </c>
      <c r="L5" s="281"/>
      <c r="M5" s="282"/>
      <c r="N5" s="286" t="s">
        <v>2</v>
      </c>
      <c r="O5" s="287"/>
      <c r="P5" s="288"/>
      <c r="Q5" s="250" t="s">
        <v>159</v>
      </c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3"/>
      <c r="BC5" s="273"/>
      <c r="BD5" s="274"/>
      <c r="BE5" s="274"/>
      <c r="BF5" s="274"/>
      <c r="BG5" s="274"/>
      <c r="BH5" s="274"/>
      <c r="BI5" s="274"/>
      <c r="BJ5" s="277">
        <f>H5</f>
        <v>0</v>
      </c>
      <c r="BK5" s="278"/>
      <c r="BL5" s="279"/>
      <c r="BM5" s="280">
        <f>K5</f>
        <v>-1</v>
      </c>
      <c r="BN5" s="281"/>
      <c r="BO5" s="282"/>
      <c r="BP5" s="286" t="s">
        <v>2</v>
      </c>
      <c r="BQ5" s="287"/>
      <c r="BR5" s="288"/>
      <c r="BS5" s="250" t="s">
        <v>159</v>
      </c>
      <c r="BT5" s="250"/>
      <c r="BU5" s="250"/>
      <c r="BV5" s="250"/>
      <c r="BW5" s="250"/>
      <c r="BX5" s="250"/>
      <c r="BY5" s="250"/>
      <c r="BZ5" s="250"/>
      <c r="CA5" s="250"/>
      <c r="CB5" s="250"/>
      <c r="CF5" s="273"/>
      <c r="CG5" s="274"/>
      <c r="CH5" s="274"/>
      <c r="CI5" s="274"/>
      <c r="CJ5" s="274"/>
      <c r="CK5" s="274"/>
      <c r="CL5" s="308"/>
      <c r="CM5" s="278">
        <f>H5</f>
        <v>0</v>
      </c>
      <c r="CN5" s="278"/>
      <c r="CO5" s="279"/>
      <c r="CP5" s="280">
        <f>K5</f>
        <v>-1</v>
      </c>
      <c r="CQ5" s="281"/>
      <c r="CR5" s="282"/>
      <c r="CS5" s="286" t="s">
        <v>2</v>
      </c>
      <c r="CT5" s="287"/>
      <c r="CU5" s="288"/>
      <c r="CV5" s="480" t="s">
        <v>159</v>
      </c>
      <c r="CW5" s="481"/>
      <c r="CX5" s="481"/>
      <c r="CY5" s="481"/>
      <c r="CZ5" s="481"/>
      <c r="DA5" s="481"/>
      <c r="DB5" s="481"/>
      <c r="DC5" s="481"/>
      <c r="DD5" s="481"/>
      <c r="DE5" s="482"/>
    </row>
    <row r="6" spans="1:109" ht="13.35" customHeight="1" x14ac:dyDescent="0.15">
      <c r="A6" s="309"/>
      <c r="B6" s="310"/>
      <c r="C6" s="310"/>
      <c r="D6" s="310"/>
      <c r="E6" s="310"/>
      <c r="F6" s="310"/>
      <c r="G6" s="311"/>
      <c r="H6" s="376" t="s">
        <v>3</v>
      </c>
      <c r="I6" s="297"/>
      <c r="J6" s="298"/>
      <c r="K6" s="296" t="s">
        <v>3</v>
      </c>
      <c r="L6" s="297"/>
      <c r="M6" s="298"/>
      <c r="N6" s="289"/>
      <c r="O6" s="290"/>
      <c r="P6" s="291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0"/>
      <c r="AU6" s="250"/>
      <c r="AV6" s="250"/>
      <c r="AW6" s="250"/>
      <c r="AX6" s="250"/>
      <c r="AY6" s="250"/>
      <c r="AZ6" s="250"/>
      <c r="BA6" s="250"/>
      <c r="BB6" s="3"/>
      <c r="BC6" s="275"/>
      <c r="BD6" s="276"/>
      <c r="BE6" s="276"/>
      <c r="BF6" s="276"/>
      <c r="BG6" s="276"/>
      <c r="BH6" s="276"/>
      <c r="BI6" s="276"/>
      <c r="BJ6" s="312" t="s">
        <v>4</v>
      </c>
      <c r="BK6" s="313"/>
      <c r="BL6" s="314"/>
      <c r="BM6" s="315" t="s">
        <v>4</v>
      </c>
      <c r="BN6" s="313"/>
      <c r="BO6" s="314"/>
      <c r="BP6" s="305"/>
      <c r="BQ6" s="306"/>
      <c r="BR6" s="307"/>
      <c r="BS6" s="250"/>
      <c r="BT6" s="250"/>
      <c r="BU6" s="250"/>
      <c r="BV6" s="250"/>
      <c r="BW6" s="250"/>
      <c r="BX6" s="250"/>
      <c r="BY6" s="250"/>
      <c r="BZ6" s="250"/>
      <c r="CA6" s="250"/>
      <c r="CB6" s="250"/>
      <c r="CF6" s="309"/>
      <c r="CG6" s="310"/>
      <c r="CH6" s="310"/>
      <c r="CI6" s="310"/>
      <c r="CJ6" s="310"/>
      <c r="CK6" s="310"/>
      <c r="CL6" s="311"/>
      <c r="CM6" s="297" t="s">
        <v>73</v>
      </c>
      <c r="CN6" s="297"/>
      <c r="CO6" s="298"/>
      <c r="CP6" s="296" t="s">
        <v>73</v>
      </c>
      <c r="CQ6" s="297"/>
      <c r="CR6" s="298"/>
      <c r="CS6" s="289"/>
      <c r="CT6" s="290"/>
      <c r="CU6" s="291"/>
      <c r="CV6" s="480"/>
      <c r="CW6" s="481"/>
      <c r="CX6" s="481"/>
      <c r="CY6" s="481"/>
      <c r="CZ6" s="481"/>
      <c r="DA6" s="481"/>
      <c r="DB6" s="481"/>
      <c r="DC6" s="481"/>
      <c r="DD6" s="481"/>
      <c r="DE6" s="482"/>
    </row>
    <row r="7" spans="1:109" ht="13.35" customHeight="1" x14ac:dyDescent="0.15">
      <c r="A7" s="416" t="s">
        <v>5</v>
      </c>
      <c r="B7" s="417"/>
      <c r="C7" s="417"/>
      <c r="D7" s="417"/>
      <c r="E7" s="417"/>
      <c r="F7" s="417"/>
      <c r="G7" s="418"/>
      <c r="H7" s="196"/>
      <c r="I7" s="191"/>
      <c r="J7" s="192"/>
      <c r="K7" s="419"/>
      <c r="L7" s="191"/>
      <c r="M7" s="192"/>
      <c r="N7" s="283" t="str">
        <f>IF(H7="-", "-", IF(K7="-", "-", IF(ABS(K7)=0, "-", ROUND(100*(H7-K7)/ABS(K7),10))))</f>
        <v>-</v>
      </c>
      <c r="O7" s="284"/>
      <c r="P7" s="285"/>
      <c r="Q7" s="335"/>
      <c r="R7" s="335"/>
      <c r="S7" s="335"/>
      <c r="T7" s="335"/>
      <c r="U7" s="335"/>
      <c r="V7" s="335"/>
      <c r="W7" s="335"/>
      <c r="X7" s="335"/>
      <c r="Y7" s="335"/>
      <c r="Z7" s="335"/>
      <c r="AA7" s="335"/>
      <c r="AB7" s="335"/>
      <c r="AC7" s="335"/>
      <c r="AD7" s="335"/>
      <c r="AE7" s="335"/>
      <c r="AF7" s="335"/>
      <c r="AG7" s="335"/>
      <c r="AH7" s="335"/>
      <c r="AI7" s="335"/>
      <c r="AJ7" s="335"/>
      <c r="AK7" s="335"/>
      <c r="AL7" s="335"/>
      <c r="AM7" s="335"/>
      <c r="AN7" s="335"/>
      <c r="AO7" s="335"/>
      <c r="AP7" s="335"/>
      <c r="AQ7" s="335"/>
      <c r="AR7" s="335"/>
      <c r="AS7" s="335"/>
      <c r="AT7" s="335"/>
      <c r="AU7" s="335"/>
      <c r="AV7" s="335"/>
      <c r="AW7" s="335"/>
      <c r="AX7" s="335"/>
      <c r="AY7" s="335"/>
      <c r="AZ7" s="335"/>
      <c r="BA7" s="335"/>
      <c r="BB7" s="3"/>
      <c r="BC7" s="299" t="s">
        <v>66</v>
      </c>
      <c r="BD7" s="300"/>
      <c r="BE7" s="300"/>
      <c r="BF7" s="300"/>
      <c r="BG7" s="300"/>
      <c r="BH7" s="300"/>
      <c r="BI7" s="300"/>
      <c r="BJ7" s="301"/>
      <c r="BK7" s="302"/>
      <c r="BL7" s="302"/>
      <c r="BM7" s="302"/>
      <c r="BN7" s="302"/>
      <c r="BO7" s="302"/>
      <c r="BP7" s="303" t="str">
        <f>IF(BJ7="-", "-", IF(BM7="-", "-", IF(ABS(BM7)=0, "-", ROUND(100*(BJ7-BM7)/ABS(BM7),10))))</f>
        <v>-</v>
      </c>
      <c r="BQ7" s="303"/>
      <c r="BR7" s="304"/>
      <c r="BS7" s="335"/>
      <c r="BT7" s="335"/>
      <c r="BU7" s="335"/>
      <c r="BV7" s="335"/>
      <c r="BW7" s="335"/>
      <c r="BX7" s="335"/>
      <c r="BY7" s="335"/>
      <c r="BZ7" s="335"/>
      <c r="CA7" s="335"/>
      <c r="CB7" s="335"/>
      <c r="CF7" s="299" t="s">
        <v>69</v>
      </c>
      <c r="CG7" s="300"/>
      <c r="CH7" s="300"/>
      <c r="CI7" s="300"/>
      <c r="CJ7" s="300"/>
      <c r="CK7" s="300"/>
      <c r="CL7" s="16" t="s">
        <v>72</v>
      </c>
      <c r="CM7" s="326"/>
      <c r="CN7" s="326"/>
      <c r="CO7" s="327"/>
      <c r="CP7" s="328"/>
      <c r="CQ7" s="326"/>
      <c r="CR7" s="327"/>
      <c r="CS7" s="283" t="str">
        <f>IF(CM7="-", "-", IF(CP7="-", "-", IF(ABS(CP7)=0, "-", ROUND(100*(CM7-CP7)/ABS(CP7),10))))</f>
        <v>-</v>
      </c>
      <c r="CT7" s="284"/>
      <c r="CU7" s="285"/>
      <c r="CV7" s="483"/>
      <c r="CW7" s="484"/>
      <c r="CX7" s="484"/>
      <c r="CY7" s="484"/>
      <c r="CZ7" s="484"/>
      <c r="DA7" s="484"/>
      <c r="DB7" s="484"/>
      <c r="DC7" s="484"/>
      <c r="DD7" s="484"/>
      <c r="DE7" s="485"/>
    </row>
    <row r="8" spans="1:109" ht="13.35" customHeight="1" x14ac:dyDescent="0.15">
      <c r="A8" s="11"/>
      <c r="B8" s="124" t="s">
        <v>6</v>
      </c>
      <c r="C8" s="125"/>
      <c r="D8" s="125"/>
      <c r="E8" s="125"/>
      <c r="F8" s="125"/>
      <c r="G8" s="321"/>
      <c r="H8" s="190"/>
      <c r="I8" s="176"/>
      <c r="J8" s="189"/>
      <c r="K8" s="175"/>
      <c r="L8" s="176"/>
      <c r="M8" s="189"/>
      <c r="N8" s="316" t="str">
        <f t="shared" ref="N8:N21" si="0">IF(H8="-", "-", IF(K8="-", "-", IF(ABS(K8)=0, "-", ROUND(100*(H8-K8)/ABS(K8),10))))</f>
        <v>-</v>
      </c>
      <c r="O8" s="317"/>
      <c r="P8" s="318"/>
      <c r="Q8" s="462"/>
      <c r="R8" s="462"/>
      <c r="S8" s="462"/>
      <c r="T8" s="462"/>
      <c r="U8" s="462"/>
      <c r="V8" s="462"/>
      <c r="W8" s="462"/>
      <c r="X8" s="462"/>
      <c r="Y8" s="462"/>
      <c r="Z8" s="462"/>
      <c r="AA8" s="462"/>
      <c r="AB8" s="462"/>
      <c r="AC8" s="462"/>
      <c r="AD8" s="462"/>
      <c r="AE8" s="462"/>
      <c r="AF8" s="462"/>
      <c r="AG8" s="462"/>
      <c r="AH8" s="462"/>
      <c r="AI8" s="462"/>
      <c r="AJ8" s="462"/>
      <c r="AK8" s="462"/>
      <c r="AL8" s="462"/>
      <c r="AM8" s="462"/>
      <c r="AN8" s="462"/>
      <c r="AO8" s="462"/>
      <c r="AP8" s="462"/>
      <c r="AQ8" s="462"/>
      <c r="AR8" s="462"/>
      <c r="AS8" s="462"/>
      <c r="AT8" s="462"/>
      <c r="AU8" s="462"/>
      <c r="AV8" s="462"/>
      <c r="AW8" s="462"/>
      <c r="AX8" s="462"/>
      <c r="AY8" s="462"/>
      <c r="AZ8" s="462"/>
      <c r="BA8" s="462"/>
      <c r="BB8" s="3"/>
      <c r="BC8" s="292" t="s">
        <v>67</v>
      </c>
      <c r="BD8" s="293"/>
      <c r="BE8" s="293"/>
      <c r="BF8" s="293"/>
      <c r="BG8" s="293"/>
      <c r="BH8" s="293"/>
      <c r="BI8" s="293"/>
      <c r="BJ8" s="294"/>
      <c r="BK8" s="295"/>
      <c r="BL8" s="295"/>
      <c r="BM8" s="295"/>
      <c r="BN8" s="295"/>
      <c r="BO8" s="295"/>
      <c r="BP8" s="322" t="str">
        <f>IF(BJ8="-", "-", IF(BM8="-", "-", IF(ABS(BM8)=0, "-", ROUND(100*(BJ8-BM8)/ABS(BM8),10))))</f>
        <v>-</v>
      </c>
      <c r="BQ8" s="323"/>
      <c r="BR8" s="324"/>
      <c r="BS8" s="336"/>
      <c r="BT8" s="336"/>
      <c r="BU8" s="336"/>
      <c r="BV8" s="336"/>
      <c r="BW8" s="336"/>
      <c r="BX8" s="336"/>
      <c r="BY8" s="336"/>
      <c r="BZ8" s="336"/>
      <c r="CA8" s="336"/>
      <c r="CB8" s="336"/>
      <c r="CF8" s="325" t="s">
        <v>95</v>
      </c>
      <c r="CG8" s="125"/>
      <c r="CH8" s="125"/>
      <c r="CI8" s="125"/>
      <c r="CJ8" s="125"/>
      <c r="CK8" s="125"/>
      <c r="CL8" s="321"/>
      <c r="CM8" s="329"/>
      <c r="CN8" s="329"/>
      <c r="CO8" s="330"/>
      <c r="CP8" s="331"/>
      <c r="CQ8" s="329"/>
      <c r="CR8" s="330"/>
      <c r="CS8" s="316" t="str">
        <f t="shared" ref="CS8:CS13" si="1">IF(CM8="-", "-", IF(CP8="-", "-", IF(ABS(CP8)=0, "-", ROUND(100*(CM8-CP8)/ABS(CP8),10))))</f>
        <v>-</v>
      </c>
      <c r="CT8" s="317"/>
      <c r="CU8" s="318"/>
      <c r="CV8" s="474"/>
      <c r="CW8" s="475"/>
      <c r="CX8" s="475"/>
      <c r="CY8" s="475"/>
      <c r="CZ8" s="475"/>
      <c r="DA8" s="475"/>
      <c r="DB8" s="475"/>
      <c r="DC8" s="475"/>
      <c r="DD8" s="475"/>
      <c r="DE8" s="476"/>
    </row>
    <row r="9" spans="1:109" ht="13.35" customHeight="1" x14ac:dyDescent="0.15">
      <c r="A9" s="11"/>
      <c r="B9" s="408" t="s">
        <v>145</v>
      </c>
      <c r="C9" s="125"/>
      <c r="D9" s="125"/>
      <c r="E9" s="125"/>
      <c r="F9" s="125"/>
      <c r="G9" s="321"/>
      <c r="H9" s="190"/>
      <c r="I9" s="176"/>
      <c r="J9" s="189"/>
      <c r="K9" s="175"/>
      <c r="L9" s="176"/>
      <c r="M9" s="189"/>
      <c r="N9" s="316" t="str">
        <f t="shared" si="0"/>
        <v>-</v>
      </c>
      <c r="O9" s="317"/>
      <c r="P9" s="318"/>
      <c r="Q9" s="462"/>
      <c r="R9" s="462"/>
      <c r="S9" s="462"/>
      <c r="T9" s="462"/>
      <c r="U9" s="462"/>
      <c r="V9" s="462"/>
      <c r="W9" s="462"/>
      <c r="X9" s="462"/>
      <c r="Y9" s="462"/>
      <c r="Z9" s="462"/>
      <c r="AA9" s="462"/>
      <c r="AB9" s="462"/>
      <c r="AC9" s="462"/>
      <c r="AD9" s="462"/>
      <c r="AE9" s="462"/>
      <c r="AF9" s="462"/>
      <c r="AG9" s="462"/>
      <c r="AH9" s="462"/>
      <c r="AI9" s="462"/>
      <c r="AJ9" s="462"/>
      <c r="AK9" s="462"/>
      <c r="AL9" s="462"/>
      <c r="AM9" s="462"/>
      <c r="AN9" s="462"/>
      <c r="AO9" s="462"/>
      <c r="AP9" s="462"/>
      <c r="AQ9" s="462"/>
      <c r="AR9" s="462"/>
      <c r="AS9" s="462"/>
      <c r="AT9" s="462"/>
      <c r="AU9" s="462"/>
      <c r="AV9" s="462"/>
      <c r="AW9" s="462"/>
      <c r="AX9" s="462"/>
      <c r="AY9" s="462"/>
      <c r="AZ9" s="462"/>
      <c r="BA9" s="462"/>
      <c r="CF9" s="325" t="s">
        <v>70</v>
      </c>
      <c r="CG9" s="125"/>
      <c r="CH9" s="125"/>
      <c r="CI9" s="125"/>
      <c r="CJ9" s="125"/>
      <c r="CK9" s="125"/>
      <c r="CL9" s="321"/>
      <c r="CM9" s="332"/>
      <c r="CN9" s="332"/>
      <c r="CO9" s="333"/>
      <c r="CP9" s="334"/>
      <c r="CQ9" s="332"/>
      <c r="CR9" s="333"/>
      <c r="CS9" s="316" t="str">
        <f t="shared" si="1"/>
        <v>-</v>
      </c>
      <c r="CT9" s="317"/>
      <c r="CU9" s="318"/>
      <c r="CV9" s="474"/>
      <c r="CW9" s="475"/>
      <c r="CX9" s="475"/>
      <c r="CY9" s="475"/>
      <c r="CZ9" s="475"/>
      <c r="DA9" s="475"/>
      <c r="DB9" s="475"/>
      <c r="DC9" s="475"/>
      <c r="DD9" s="475"/>
      <c r="DE9" s="476"/>
    </row>
    <row r="10" spans="1:109" ht="13.35" customHeight="1" x14ac:dyDescent="0.15">
      <c r="A10" s="11"/>
      <c r="B10" s="124" t="s">
        <v>8</v>
      </c>
      <c r="C10" s="125"/>
      <c r="D10" s="125"/>
      <c r="E10" s="125"/>
      <c r="F10" s="125"/>
      <c r="G10" s="321"/>
      <c r="H10" s="190"/>
      <c r="I10" s="176"/>
      <c r="J10" s="189"/>
      <c r="K10" s="175"/>
      <c r="L10" s="176"/>
      <c r="M10" s="189"/>
      <c r="N10" s="316" t="str">
        <f t="shared" si="0"/>
        <v>-</v>
      </c>
      <c r="O10" s="317"/>
      <c r="P10" s="318"/>
      <c r="Q10" s="462"/>
      <c r="R10" s="462"/>
      <c r="S10" s="462"/>
      <c r="T10" s="462"/>
      <c r="U10" s="462"/>
      <c r="V10" s="462"/>
      <c r="W10" s="462"/>
      <c r="X10" s="462"/>
      <c r="Y10" s="462"/>
      <c r="Z10" s="462"/>
      <c r="AA10" s="462"/>
      <c r="AB10" s="462"/>
      <c r="AC10" s="462"/>
      <c r="AD10" s="462"/>
      <c r="AE10" s="462"/>
      <c r="AF10" s="462"/>
      <c r="AG10" s="462"/>
      <c r="AH10" s="462"/>
      <c r="AI10" s="462"/>
      <c r="AJ10" s="462"/>
      <c r="AK10" s="462"/>
      <c r="AL10" s="462"/>
      <c r="AM10" s="462"/>
      <c r="AN10" s="462"/>
      <c r="AO10" s="462"/>
      <c r="AP10" s="462"/>
      <c r="AQ10" s="462"/>
      <c r="AR10" s="462"/>
      <c r="AS10" s="462"/>
      <c r="AT10" s="462"/>
      <c r="AU10" s="462"/>
      <c r="AV10" s="462"/>
      <c r="AW10" s="462"/>
      <c r="AX10" s="462"/>
      <c r="AY10" s="462"/>
      <c r="AZ10" s="462"/>
      <c r="BA10" s="462"/>
      <c r="BB10" s="6"/>
      <c r="BC10" s="4" t="s">
        <v>68</v>
      </c>
      <c r="BR10" s="3"/>
      <c r="CF10" s="319" t="s">
        <v>71</v>
      </c>
      <c r="CG10" s="320"/>
      <c r="CH10" s="125"/>
      <c r="CI10" s="125"/>
      <c r="CJ10" s="125"/>
      <c r="CK10" s="125"/>
      <c r="CL10" s="321"/>
      <c r="CM10" s="329"/>
      <c r="CN10" s="329"/>
      <c r="CO10" s="330"/>
      <c r="CP10" s="331"/>
      <c r="CQ10" s="329"/>
      <c r="CR10" s="330"/>
      <c r="CS10" s="316" t="str">
        <f t="shared" si="1"/>
        <v>-</v>
      </c>
      <c r="CT10" s="317"/>
      <c r="CU10" s="318"/>
      <c r="CV10" s="474"/>
      <c r="CW10" s="475"/>
      <c r="CX10" s="475"/>
      <c r="CY10" s="475"/>
      <c r="CZ10" s="475"/>
      <c r="DA10" s="475"/>
      <c r="DB10" s="475"/>
      <c r="DC10" s="475"/>
      <c r="DD10" s="475"/>
      <c r="DE10" s="476"/>
    </row>
    <row r="11" spans="1:109" ht="13.35" customHeight="1" x14ac:dyDescent="0.15">
      <c r="A11" s="11"/>
      <c r="B11" s="124" t="s">
        <v>144</v>
      </c>
      <c r="C11" s="125"/>
      <c r="D11" s="125"/>
      <c r="E11" s="125"/>
      <c r="F11" s="125"/>
      <c r="G11" s="321"/>
      <c r="H11" s="190"/>
      <c r="I11" s="176"/>
      <c r="J11" s="189"/>
      <c r="K11" s="175"/>
      <c r="L11" s="176"/>
      <c r="M11" s="189"/>
      <c r="N11" s="316" t="str">
        <f t="shared" si="0"/>
        <v>-</v>
      </c>
      <c r="O11" s="317"/>
      <c r="P11" s="318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2"/>
      <c r="AC11" s="462"/>
      <c r="AD11" s="462"/>
      <c r="AE11" s="462"/>
      <c r="AF11" s="462"/>
      <c r="AG11" s="462"/>
      <c r="AH11" s="462"/>
      <c r="AI11" s="462"/>
      <c r="AJ11" s="462"/>
      <c r="AK11" s="462"/>
      <c r="AL11" s="462"/>
      <c r="AM11" s="462"/>
      <c r="AN11" s="462"/>
      <c r="AO11" s="462"/>
      <c r="AP11" s="462"/>
      <c r="AQ11" s="462"/>
      <c r="AR11" s="462"/>
      <c r="AS11" s="462"/>
      <c r="AT11" s="462"/>
      <c r="AU11" s="462"/>
      <c r="AV11" s="462"/>
      <c r="AW11" s="462"/>
      <c r="AX11" s="462"/>
      <c r="AY11" s="462"/>
      <c r="AZ11" s="462"/>
      <c r="BA11" s="462"/>
      <c r="BC11" s="273"/>
      <c r="BD11" s="274"/>
      <c r="BE11" s="274"/>
      <c r="BF11" s="274"/>
      <c r="BG11" s="274"/>
      <c r="BH11" s="274"/>
      <c r="BI11" s="274"/>
      <c r="BJ11" s="277">
        <f>H5</f>
        <v>0</v>
      </c>
      <c r="BK11" s="278"/>
      <c r="BL11" s="279"/>
      <c r="BM11" s="280">
        <f>K5</f>
        <v>-1</v>
      </c>
      <c r="BN11" s="281"/>
      <c r="BO11" s="282"/>
      <c r="BP11" s="286" t="s">
        <v>2</v>
      </c>
      <c r="BQ11" s="287"/>
      <c r="BR11" s="288"/>
      <c r="BS11" s="250" t="s">
        <v>159</v>
      </c>
      <c r="BT11" s="250"/>
      <c r="BU11" s="250"/>
      <c r="BV11" s="250"/>
      <c r="BW11" s="250"/>
      <c r="BX11" s="250"/>
      <c r="BY11" s="250"/>
      <c r="BZ11" s="250"/>
      <c r="CA11" s="250"/>
      <c r="CB11" s="250"/>
      <c r="CF11" s="15"/>
      <c r="CG11" s="9"/>
      <c r="CH11" s="124" t="s">
        <v>98</v>
      </c>
      <c r="CI11" s="125"/>
      <c r="CJ11" s="125"/>
      <c r="CK11" s="125"/>
      <c r="CL11" s="321"/>
      <c r="CM11" s="348"/>
      <c r="CN11" s="348"/>
      <c r="CO11" s="349"/>
      <c r="CP11" s="350"/>
      <c r="CQ11" s="348"/>
      <c r="CR11" s="349"/>
      <c r="CS11" s="316" t="str">
        <f t="shared" si="1"/>
        <v>-</v>
      </c>
      <c r="CT11" s="317"/>
      <c r="CU11" s="318"/>
      <c r="CV11" s="474"/>
      <c r="CW11" s="475"/>
      <c r="CX11" s="475"/>
      <c r="CY11" s="475"/>
      <c r="CZ11" s="475"/>
      <c r="DA11" s="475"/>
      <c r="DB11" s="475"/>
      <c r="DC11" s="475"/>
      <c r="DD11" s="475"/>
      <c r="DE11" s="476"/>
    </row>
    <row r="12" spans="1:109" ht="13.35" customHeight="1" x14ac:dyDescent="0.15">
      <c r="A12" s="11"/>
      <c r="B12" s="124" t="s">
        <v>9</v>
      </c>
      <c r="C12" s="125"/>
      <c r="D12" s="125"/>
      <c r="E12" s="125"/>
      <c r="F12" s="125"/>
      <c r="G12" s="321"/>
      <c r="H12" s="190"/>
      <c r="I12" s="176"/>
      <c r="J12" s="189"/>
      <c r="K12" s="175"/>
      <c r="L12" s="176"/>
      <c r="M12" s="189"/>
      <c r="N12" s="316" t="str">
        <f t="shared" si="0"/>
        <v>-</v>
      </c>
      <c r="O12" s="317"/>
      <c r="P12" s="318"/>
      <c r="Q12" s="462"/>
      <c r="R12" s="462"/>
      <c r="S12" s="462"/>
      <c r="T12" s="462"/>
      <c r="U12" s="462"/>
      <c r="V12" s="462"/>
      <c r="W12" s="462"/>
      <c r="X12" s="462"/>
      <c r="Y12" s="462"/>
      <c r="Z12" s="462"/>
      <c r="AA12" s="462"/>
      <c r="AB12" s="462"/>
      <c r="AC12" s="462"/>
      <c r="AD12" s="462"/>
      <c r="AE12" s="462"/>
      <c r="AF12" s="462"/>
      <c r="AG12" s="462"/>
      <c r="AH12" s="462"/>
      <c r="AI12" s="462"/>
      <c r="AJ12" s="462"/>
      <c r="AK12" s="462"/>
      <c r="AL12" s="462"/>
      <c r="AM12" s="462"/>
      <c r="AN12" s="462"/>
      <c r="AO12" s="462"/>
      <c r="AP12" s="462"/>
      <c r="AQ12" s="462"/>
      <c r="AR12" s="462"/>
      <c r="AS12" s="462"/>
      <c r="AT12" s="462"/>
      <c r="AU12" s="462"/>
      <c r="AV12" s="462"/>
      <c r="AW12" s="462"/>
      <c r="AX12" s="462"/>
      <c r="AY12" s="462"/>
      <c r="AZ12" s="462"/>
      <c r="BA12" s="462"/>
      <c r="BC12" s="309"/>
      <c r="BD12" s="310"/>
      <c r="BE12" s="310"/>
      <c r="BF12" s="310"/>
      <c r="BG12" s="310"/>
      <c r="BH12" s="310"/>
      <c r="BI12" s="310"/>
      <c r="BJ12" s="340"/>
      <c r="BK12" s="341"/>
      <c r="BL12" s="342"/>
      <c r="BM12" s="343"/>
      <c r="BN12" s="344"/>
      <c r="BO12" s="345"/>
      <c r="BP12" s="289"/>
      <c r="BQ12" s="290"/>
      <c r="BR12" s="291"/>
      <c r="BS12" s="250"/>
      <c r="BT12" s="250"/>
      <c r="BU12" s="250"/>
      <c r="BV12" s="250"/>
      <c r="BW12" s="250"/>
      <c r="BX12" s="250"/>
      <c r="BY12" s="250"/>
      <c r="BZ12" s="250"/>
      <c r="CA12" s="250"/>
      <c r="CB12" s="250"/>
      <c r="CF12" s="319" t="s">
        <v>74</v>
      </c>
      <c r="CG12" s="337"/>
      <c r="CH12" s="124" t="s">
        <v>75</v>
      </c>
      <c r="CI12" s="125"/>
      <c r="CJ12" s="125"/>
      <c r="CK12" s="125"/>
      <c r="CL12" s="17" t="s">
        <v>76</v>
      </c>
      <c r="CM12" s="329"/>
      <c r="CN12" s="329"/>
      <c r="CO12" s="330"/>
      <c r="CP12" s="331"/>
      <c r="CQ12" s="329"/>
      <c r="CR12" s="330"/>
      <c r="CS12" s="316" t="str">
        <f t="shared" si="1"/>
        <v>-</v>
      </c>
      <c r="CT12" s="317"/>
      <c r="CU12" s="318"/>
      <c r="CV12" s="474"/>
      <c r="CW12" s="475"/>
      <c r="CX12" s="475"/>
      <c r="CY12" s="475"/>
      <c r="CZ12" s="475"/>
      <c r="DA12" s="475"/>
      <c r="DB12" s="475"/>
      <c r="DC12" s="475"/>
      <c r="DD12" s="475"/>
      <c r="DE12" s="476"/>
    </row>
    <row r="13" spans="1:109" ht="13.35" customHeight="1" x14ac:dyDescent="0.15">
      <c r="A13" s="11"/>
      <c r="B13" s="124" t="s">
        <v>10</v>
      </c>
      <c r="C13" s="125"/>
      <c r="D13" s="125"/>
      <c r="E13" s="125"/>
      <c r="F13" s="125"/>
      <c r="G13" s="321"/>
      <c r="H13" s="190"/>
      <c r="I13" s="176"/>
      <c r="J13" s="189"/>
      <c r="K13" s="175"/>
      <c r="L13" s="176"/>
      <c r="M13" s="189"/>
      <c r="N13" s="316" t="str">
        <f t="shared" si="0"/>
        <v>-</v>
      </c>
      <c r="O13" s="317"/>
      <c r="P13" s="318"/>
      <c r="Q13" s="462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2"/>
      <c r="AC13" s="462"/>
      <c r="AD13" s="462"/>
      <c r="AE13" s="462"/>
      <c r="AF13" s="462"/>
      <c r="AG13" s="462"/>
      <c r="AH13" s="462"/>
      <c r="AI13" s="462"/>
      <c r="AJ13" s="462"/>
      <c r="AK13" s="462"/>
      <c r="AL13" s="462"/>
      <c r="AM13" s="462"/>
      <c r="AN13" s="462"/>
      <c r="AO13" s="462"/>
      <c r="AP13" s="462"/>
      <c r="AQ13" s="462"/>
      <c r="AR13" s="462"/>
      <c r="AS13" s="462"/>
      <c r="AT13" s="462"/>
      <c r="AU13" s="462"/>
      <c r="AV13" s="462"/>
      <c r="AW13" s="462"/>
      <c r="AX13" s="462"/>
      <c r="AY13" s="462"/>
      <c r="AZ13" s="462"/>
      <c r="BA13" s="462"/>
      <c r="BC13" s="353" t="s">
        <v>94</v>
      </c>
      <c r="BD13" s="354"/>
      <c r="BE13" s="354"/>
      <c r="BF13" s="354"/>
      <c r="BG13" s="354"/>
      <c r="BH13" s="354"/>
      <c r="BI13" s="37" t="s">
        <v>92</v>
      </c>
      <c r="BJ13" s="355"/>
      <c r="BK13" s="216"/>
      <c r="BL13" s="356"/>
      <c r="BM13" s="357"/>
      <c r="BN13" s="212"/>
      <c r="BO13" s="213"/>
      <c r="BP13" s="283" t="str">
        <f t="shared" ref="BP13:BP15" si="2">IF(BJ13="-", "-", IF(BM13="-", "-", IF(ABS(BM13)=0, "-", ROUND(100*(BJ13-BM13)/ABS(BM13),10))))</f>
        <v>-</v>
      </c>
      <c r="BQ13" s="284"/>
      <c r="BR13" s="285"/>
      <c r="BS13" s="335"/>
      <c r="BT13" s="335"/>
      <c r="BU13" s="335"/>
      <c r="BV13" s="335"/>
      <c r="BW13" s="335"/>
      <c r="BX13" s="335"/>
      <c r="BY13" s="335"/>
      <c r="BZ13" s="335"/>
      <c r="CA13" s="335"/>
      <c r="CB13" s="335"/>
      <c r="CF13" s="338"/>
      <c r="CG13" s="339"/>
      <c r="CH13" s="346" t="s">
        <v>77</v>
      </c>
      <c r="CI13" s="293"/>
      <c r="CJ13" s="293"/>
      <c r="CK13" s="293"/>
      <c r="CL13" s="347"/>
      <c r="CM13" s="364"/>
      <c r="CN13" s="364"/>
      <c r="CO13" s="365"/>
      <c r="CP13" s="366"/>
      <c r="CQ13" s="364"/>
      <c r="CR13" s="365"/>
      <c r="CS13" s="322" t="str">
        <f t="shared" si="1"/>
        <v>-</v>
      </c>
      <c r="CT13" s="323"/>
      <c r="CU13" s="324"/>
      <c r="CV13" s="477"/>
      <c r="CW13" s="478"/>
      <c r="CX13" s="478"/>
      <c r="CY13" s="478"/>
      <c r="CZ13" s="478"/>
      <c r="DA13" s="478"/>
      <c r="DB13" s="478"/>
      <c r="DC13" s="478"/>
      <c r="DD13" s="478"/>
      <c r="DE13" s="479"/>
    </row>
    <row r="14" spans="1:109" ht="13.35" customHeight="1" x14ac:dyDescent="0.15">
      <c r="A14" s="11"/>
      <c r="B14" s="124" t="s">
        <v>11</v>
      </c>
      <c r="C14" s="125"/>
      <c r="D14" s="125"/>
      <c r="E14" s="125"/>
      <c r="F14" s="125"/>
      <c r="G14" s="321"/>
      <c r="H14" s="190"/>
      <c r="I14" s="176"/>
      <c r="J14" s="189"/>
      <c r="K14" s="175"/>
      <c r="L14" s="176"/>
      <c r="M14" s="189"/>
      <c r="N14" s="316" t="str">
        <f t="shared" si="0"/>
        <v>-</v>
      </c>
      <c r="O14" s="317"/>
      <c r="P14" s="318"/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2"/>
      <c r="AC14" s="462"/>
      <c r="AD14" s="462"/>
      <c r="AE14" s="462"/>
      <c r="AF14" s="462"/>
      <c r="AG14" s="462"/>
      <c r="AH14" s="462"/>
      <c r="AI14" s="462"/>
      <c r="AJ14" s="462"/>
      <c r="AK14" s="462"/>
      <c r="AL14" s="462"/>
      <c r="AM14" s="462"/>
      <c r="AN14" s="462"/>
      <c r="AO14" s="462"/>
      <c r="AP14" s="462"/>
      <c r="AQ14" s="462"/>
      <c r="AR14" s="462"/>
      <c r="AS14" s="462"/>
      <c r="AT14" s="462"/>
      <c r="AU14" s="462"/>
      <c r="AV14" s="462"/>
      <c r="AW14" s="462"/>
      <c r="AX14" s="462"/>
      <c r="AY14" s="462"/>
      <c r="AZ14" s="462"/>
      <c r="BA14" s="462"/>
      <c r="BC14" s="351" t="s">
        <v>95</v>
      </c>
      <c r="BD14" s="352"/>
      <c r="BE14" s="352"/>
      <c r="BF14" s="352"/>
      <c r="BG14" s="352"/>
      <c r="BH14" s="352"/>
      <c r="BI14" s="38" t="s">
        <v>93</v>
      </c>
      <c r="BJ14" s="190"/>
      <c r="BK14" s="176"/>
      <c r="BL14" s="189"/>
      <c r="BM14" s="175"/>
      <c r="BN14" s="176"/>
      <c r="BO14" s="189"/>
      <c r="BP14" s="316" t="str">
        <f t="shared" si="2"/>
        <v>-</v>
      </c>
      <c r="BQ14" s="317"/>
      <c r="BR14" s="318"/>
      <c r="BS14" s="462"/>
      <c r="BT14" s="462"/>
      <c r="BU14" s="462"/>
      <c r="BV14" s="462"/>
      <c r="BW14" s="462"/>
      <c r="BX14" s="462"/>
      <c r="BY14" s="462"/>
      <c r="BZ14" s="462"/>
      <c r="CA14" s="462"/>
      <c r="CB14" s="462"/>
      <c r="CF14" s="10" t="s">
        <v>79</v>
      </c>
    </row>
    <row r="15" spans="1:109" ht="13.35" customHeight="1" x14ac:dyDescent="0.15">
      <c r="A15" s="11"/>
      <c r="B15" s="124" t="s">
        <v>12</v>
      </c>
      <c r="C15" s="125"/>
      <c r="D15" s="125"/>
      <c r="E15" s="125"/>
      <c r="F15" s="125"/>
      <c r="G15" s="321"/>
      <c r="H15" s="190"/>
      <c r="I15" s="176"/>
      <c r="J15" s="189"/>
      <c r="K15" s="175"/>
      <c r="L15" s="176"/>
      <c r="M15" s="189"/>
      <c r="N15" s="316" t="str">
        <f t="shared" si="0"/>
        <v>-</v>
      </c>
      <c r="O15" s="317"/>
      <c r="P15" s="318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462"/>
      <c r="AI15" s="462"/>
      <c r="AJ15" s="462"/>
      <c r="AK15" s="462"/>
      <c r="AL15" s="462"/>
      <c r="AM15" s="462"/>
      <c r="AN15" s="462"/>
      <c r="AO15" s="462"/>
      <c r="AP15" s="462"/>
      <c r="AQ15" s="462"/>
      <c r="AR15" s="462"/>
      <c r="AS15" s="462"/>
      <c r="AT15" s="462"/>
      <c r="AU15" s="462"/>
      <c r="AV15" s="462"/>
      <c r="AW15" s="462"/>
      <c r="AX15" s="462"/>
      <c r="AY15" s="462"/>
      <c r="AZ15" s="462"/>
      <c r="BA15" s="462"/>
      <c r="BC15" s="358" t="s">
        <v>96</v>
      </c>
      <c r="BD15" s="359"/>
      <c r="BE15" s="359"/>
      <c r="BF15" s="359"/>
      <c r="BG15" s="359"/>
      <c r="BH15" s="359"/>
      <c r="BI15" s="39" t="s">
        <v>72</v>
      </c>
      <c r="BJ15" s="360"/>
      <c r="BK15" s="361"/>
      <c r="BL15" s="362"/>
      <c r="BM15" s="363"/>
      <c r="BN15" s="361"/>
      <c r="BO15" s="362"/>
      <c r="BP15" s="322" t="str">
        <f t="shared" si="2"/>
        <v>-</v>
      </c>
      <c r="BQ15" s="323"/>
      <c r="BR15" s="324"/>
      <c r="BS15" s="336"/>
      <c r="BT15" s="336"/>
      <c r="BU15" s="336"/>
      <c r="BV15" s="336"/>
      <c r="BW15" s="336"/>
      <c r="BX15" s="336"/>
      <c r="BY15" s="336"/>
      <c r="BZ15" s="336"/>
      <c r="CA15" s="336"/>
      <c r="CB15" s="336"/>
    </row>
    <row r="16" spans="1:109" ht="13.35" customHeight="1" x14ac:dyDescent="0.15">
      <c r="A16" s="11"/>
      <c r="B16" s="124" t="s">
        <v>13</v>
      </c>
      <c r="C16" s="125"/>
      <c r="D16" s="125"/>
      <c r="E16" s="125"/>
      <c r="F16" s="125"/>
      <c r="G16" s="321"/>
      <c r="H16" s="190"/>
      <c r="I16" s="176"/>
      <c r="J16" s="189"/>
      <c r="K16" s="175"/>
      <c r="L16" s="176"/>
      <c r="M16" s="189"/>
      <c r="N16" s="316" t="str">
        <f t="shared" si="0"/>
        <v>-</v>
      </c>
      <c r="O16" s="317"/>
      <c r="P16" s="318"/>
      <c r="Q16" s="462"/>
      <c r="R16" s="462"/>
      <c r="S16" s="462"/>
      <c r="T16" s="462"/>
      <c r="U16" s="462"/>
      <c r="V16" s="462"/>
      <c r="W16" s="462"/>
      <c r="X16" s="462"/>
      <c r="Y16" s="462"/>
      <c r="Z16" s="462"/>
      <c r="AA16" s="462"/>
      <c r="AB16" s="462"/>
      <c r="AC16" s="462"/>
      <c r="AD16" s="462"/>
      <c r="AE16" s="462"/>
      <c r="AF16" s="462"/>
      <c r="AG16" s="462"/>
      <c r="AH16" s="462"/>
      <c r="AI16" s="462"/>
      <c r="AJ16" s="462"/>
      <c r="AK16" s="462"/>
      <c r="AL16" s="462"/>
      <c r="AM16" s="462"/>
      <c r="AN16" s="462"/>
      <c r="AO16" s="462"/>
      <c r="AP16" s="462"/>
      <c r="AQ16" s="462"/>
      <c r="AR16" s="462"/>
      <c r="AS16" s="462"/>
      <c r="AT16" s="462"/>
      <c r="AU16" s="462"/>
      <c r="AV16" s="462"/>
      <c r="AW16" s="462"/>
      <c r="AX16" s="462"/>
      <c r="AY16" s="462"/>
      <c r="AZ16" s="462"/>
      <c r="BA16" s="462"/>
      <c r="BC16" s="50"/>
      <c r="BD16" s="50"/>
      <c r="BE16" s="50"/>
      <c r="BF16" s="50"/>
      <c r="BG16" s="50"/>
      <c r="BH16" s="1"/>
      <c r="BI16" s="1"/>
      <c r="BJ16" s="18"/>
      <c r="BK16" s="18"/>
      <c r="BL16" s="18"/>
      <c r="BM16" s="18"/>
      <c r="BN16" s="18"/>
      <c r="BO16" s="18"/>
      <c r="BP16" s="19"/>
      <c r="BQ16" s="19"/>
      <c r="BR16" s="19"/>
    </row>
    <row r="17" spans="1:109" ht="13.35" customHeight="1" x14ac:dyDescent="0.15">
      <c r="A17" s="11"/>
      <c r="B17" s="124" t="s">
        <v>14</v>
      </c>
      <c r="C17" s="125"/>
      <c r="D17" s="125"/>
      <c r="E17" s="125"/>
      <c r="F17" s="125"/>
      <c r="G17" s="321"/>
      <c r="H17" s="190"/>
      <c r="I17" s="176"/>
      <c r="J17" s="189"/>
      <c r="K17" s="175"/>
      <c r="L17" s="176"/>
      <c r="M17" s="189"/>
      <c r="N17" s="316" t="str">
        <f t="shared" si="0"/>
        <v>-</v>
      </c>
      <c r="O17" s="317"/>
      <c r="P17" s="318"/>
      <c r="Q17" s="462"/>
      <c r="R17" s="462"/>
      <c r="S17" s="462"/>
      <c r="T17" s="462"/>
      <c r="U17" s="462"/>
      <c r="V17" s="462"/>
      <c r="W17" s="462"/>
      <c r="X17" s="462"/>
      <c r="Y17" s="462"/>
      <c r="Z17" s="462"/>
      <c r="AA17" s="462"/>
      <c r="AB17" s="462"/>
      <c r="AC17" s="462"/>
      <c r="AD17" s="462"/>
      <c r="AE17" s="462"/>
      <c r="AF17" s="462"/>
      <c r="AG17" s="462"/>
      <c r="AH17" s="462"/>
      <c r="AI17" s="462"/>
      <c r="AJ17" s="462"/>
      <c r="AK17" s="462"/>
      <c r="AL17" s="462"/>
      <c r="AM17" s="462"/>
      <c r="AN17" s="462"/>
      <c r="AO17" s="462"/>
      <c r="AP17" s="462"/>
      <c r="AQ17" s="462"/>
      <c r="AR17" s="462"/>
      <c r="AS17" s="462"/>
      <c r="AT17" s="462"/>
      <c r="AU17" s="462"/>
      <c r="AV17" s="462"/>
      <c r="AW17" s="462"/>
      <c r="AX17" s="462"/>
      <c r="AY17" s="462"/>
      <c r="AZ17" s="462"/>
      <c r="BA17" s="462"/>
      <c r="BC17" s="2" t="s">
        <v>65</v>
      </c>
      <c r="BD17" s="4"/>
      <c r="BR17" s="3"/>
    </row>
    <row r="18" spans="1:109" ht="13.35" customHeight="1" x14ac:dyDescent="0.15">
      <c r="A18" s="11"/>
      <c r="B18" s="124" t="s">
        <v>15</v>
      </c>
      <c r="C18" s="125"/>
      <c r="D18" s="125"/>
      <c r="E18" s="125"/>
      <c r="F18" s="125"/>
      <c r="G18" s="321"/>
      <c r="H18" s="190"/>
      <c r="I18" s="176"/>
      <c r="J18" s="189"/>
      <c r="K18" s="175"/>
      <c r="L18" s="176"/>
      <c r="M18" s="189"/>
      <c r="N18" s="316" t="str">
        <f t="shared" si="0"/>
        <v>-</v>
      </c>
      <c r="O18" s="317"/>
      <c r="P18" s="318"/>
      <c r="Q18" s="462"/>
      <c r="R18" s="462"/>
      <c r="S18" s="462"/>
      <c r="T18" s="462"/>
      <c r="U18" s="462"/>
      <c r="V18" s="462"/>
      <c r="W18" s="462"/>
      <c r="X18" s="462"/>
      <c r="Y18" s="462"/>
      <c r="Z18" s="462"/>
      <c r="AA18" s="462"/>
      <c r="AB18" s="462"/>
      <c r="AC18" s="462"/>
      <c r="AD18" s="462"/>
      <c r="AE18" s="462"/>
      <c r="AF18" s="462"/>
      <c r="AG18" s="462"/>
      <c r="AH18" s="462"/>
      <c r="AI18" s="462"/>
      <c r="AJ18" s="462"/>
      <c r="AK18" s="462"/>
      <c r="AL18" s="462"/>
      <c r="AM18" s="462"/>
      <c r="AN18" s="462"/>
      <c r="AO18" s="462"/>
      <c r="AP18" s="462"/>
      <c r="AQ18" s="462"/>
      <c r="AR18" s="462"/>
      <c r="AS18" s="462"/>
      <c r="AT18" s="462"/>
      <c r="AU18" s="462"/>
      <c r="AV18" s="462"/>
      <c r="AW18" s="462"/>
      <c r="AX18" s="462"/>
      <c r="AY18" s="462"/>
      <c r="AZ18" s="462"/>
      <c r="BA18" s="462"/>
      <c r="BC18" s="273"/>
      <c r="BD18" s="274"/>
      <c r="BE18" s="274"/>
      <c r="BF18" s="274"/>
      <c r="BG18" s="274"/>
      <c r="BH18" s="274"/>
      <c r="BI18" s="308"/>
      <c r="BJ18" s="278">
        <f>H5</f>
        <v>0</v>
      </c>
      <c r="BK18" s="278"/>
      <c r="BL18" s="279"/>
      <c r="BM18" s="280">
        <f>K5</f>
        <v>-1</v>
      </c>
      <c r="BN18" s="281"/>
      <c r="BO18" s="282"/>
      <c r="BP18" s="286" t="s">
        <v>2</v>
      </c>
      <c r="BQ18" s="287"/>
      <c r="BR18" s="288"/>
      <c r="BS18" s="250" t="s">
        <v>159</v>
      </c>
      <c r="BT18" s="250"/>
      <c r="BU18" s="250"/>
      <c r="BV18" s="250"/>
      <c r="BW18" s="250"/>
      <c r="BX18" s="250"/>
      <c r="BY18" s="250"/>
      <c r="BZ18" s="250"/>
      <c r="CA18" s="250"/>
      <c r="CB18" s="250"/>
    </row>
    <row r="19" spans="1:109" ht="13.35" customHeight="1" x14ac:dyDescent="0.15">
      <c r="A19" s="14"/>
      <c r="B19" s="346" t="s">
        <v>16</v>
      </c>
      <c r="C19" s="293"/>
      <c r="D19" s="293"/>
      <c r="E19" s="293"/>
      <c r="F19" s="293"/>
      <c r="G19" s="347"/>
      <c r="H19" s="87"/>
      <c r="I19" s="88"/>
      <c r="J19" s="89"/>
      <c r="K19" s="96"/>
      <c r="L19" s="88"/>
      <c r="M19" s="89"/>
      <c r="N19" s="322" t="str">
        <f t="shared" si="0"/>
        <v>-</v>
      </c>
      <c r="O19" s="323"/>
      <c r="P19" s="324"/>
      <c r="Q19" s="336"/>
      <c r="R19" s="336"/>
      <c r="S19" s="336"/>
      <c r="T19" s="336"/>
      <c r="U19" s="336"/>
      <c r="V19" s="336"/>
      <c r="W19" s="336"/>
      <c r="X19" s="336"/>
      <c r="Y19" s="336"/>
      <c r="Z19" s="336"/>
      <c r="AA19" s="336"/>
      <c r="AB19" s="336"/>
      <c r="AC19" s="336"/>
      <c r="AD19" s="336"/>
      <c r="AE19" s="336"/>
      <c r="AF19" s="336"/>
      <c r="AG19" s="336"/>
      <c r="AH19" s="336"/>
      <c r="AI19" s="336"/>
      <c r="AJ19" s="336"/>
      <c r="AK19" s="336"/>
      <c r="AL19" s="336"/>
      <c r="AM19" s="336"/>
      <c r="AN19" s="336"/>
      <c r="AO19" s="336"/>
      <c r="AP19" s="336"/>
      <c r="AQ19" s="336"/>
      <c r="AR19" s="336"/>
      <c r="AS19" s="336"/>
      <c r="AT19" s="336"/>
      <c r="AU19" s="336"/>
      <c r="AV19" s="336"/>
      <c r="AW19" s="336"/>
      <c r="AX19" s="336"/>
      <c r="AY19" s="336"/>
      <c r="AZ19" s="336"/>
      <c r="BA19" s="336"/>
      <c r="BC19" s="309"/>
      <c r="BD19" s="310"/>
      <c r="BE19" s="310"/>
      <c r="BF19" s="310"/>
      <c r="BG19" s="310"/>
      <c r="BH19" s="310"/>
      <c r="BI19" s="311"/>
      <c r="BJ19" s="297" t="s">
        <v>17</v>
      </c>
      <c r="BK19" s="297"/>
      <c r="BL19" s="298"/>
      <c r="BM19" s="296" t="s">
        <v>17</v>
      </c>
      <c r="BN19" s="297"/>
      <c r="BO19" s="298"/>
      <c r="BP19" s="289"/>
      <c r="BQ19" s="290"/>
      <c r="BR19" s="291"/>
      <c r="BS19" s="250"/>
      <c r="BT19" s="250"/>
      <c r="BU19" s="250"/>
      <c r="BV19" s="250"/>
      <c r="BW19" s="250"/>
      <c r="BX19" s="250"/>
      <c r="BY19" s="250"/>
      <c r="BZ19" s="250"/>
      <c r="CA19" s="250"/>
      <c r="CB19" s="250"/>
    </row>
    <row r="20" spans="1:109" ht="13.35" customHeight="1" x14ac:dyDescent="0.15">
      <c r="A20" s="413" t="s">
        <v>146</v>
      </c>
      <c r="B20" s="414"/>
      <c r="C20" s="414"/>
      <c r="D20" s="414"/>
      <c r="E20" s="414"/>
      <c r="F20" s="414"/>
      <c r="G20" s="415"/>
      <c r="H20" s="420"/>
      <c r="I20" s="421"/>
      <c r="J20" s="422"/>
      <c r="K20" s="200"/>
      <c r="L20" s="201"/>
      <c r="M20" s="248"/>
      <c r="N20" s="423" t="str">
        <f t="shared" si="0"/>
        <v>-</v>
      </c>
      <c r="O20" s="424"/>
      <c r="P20" s="425"/>
      <c r="Q20" s="463"/>
      <c r="R20" s="463"/>
      <c r="S20" s="463"/>
      <c r="T20" s="463"/>
      <c r="U20" s="463"/>
      <c r="V20" s="463"/>
      <c r="W20" s="463"/>
      <c r="X20" s="463"/>
      <c r="Y20" s="463"/>
      <c r="Z20" s="463"/>
      <c r="AA20" s="463"/>
      <c r="AB20" s="463"/>
      <c r="AC20" s="463"/>
      <c r="AD20" s="463"/>
      <c r="AE20" s="463"/>
      <c r="AF20" s="463"/>
      <c r="AG20" s="463"/>
      <c r="AH20" s="463"/>
      <c r="AI20" s="463"/>
      <c r="AJ20" s="463"/>
      <c r="AK20" s="463"/>
      <c r="AL20" s="463"/>
      <c r="AM20" s="463"/>
      <c r="AN20" s="463"/>
      <c r="AO20" s="463"/>
      <c r="AP20" s="463"/>
      <c r="AQ20" s="463"/>
      <c r="AR20" s="463"/>
      <c r="AS20" s="463"/>
      <c r="AT20" s="463"/>
      <c r="AU20" s="463"/>
      <c r="AV20" s="463"/>
      <c r="AW20" s="463"/>
      <c r="AX20" s="463"/>
      <c r="AY20" s="463"/>
      <c r="AZ20" s="463"/>
      <c r="BA20" s="463"/>
      <c r="BC20" s="439" t="s">
        <v>19</v>
      </c>
      <c r="BD20" s="440"/>
      <c r="BE20" s="440"/>
      <c r="BF20" s="440"/>
      <c r="BG20" s="440"/>
      <c r="BH20" s="440"/>
      <c r="BI20" s="441"/>
      <c r="BJ20" s="212"/>
      <c r="BK20" s="212"/>
      <c r="BL20" s="213"/>
      <c r="BM20" s="357"/>
      <c r="BN20" s="212"/>
      <c r="BO20" s="213"/>
      <c r="BP20" s="283" t="str">
        <f t="shared" ref="BP20:BP22" si="3">IF(BJ20="-", "-", IF(BM20="-", "-", IF(ABS(BM20)=0, "-", ROUND(100*(BJ20-BM20)/ABS(BM20),10))))</f>
        <v>-</v>
      </c>
      <c r="BQ20" s="284"/>
      <c r="BR20" s="285"/>
      <c r="BS20" s="335"/>
      <c r="BT20" s="335"/>
      <c r="BU20" s="335"/>
      <c r="BV20" s="335"/>
      <c r="BW20" s="335"/>
      <c r="BX20" s="335"/>
      <c r="BY20" s="335"/>
      <c r="BZ20" s="335"/>
      <c r="CA20" s="335"/>
      <c r="CB20" s="335"/>
    </row>
    <row r="21" spans="1:109" ht="13.35" customHeight="1" x14ac:dyDescent="0.15">
      <c r="A21" s="426" t="s">
        <v>19</v>
      </c>
      <c r="B21" s="427"/>
      <c r="C21" s="427"/>
      <c r="D21" s="427"/>
      <c r="E21" s="427"/>
      <c r="F21" s="427"/>
      <c r="G21" s="428"/>
      <c r="H21" s="420"/>
      <c r="I21" s="421"/>
      <c r="J21" s="422"/>
      <c r="K21" s="429"/>
      <c r="L21" s="421"/>
      <c r="M21" s="422"/>
      <c r="N21" s="423" t="str">
        <f t="shared" si="0"/>
        <v>-</v>
      </c>
      <c r="O21" s="424"/>
      <c r="P21" s="425"/>
      <c r="Q21" s="463"/>
      <c r="R21" s="463"/>
      <c r="S21" s="463"/>
      <c r="T21" s="463"/>
      <c r="U21" s="463"/>
      <c r="V21" s="463"/>
      <c r="W21" s="463"/>
      <c r="X21" s="463"/>
      <c r="Y21" s="463"/>
      <c r="Z21" s="463"/>
      <c r="AA21" s="463"/>
      <c r="AB21" s="463"/>
      <c r="AC21" s="463"/>
      <c r="AD21" s="463"/>
      <c r="AE21" s="463"/>
      <c r="AF21" s="463"/>
      <c r="AG21" s="463"/>
      <c r="AH21" s="463"/>
      <c r="AI21" s="463"/>
      <c r="AJ21" s="463"/>
      <c r="AK21" s="463"/>
      <c r="AL21" s="463"/>
      <c r="AM21" s="463"/>
      <c r="AN21" s="463"/>
      <c r="AO21" s="463"/>
      <c r="AP21" s="463"/>
      <c r="AQ21" s="463"/>
      <c r="AR21" s="463"/>
      <c r="AS21" s="463"/>
      <c r="AT21" s="463"/>
      <c r="AU21" s="463"/>
      <c r="AV21" s="463"/>
      <c r="AW21" s="463"/>
      <c r="AX21" s="463"/>
      <c r="AY21" s="463"/>
      <c r="AZ21" s="463"/>
      <c r="BA21" s="463"/>
      <c r="BC21" s="325" t="s">
        <v>21</v>
      </c>
      <c r="BD21" s="125"/>
      <c r="BE21" s="125"/>
      <c r="BF21" s="125"/>
      <c r="BG21" s="125"/>
      <c r="BH21" s="125"/>
      <c r="BI21" s="321"/>
      <c r="BJ21" s="102"/>
      <c r="BK21" s="102"/>
      <c r="BL21" s="103"/>
      <c r="BM21" s="110"/>
      <c r="BN21" s="102"/>
      <c r="BO21" s="103"/>
      <c r="BP21" s="316" t="str">
        <f t="shared" si="3"/>
        <v>-</v>
      </c>
      <c r="BQ21" s="317"/>
      <c r="BR21" s="318"/>
      <c r="BS21" s="462"/>
      <c r="BT21" s="462"/>
      <c r="BU21" s="462"/>
      <c r="BV21" s="462"/>
      <c r="BW21" s="462"/>
      <c r="BX21" s="462"/>
      <c r="BY21" s="462"/>
      <c r="BZ21" s="462"/>
      <c r="CA21" s="462"/>
      <c r="CB21" s="462"/>
      <c r="CE21" s="4"/>
    </row>
    <row r="22" spans="1:109" ht="13.35" customHeight="1" x14ac:dyDescent="0.15">
      <c r="BC22" s="292" t="s">
        <v>23</v>
      </c>
      <c r="BD22" s="293"/>
      <c r="BE22" s="293"/>
      <c r="BF22" s="293"/>
      <c r="BG22" s="293"/>
      <c r="BH22" s="293"/>
      <c r="BI22" s="347"/>
      <c r="BJ22" s="361"/>
      <c r="BK22" s="361"/>
      <c r="BL22" s="362"/>
      <c r="BM22" s="363"/>
      <c r="BN22" s="361"/>
      <c r="BO22" s="362"/>
      <c r="BP22" s="322" t="str">
        <f t="shared" si="3"/>
        <v>-</v>
      </c>
      <c r="BQ22" s="323"/>
      <c r="BR22" s="324"/>
      <c r="BS22" s="336"/>
      <c r="BT22" s="336"/>
      <c r="BU22" s="336"/>
      <c r="BV22" s="336"/>
      <c r="BW22" s="336"/>
      <c r="BX22" s="336"/>
      <c r="BY22" s="336"/>
      <c r="BZ22" s="336"/>
      <c r="CA22" s="336"/>
      <c r="CB22" s="336"/>
    </row>
    <row r="23" spans="1:109" ht="13.35" customHeight="1" x14ac:dyDescent="0.15">
      <c r="A23" s="4" t="s">
        <v>149</v>
      </c>
      <c r="P23" s="3"/>
    </row>
    <row r="24" spans="1:109" ht="13.35" customHeight="1" x14ac:dyDescent="0.15">
      <c r="A24" s="273"/>
      <c r="B24" s="274"/>
      <c r="C24" s="274"/>
      <c r="D24" s="274"/>
      <c r="E24" s="274"/>
      <c r="F24" s="274"/>
      <c r="G24" s="308"/>
      <c r="H24" s="277">
        <f>H5</f>
        <v>0</v>
      </c>
      <c r="I24" s="278"/>
      <c r="J24" s="279"/>
      <c r="K24" s="280">
        <f>K5</f>
        <v>-1</v>
      </c>
      <c r="L24" s="281"/>
      <c r="M24" s="282"/>
      <c r="N24" s="286" t="s">
        <v>2</v>
      </c>
      <c r="O24" s="287"/>
      <c r="P24" s="288"/>
      <c r="Q24" s="250" t="s">
        <v>159</v>
      </c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  <c r="BA24" s="250"/>
      <c r="BC24" s="4" t="s">
        <v>63</v>
      </c>
      <c r="BI24" s="50"/>
      <c r="BJ24" s="40"/>
      <c r="BK24" s="40"/>
      <c r="BL24" s="40"/>
      <c r="BM24" s="40"/>
      <c r="BN24" s="40"/>
      <c r="BO24" s="40"/>
      <c r="BP24" s="41"/>
      <c r="BQ24" s="41"/>
      <c r="BR24" s="41"/>
      <c r="CL24" s="3"/>
      <c r="CM24" s="3"/>
    </row>
    <row r="25" spans="1:109" ht="13.35" customHeight="1" x14ac:dyDescent="0.15">
      <c r="A25" s="309"/>
      <c r="B25" s="310"/>
      <c r="C25" s="310"/>
      <c r="D25" s="310"/>
      <c r="E25" s="310"/>
      <c r="F25" s="310"/>
      <c r="G25" s="311"/>
      <c r="H25" s="376" t="s">
        <v>3</v>
      </c>
      <c r="I25" s="297"/>
      <c r="J25" s="298"/>
      <c r="K25" s="296" t="s">
        <v>3</v>
      </c>
      <c r="L25" s="297"/>
      <c r="M25" s="298"/>
      <c r="N25" s="289"/>
      <c r="O25" s="290"/>
      <c r="P25" s="291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  <c r="AX25" s="250"/>
      <c r="AY25" s="250"/>
      <c r="AZ25" s="250"/>
      <c r="BA25" s="250"/>
      <c r="BC25" s="273"/>
      <c r="BD25" s="274"/>
      <c r="BE25" s="274"/>
      <c r="BF25" s="274"/>
      <c r="BG25" s="274"/>
      <c r="BH25" s="274"/>
      <c r="BI25" s="308"/>
      <c r="BJ25" s="465" t="s">
        <v>29</v>
      </c>
      <c r="BK25" s="465"/>
      <c r="BL25" s="465"/>
      <c r="BM25" s="465"/>
      <c r="BN25" s="465"/>
      <c r="BO25" s="465"/>
      <c r="BP25" s="465"/>
      <c r="BQ25" s="465"/>
      <c r="BR25" s="466"/>
      <c r="BS25" s="464" t="s">
        <v>30</v>
      </c>
      <c r="BT25" s="465"/>
      <c r="BU25" s="465"/>
      <c r="BV25" s="465"/>
      <c r="BW25" s="465"/>
      <c r="BX25" s="465"/>
      <c r="BY25" s="465"/>
      <c r="BZ25" s="465"/>
      <c r="CA25" s="466"/>
      <c r="CB25" s="464" t="s">
        <v>31</v>
      </c>
      <c r="CC25" s="465"/>
      <c r="CD25" s="465"/>
      <c r="CE25" s="465"/>
      <c r="CF25" s="465"/>
      <c r="CG25" s="465"/>
      <c r="CH25" s="465"/>
      <c r="CI25" s="465"/>
      <c r="CJ25" s="466"/>
      <c r="CK25" s="250" t="s">
        <v>159</v>
      </c>
      <c r="CL25" s="250"/>
      <c r="CM25" s="250"/>
      <c r="CN25" s="250"/>
      <c r="CO25" s="250"/>
      <c r="CP25" s="250"/>
      <c r="CQ25" s="250"/>
      <c r="CR25" s="250"/>
      <c r="CS25" s="250"/>
      <c r="CT25" s="250"/>
      <c r="CU25" s="250"/>
      <c r="CV25" s="250"/>
      <c r="CW25" s="250"/>
      <c r="CX25" s="250"/>
      <c r="CY25" s="250"/>
      <c r="CZ25" s="250"/>
      <c r="DA25" s="250"/>
      <c r="DB25" s="250"/>
      <c r="DC25" s="250"/>
      <c r="DD25" s="250"/>
      <c r="DE25" s="250"/>
    </row>
    <row r="26" spans="1:109" ht="13.35" customHeight="1" x14ac:dyDescent="0.15">
      <c r="A26" s="416" t="s">
        <v>5</v>
      </c>
      <c r="B26" s="417"/>
      <c r="C26" s="417"/>
      <c r="D26" s="417"/>
      <c r="E26" s="417"/>
      <c r="F26" s="417"/>
      <c r="G26" s="418"/>
      <c r="H26" s="196"/>
      <c r="I26" s="191"/>
      <c r="J26" s="192"/>
      <c r="K26" s="419"/>
      <c r="L26" s="191"/>
      <c r="M26" s="192"/>
      <c r="N26" s="283" t="str">
        <f t="shared" ref="N26:N35" si="4">IF(H26="-", "-", IF(K26="-", "-", IF(ABS(K26)=0, "-", ROUND(100*(H26-K26)/ABS(K26),10))))</f>
        <v>-</v>
      </c>
      <c r="O26" s="284"/>
      <c r="P26" s="285"/>
      <c r="Q26" s="335"/>
      <c r="R26" s="335"/>
      <c r="S26" s="335"/>
      <c r="T26" s="335"/>
      <c r="U26" s="335"/>
      <c r="V26" s="335"/>
      <c r="W26" s="335"/>
      <c r="X26" s="335"/>
      <c r="Y26" s="335"/>
      <c r="Z26" s="335"/>
      <c r="AA26" s="335"/>
      <c r="AB26" s="335"/>
      <c r="AC26" s="335"/>
      <c r="AD26" s="335"/>
      <c r="AE26" s="335"/>
      <c r="AF26" s="335"/>
      <c r="AG26" s="335"/>
      <c r="AH26" s="335"/>
      <c r="AI26" s="335"/>
      <c r="AJ26" s="335"/>
      <c r="AK26" s="335"/>
      <c r="AL26" s="335"/>
      <c r="AM26" s="335"/>
      <c r="AN26" s="335"/>
      <c r="AO26" s="335"/>
      <c r="AP26" s="335"/>
      <c r="AQ26" s="335"/>
      <c r="AR26" s="335"/>
      <c r="AS26" s="335"/>
      <c r="AT26" s="335"/>
      <c r="AU26" s="335"/>
      <c r="AV26" s="335"/>
      <c r="AW26" s="335"/>
      <c r="AX26" s="335"/>
      <c r="AY26" s="335"/>
      <c r="AZ26" s="335"/>
      <c r="BA26" s="335"/>
      <c r="BC26" s="275"/>
      <c r="BD26" s="276"/>
      <c r="BE26" s="276"/>
      <c r="BF26" s="276"/>
      <c r="BG26" s="276"/>
      <c r="BH26" s="276"/>
      <c r="BI26" s="486"/>
      <c r="BJ26" s="370">
        <f>H5</f>
        <v>0</v>
      </c>
      <c r="BK26" s="370"/>
      <c r="BL26" s="371"/>
      <c r="BM26" s="372">
        <f>K5</f>
        <v>-1</v>
      </c>
      <c r="BN26" s="373"/>
      <c r="BO26" s="374"/>
      <c r="BP26" s="367" t="s">
        <v>2</v>
      </c>
      <c r="BQ26" s="368"/>
      <c r="BR26" s="368"/>
      <c r="BS26" s="369">
        <f>H5</f>
        <v>0</v>
      </c>
      <c r="BT26" s="370"/>
      <c r="BU26" s="371"/>
      <c r="BV26" s="372">
        <f>K5</f>
        <v>-1</v>
      </c>
      <c r="BW26" s="373"/>
      <c r="BX26" s="374"/>
      <c r="BY26" s="367" t="s">
        <v>2</v>
      </c>
      <c r="BZ26" s="368"/>
      <c r="CA26" s="375"/>
      <c r="CB26" s="370">
        <f>H5</f>
        <v>0</v>
      </c>
      <c r="CC26" s="370"/>
      <c r="CD26" s="371"/>
      <c r="CE26" s="372">
        <f>K5</f>
        <v>-1</v>
      </c>
      <c r="CF26" s="373"/>
      <c r="CG26" s="374"/>
      <c r="CH26" s="367" t="s">
        <v>2</v>
      </c>
      <c r="CI26" s="368"/>
      <c r="CJ26" s="375"/>
      <c r="CK26" s="250"/>
      <c r="CL26" s="250"/>
      <c r="CM26" s="250"/>
      <c r="CN26" s="250"/>
      <c r="CO26" s="250"/>
      <c r="CP26" s="250"/>
      <c r="CQ26" s="250"/>
      <c r="CR26" s="250"/>
      <c r="CS26" s="250"/>
      <c r="CT26" s="250"/>
      <c r="CU26" s="250"/>
      <c r="CV26" s="250"/>
      <c r="CW26" s="250"/>
      <c r="CX26" s="250"/>
      <c r="CY26" s="250"/>
      <c r="CZ26" s="250"/>
      <c r="DA26" s="250"/>
      <c r="DB26" s="250"/>
      <c r="DC26" s="250"/>
      <c r="DD26" s="250"/>
      <c r="DE26" s="250"/>
    </row>
    <row r="27" spans="1:109" ht="13.35" customHeight="1" x14ac:dyDescent="0.15">
      <c r="A27" s="11"/>
      <c r="B27" s="124" t="s">
        <v>6</v>
      </c>
      <c r="C27" s="125"/>
      <c r="D27" s="125"/>
      <c r="E27" s="125"/>
      <c r="F27" s="125"/>
      <c r="G27" s="321"/>
      <c r="H27" s="190"/>
      <c r="I27" s="176"/>
      <c r="J27" s="189"/>
      <c r="K27" s="175"/>
      <c r="L27" s="176"/>
      <c r="M27" s="189"/>
      <c r="N27" s="316" t="str">
        <f t="shared" si="4"/>
        <v>-</v>
      </c>
      <c r="O27" s="317"/>
      <c r="P27" s="318"/>
      <c r="Q27" s="462"/>
      <c r="R27" s="462"/>
      <c r="S27" s="462"/>
      <c r="T27" s="462"/>
      <c r="U27" s="462"/>
      <c r="V27" s="462"/>
      <c r="W27" s="462"/>
      <c r="X27" s="462"/>
      <c r="Y27" s="462"/>
      <c r="Z27" s="462"/>
      <c r="AA27" s="462"/>
      <c r="AB27" s="462"/>
      <c r="AC27" s="462"/>
      <c r="AD27" s="462"/>
      <c r="AE27" s="462"/>
      <c r="AF27" s="462"/>
      <c r="AG27" s="462"/>
      <c r="AH27" s="462"/>
      <c r="AI27" s="462"/>
      <c r="AJ27" s="462"/>
      <c r="AK27" s="462"/>
      <c r="AL27" s="462"/>
      <c r="AM27" s="462"/>
      <c r="AN27" s="462"/>
      <c r="AO27" s="462"/>
      <c r="AP27" s="462"/>
      <c r="AQ27" s="462"/>
      <c r="AR27" s="462"/>
      <c r="AS27" s="462"/>
      <c r="AT27" s="462"/>
      <c r="AU27" s="462"/>
      <c r="AV27" s="462"/>
      <c r="AW27" s="462"/>
      <c r="AX27" s="462"/>
      <c r="AY27" s="462"/>
      <c r="AZ27" s="462"/>
      <c r="BA27" s="462"/>
      <c r="BC27" s="309"/>
      <c r="BD27" s="310"/>
      <c r="BE27" s="310"/>
      <c r="BF27" s="310"/>
      <c r="BG27" s="310"/>
      <c r="BH27" s="310"/>
      <c r="BI27" s="311"/>
      <c r="BJ27" s="297" t="s">
        <v>32</v>
      </c>
      <c r="BK27" s="297"/>
      <c r="BL27" s="298"/>
      <c r="BM27" s="296" t="s">
        <v>32</v>
      </c>
      <c r="BN27" s="297"/>
      <c r="BO27" s="298"/>
      <c r="BP27" s="289"/>
      <c r="BQ27" s="290"/>
      <c r="BR27" s="290"/>
      <c r="BS27" s="376" t="s">
        <v>32</v>
      </c>
      <c r="BT27" s="297"/>
      <c r="BU27" s="298"/>
      <c r="BV27" s="296" t="s">
        <v>32</v>
      </c>
      <c r="BW27" s="297"/>
      <c r="BX27" s="298"/>
      <c r="BY27" s="289"/>
      <c r="BZ27" s="290"/>
      <c r="CA27" s="291"/>
      <c r="CB27" s="297" t="s">
        <v>32</v>
      </c>
      <c r="CC27" s="297"/>
      <c r="CD27" s="298"/>
      <c r="CE27" s="296" t="s">
        <v>32</v>
      </c>
      <c r="CF27" s="297"/>
      <c r="CG27" s="298"/>
      <c r="CH27" s="289"/>
      <c r="CI27" s="290"/>
      <c r="CJ27" s="291"/>
      <c r="CK27" s="250"/>
      <c r="CL27" s="250"/>
      <c r="CM27" s="250"/>
      <c r="CN27" s="250"/>
      <c r="CO27" s="250"/>
      <c r="CP27" s="250"/>
      <c r="CQ27" s="250"/>
      <c r="CR27" s="250"/>
      <c r="CS27" s="250"/>
      <c r="CT27" s="250"/>
      <c r="CU27" s="250"/>
      <c r="CV27" s="250"/>
      <c r="CW27" s="250"/>
      <c r="CX27" s="250"/>
      <c r="CY27" s="250"/>
      <c r="CZ27" s="250"/>
      <c r="DA27" s="250"/>
      <c r="DB27" s="250"/>
      <c r="DC27" s="250"/>
      <c r="DD27" s="250"/>
      <c r="DE27" s="250"/>
    </row>
    <row r="28" spans="1:109" ht="13.35" customHeight="1" x14ac:dyDescent="0.15">
      <c r="A28" s="11"/>
      <c r="B28" s="408" t="s">
        <v>145</v>
      </c>
      <c r="C28" s="125"/>
      <c r="D28" s="125"/>
      <c r="E28" s="125"/>
      <c r="F28" s="125"/>
      <c r="G28" s="321"/>
      <c r="H28" s="190"/>
      <c r="I28" s="176"/>
      <c r="J28" s="189"/>
      <c r="K28" s="175"/>
      <c r="L28" s="176"/>
      <c r="M28" s="189"/>
      <c r="N28" s="316" t="str">
        <f t="shared" si="4"/>
        <v>-</v>
      </c>
      <c r="O28" s="317"/>
      <c r="P28" s="318"/>
      <c r="Q28" s="462"/>
      <c r="R28" s="462"/>
      <c r="S28" s="462"/>
      <c r="T28" s="462"/>
      <c r="U28" s="462"/>
      <c r="V28" s="462"/>
      <c r="W28" s="462"/>
      <c r="X28" s="462"/>
      <c r="Y28" s="462"/>
      <c r="Z28" s="462"/>
      <c r="AA28" s="462"/>
      <c r="AB28" s="462"/>
      <c r="AC28" s="462"/>
      <c r="AD28" s="462"/>
      <c r="AE28" s="462"/>
      <c r="AF28" s="462"/>
      <c r="AG28" s="462"/>
      <c r="AH28" s="462"/>
      <c r="AI28" s="462"/>
      <c r="AJ28" s="462"/>
      <c r="AK28" s="462"/>
      <c r="AL28" s="462"/>
      <c r="AM28" s="462"/>
      <c r="AN28" s="462"/>
      <c r="AO28" s="462"/>
      <c r="AP28" s="462"/>
      <c r="AQ28" s="462"/>
      <c r="AR28" s="462"/>
      <c r="AS28" s="462"/>
      <c r="AT28" s="462"/>
      <c r="AU28" s="462"/>
      <c r="AV28" s="462"/>
      <c r="AW28" s="462"/>
      <c r="AX28" s="462"/>
      <c r="AY28" s="462"/>
      <c r="AZ28" s="462"/>
      <c r="BA28" s="462"/>
      <c r="BC28" s="386" t="s">
        <v>33</v>
      </c>
      <c r="BD28" s="387"/>
      <c r="BE28" s="387"/>
      <c r="BF28" s="387"/>
      <c r="BG28" s="387"/>
      <c r="BH28" s="387"/>
      <c r="BI28" s="388"/>
      <c r="BJ28" s="393"/>
      <c r="BK28" s="378"/>
      <c r="BL28" s="379"/>
      <c r="BM28" s="377"/>
      <c r="BN28" s="378"/>
      <c r="BO28" s="379"/>
      <c r="BP28" s="380" t="str">
        <f t="shared" ref="BP28:BP34" si="5">IF(BJ28="-", "-", IF(BM28="-", "-", IF(ABS(BM28)=0, "-", ROUND(100*(BJ28-BM28)/ABS(BM28),10))))</f>
        <v>-</v>
      </c>
      <c r="BQ28" s="381"/>
      <c r="BR28" s="382"/>
      <c r="BS28" s="401"/>
      <c r="BT28" s="402"/>
      <c r="BU28" s="403"/>
      <c r="BV28" s="377"/>
      <c r="BW28" s="378"/>
      <c r="BX28" s="379"/>
      <c r="BY28" s="380" t="str">
        <f>IF(BS28="-", "-", IF(BV28="-", "-", IF(ABS(BV28)=0, "-", ROUND(100*(BS28-BV28)/ABS(BV28),10))))</f>
        <v>-</v>
      </c>
      <c r="BZ28" s="381"/>
      <c r="CA28" s="382"/>
      <c r="CB28" s="471"/>
      <c r="CC28" s="472"/>
      <c r="CD28" s="473"/>
      <c r="CE28" s="377"/>
      <c r="CF28" s="378"/>
      <c r="CG28" s="379"/>
      <c r="CH28" s="380" t="str">
        <f>IF(CB28="-", "-", IF(CE28="-", "-", IF(ABS(CE28)=0, "-", ROUND(100*(CB28-CE28)/ABS(CE28),10))))</f>
        <v>-</v>
      </c>
      <c r="CI28" s="381"/>
      <c r="CJ28" s="382"/>
      <c r="CK28" s="269"/>
      <c r="CL28" s="269"/>
      <c r="CM28" s="269"/>
      <c r="CN28" s="269"/>
      <c r="CO28" s="269"/>
      <c r="CP28" s="269"/>
      <c r="CQ28" s="269"/>
      <c r="CR28" s="269"/>
      <c r="CS28" s="269"/>
      <c r="CT28" s="269"/>
      <c r="CU28" s="269"/>
      <c r="CV28" s="269"/>
      <c r="CW28" s="269"/>
      <c r="CX28" s="269"/>
      <c r="CY28" s="269"/>
      <c r="CZ28" s="269"/>
      <c r="DA28" s="269"/>
      <c r="DB28" s="269"/>
      <c r="DC28" s="269"/>
      <c r="DD28" s="269"/>
      <c r="DE28" s="269"/>
    </row>
    <row r="29" spans="1:109" ht="13.35" customHeight="1" x14ac:dyDescent="0.15">
      <c r="A29" s="11"/>
      <c r="B29" s="12"/>
      <c r="C29" s="124" t="s">
        <v>7</v>
      </c>
      <c r="D29" s="125"/>
      <c r="E29" s="125"/>
      <c r="F29" s="125"/>
      <c r="G29" s="321"/>
      <c r="H29" s="190"/>
      <c r="I29" s="176"/>
      <c r="J29" s="189"/>
      <c r="K29" s="175"/>
      <c r="L29" s="176"/>
      <c r="M29" s="189"/>
      <c r="N29" s="316" t="str">
        <f t="shared" si="4"/>
        <v>-</v>
      </c>
      <c r="O29" s="317"/>
      <c r="P29" s="318"/>
      <c r="Q29" s="462"/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  <c r="AC29" s="462"/>
      <c r="AD29" s="462"/>
      <c r="AE29" s="462"/>
      <c r="AF29" s="462"/>
      <c r="AG29" s="462"/>
      <c r="AH29" s="462"/>
      <c r="AI29" s="462"/>
      <c r="AJ29" s="462"/>
      <c r="AK29" s="462"/>
      <c r="AL29" s="462"/>
      <c r="AM29" s="462"/>
      <c r="AN29" s="462"/>
      <c r="AO29" s="462"/>
      <c r="AP29" s="462"/>
      <c r="AQ29" s="462"/>
      <c r="AR29" s="462"/>
      <c r="AS29" s="462"/>
      <c r="AT29" s="462"/>
      <c r="AU29" s="462"/>
      <c r="AV29" s="462"/>
      <c r="AW29" s="462"/>
      <c r="AX29" s="462"/>
      <c r="AY29" s="462"/>
      <c r="AZ29" s="462"/>
      <c r="BA29" s="462"/>
      <c r="BC29" s="20"/>
      <c r="BD29" s="383" t="s">
        <v>34</v>
      </c>
      <c r="BE29" s="384"/>
      <c r="BF29" s="384"/>
      <c r="BG29" s="384"/>
      <c r="BH29" s="384"/>
      <c r="BI29" s="385"/>
      <c r="BJ29" s="389"/>
      <c r="BK29" s="390"/>
      <c r="BL29" s="391"/>
      <c r="BM29" s="392"/>
      <c r="BN29" s="390"/>
      <c r="BO29" s="391"/>
      <c r="BP29" s="316" t="str">
        <f t="shared" si="5"/>
        <v>-</v>
      </c>
      <c r="BQ29" s="317"/>
      <c r="BR29" s="318"/>
      <c r="BS29" s="389"/>
      <c r="BT29" s="390"/>
      <c r="BU29" s="391"/>
      <c r="BV29" s="392"/>
      <c r="BW29" s="390"/>
      <c r="BX29" s="391"/>
      <c r="BY29" s="316" t="str">
        <f t="shared" ref="BY29:BY34" si="6">IF(BS29="-", "-", IF(BV29="-", "-", IF(ABS(BV29)=0, "-", ROUND(100*(BS29-BV29)/ABS(BV29),10))))</f>
        <v>-</v>
      </c>
      <c r="BZ29" s="317"/>
      <c r="CA29" s="318"/>
      <c r="CB29" s="389"/>
      <c r="CC29" s="390"/>
      <c r="CD29" s="391"/>
      <c r="CE29" s="392"/>
      <c r="CF29" s="390"/>
      <c r="CG29" s="391"/>
      <c r="CH29" s="316" t="str">
        <f t="shared" ref="CH29:CH34" si="7">IF(CB29="-", "-", IF(CE29="-", "-", IF(ABS(CE29)=0, "-", ROUND(100*(CB29-CE29)/ABS(CE29),10))))</f>
        <v>-</v>
      </c>
      <c r="CI29" s="317"/>
      <c r="CJ29" s="318"/>
      <c r="CK29" s="270"/>
      <c r="CL29" s="270"/>
      <c r="CM29" s="270"/>
      <c r="CN29" s="270"/>
      <c r="CO29" s="270"/>
      <c r="CP29" s="270"/>
      <c r="CQ29" s="270"/>
      <c r="CR29" s="270"/>
      <c r="CS29" s="270"/>
      <c r="CT29" s="270"/>
      <c r="CU29" s="270"/>
      <c r="CV29" s="270"/>
      <c r="CW29" s="270"/>
      <c r="CX29" s="270"/>
      <c r="CY29" s="270"/>
      <c r="CZ29" s="270"/>
      <c r="DA29" s="270"/>
      <c r="DB29" s="270"/>
      <c r="DC29" s="270"/>
      <c r="DD29" s="270"/>
      <c r="DE29" s="270"/>
    </row>
    <row r="30" spans="1:109" ht="13.35" customHeight="1" x14ac:dyDescent="0.15">
      <c r="A30" s="11"/>
      <c r="B30" s="13"/>
      <c r="C30" s="126" t="s">
        <v>97</v>
      </c>
      <c r="D30" s="127"/>
      <c r="E30" s="127"/>
      <c r="F30" s="127"/>
      <c r="G30" s="430"/>
      <c r="H30" s="190"/>
      <c r="I30" s="176"/>
      <c r="J30" s="189"/>
      <c r="K30" s="175"/>
      <c r="L30" s="176"/>
      <c r="M30" s="189"/>
      <c r="N30" s="316" t="str">
        <f t="shared" si="4"/>
        <v>-</v>
      </c>
      <c r="O30" s="317"/>
      <c r="P30" s="318"/>
      <c r="Q30" s="462"/>
      <c r="R30" s="462"/>
      <c r="S30" s="462"/>
      <c r="T30" s="462"/>
      <c r="U30" s="462"/>
      <c r="V30" s="462"/>
      <c r="W30" s="462"/>
      <c r="X30" s="462"/>
      <c r="Y30" s="462"/>
      <c r="Z30" s="462"/>
      <c r="AA30" s="462"/>
      <c r="AB30" s="462"/>
      <c r="AC30" s="462"/>
      <c r="AD30" s="462"/>
      <c r="AE30" s="462"/>
      <c r="AF30" s="462"/>
      <c r="AG30" s="462"/>
      <c r="AH30" s="462"/>
      <c r="AI30" s="462"/>
      <c r="AJ30" s="462"/>
      <c r="AK30" s="462"/>
      <c r="AL30" s="462"/>
      <c r="AM30" s="462"/>
      <c r="AN30" s="462"/>
      <c r="AO30" s="462"/>
      <c r="AP30" s="462"/>
      <c r="AQ30" s="462"/>
      <c r="AR30" s="462"/>
      <c r="AS30" s="462"/>
      <c r="AT30" s="462"/>
      <c r="AU30" s="462"/>
      <c r="AV30" s="462"/>
      <c r="AW30" s="462"/>
      <c r="AX30" s="462"/>
      <c r="AY30" s="462"/>
      <c r="AZ30" s="462"/>
      <c r="BA30" s="462"/>
      <c r="BC30" s="20"/>
      <c r="BD30" s="410" t="s">
        <v>35</v>
      </c>
      <c r="BE30" s="411"/>
      <c r="BF30" s="411"/>
      <c r="BG30" s="411"/>
      <c r="BH30" s="411"/>
      <c r="BI30" s="412"/>
      <c r="BJ30" s="389"/>
      <c r="BK30" s="390"/>
      <c r="BL30" s="391"/>
      <c r="BM30" s="392"/>
      <c r="BN30" s="390"/>
      <c r="BO30" s="391"/>
      <c r="BP30" s="316" t="str">
        <f t="shared" si="5"/>
        <v>-</v>
      </c>
      <c r="BQ30" s="317"/>
      <c r="BR30" s="318"/>
      <c r="BS30" s="389"/>
      <c r="BT30" s="390"/>
      <c r="BU30" s="391"/>
      <c r="BV30" s="392"/>
      <c r="BW30" s="390"/>
      <c r="BX30" s="391"/>
      <c r="BY30" s="316" t="str">
        <f t="shared" si="6"/>
        <v>-</v>
      </c>
      <c r="BZ30" s="317"/>
      <c r="CA30" s="318"/>
      <c r="CB30" s="389"/>
      <c r="CC30" s="390"/>
      <c r="CD30" s="391"/>
      <c r="CE30" s="392"/>
      <c r="CF30" s="390"/>
      <c r="CG30" s="391"/>
      <c r="CH30" s="316" t="str">
        <f t="shared" si="7"/>
        <v>-</v>
      </c>
      <c r="CI30" s="317"/>
      <c r="CJ30" s="318"/>
      <c r="CK30" s="270"/>
      <c r="CL30" s="270"/>
      <c r="CM30" s="270"/>
      <c r="CN30" s="270"/>
      <c r="CO30" s="270"/>
      <c r="CP30" s="270"/>
      <c r="CQ30" s="270"/>
      <c r="CR30" s="270"/>
      <c r="CS30" s="270"/>
      <c r="CT30" s="270"/>
      <c r="CU30" s="270"/>
      <c r="CV30" s="270"/>
      <c r="CW30" s="270"/>
      <c r="CX30" s="270"/>
      <c r="CY30" s="270"/>
      <c r="CZ30" s="270"/>
      <c r="DA30" s="270"/>
      <c r="DB30" s="270"/>
      <c r="DC30" s="270"/>
      <c r="DD30" s="270"/>
      <c r="DE30" s="270"/>
    </row>
    <row r="31" spans="1:109" ht="13.35" customHeight="1" x14ac:dyDescent="0.15">
      <c r="A31" s="11"/>
      <c r="B31" s="124" t="s">
        <v>8</v>
      </c>
      <c r="C31" s="125"/>
      <c r="D31" s="125"/>
      <c r="E31" s="125"/>
      <c r="F31" s="125"/>
      <c r="G31" s="321"/>
      <c r="H31" s="190"/>
      <c r="I31" s="176"/>
      <c r="J31" s="189"/>
      <c r="K31" s="175"/>
      <c r="L31" s="176"/>
      <c r="M31" s="189"/>
      <c r="N31" s="316" t="str">
        <f t="shared" si="4"/>
        <v>-</v>
      </c>
      <c r="O31" s="317"/>
      <c r="P31" s="318"/>
      <c r="Q31" s="462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462"/>
      <c r="AG31" s="462"/>
      <c r="AH31" s="462"/>
      <c r="AI31" s="462"/>
      <c r="AJ31" s="462"/>
      <c r="AK31" s="462"/>
      <c r="AL31" s="462"/>
      <c r="AM31" s="462"/>
      <c r="AN31" s="462"/>
      <c r="AO31" s="462"/>
      <c r="AP31" s="462"/>
      <c r="AQ31" s="462"/>
      <c r="AR31" s="462"/>
      <c r="AS31" s="462"/>
      <c r="AT31" s="462"/>
      <c r="AU31" s="462"/>
      <c r="AV31" s="462"/>
      <c r="AW31" s="462"/>
      <c r="AX31" s="462"/>
      <c r="AY31" s="462"/>
      <c r="AZ31" s="462"/>
      <c r="BA31" s="462"/>
      <c r="BC31" s="21"/>
      <c r="BD31" s="468" t="s">
        <v>36</v>
      </c>
      <c r="BE31" s="469"/>
      <c r="BF31" s="469"/>
      <c r="BG31" s="469"/>
      <c r="BH31" s="469"/>
      <c r="BI31" s="470"/>
      <c r="BJ31" s="406"/>
      <c r="BK31" s="406"/>
      <c r="BL31" s="407"/>
      <c r="BM31" s="409"/>
      <c r="BN31" s="406"/>
      <c r="BO31" s="407"/>
      <c r="BP31" s="322" t="str">
        <f t="shared" si="5"/>
        <v>-</v>
      </c>
      <c r="BQ31" s="323"/>
      <c r="BR31" s="324"/>
      <c r="BS31" s="405"/>
      <c r="BT31" s="406"/>
      <c r="BU31" s="407"/>
      <c r="BV31" s="409"/>
      <c r="BW31" s="406"/>
      <c r="BX31" s="407"/>
      <c r="BY31" s="322" t="str">
        <f t="shared" si="6"/>
        <v>-</v>
      </c>
      <c r="BZ31" s="323"/>
      <c r="CA31" s="324"/>
      <c r="CB31" s="405"/>
      <c r="CC31" s="406"/>
      <c r="CD31" s="407"/>
      <c r="CE31" s="409"/>
      <c r="CF31" s="406"/>
      <c r="CG31" s="407"/>
      <c r="CH31" s="322" t="str">
        <f t="shared" si="7"/>
        <v>-</v>
      </c>
      <c r="CI31" s="323"/>
      <c r="CJ31" s="324"/>
      <c r="CK31" s="271"/>
      <c r="CL31" s="271"/>
      <c r="CM31" s="271"/>
      <c r="CN31" s="271"/>
      <c r="CO31" s="271"/>
      <c r="CP31" s="271"/>
      <c r="CQ31" s="271"/>
      <c r="CR31" s="271"/>
      <c r="CS31" s="271"/>
      <c r="CT31" s="271"/>
      <c r="CU31" s="271"/>
      <c r="CV31" s="271"/>
      <c r="CW31" s="271"/>
      <c r="CX31" s="271"/>
      <c r="CY31" s="271"/>
      <c r="CZ31" s="271"/>
      <c r="DA31" s="271"/>
      <c r="DB31" s="271"/>
      <c r="DC31" s="271"/>
      <c r="DD31" s="271"/>
      <c r="DE31" s="271"/>
    </row>
    <row r="32" spans="1:109" ht="13.35" customHeight="1" x14ac:dyDescent="0.15">
      <c r="A32" s="11"/>
      <c r="B32" s="124" t="s">
        <v>144</v>
      </c>
      <c r="C32" s="125"/>
      <c r="D32" s="125"/>
      <c r="E32" s="125"/>
      <c r="F32" s="125"/>
      <c r="G32" s="321"/>
      <c r="H32" s="190"/>
      <c r="I32" s="176"/>
      <c r="J32" s="189"/>
      <c r="K32" s="175"/>
      <c r="L32" s="176"/>
      <c r="M32" s="189"/>
      <c r="N32" s="316" t="str">
        <f t="shared" si="4"/>
        <v>-</v>
      </c>
      <c r="O32" s="317"/>
      <c r="P32" s="318"/>
      <c r="Q32" s="462"/>
      <c r="R32" s="462"/>
      <c r="S32" s="462"/>
      <c r="T32" s="462"/>
      <c r="U32" s="462"/>
      <c r="V32" s="462"/>
      <c r="W32" s="462"/>
      <c r="X32" s="462"/>
      <c r="Y32" s="462"/>
      <c r="Z32" s="462"/>
      <c r="AA32" s="462"/>
      <c r="AB32" s="462"/>
      <c r="AC32" s="462"/>
      <c r="AD32" s="462"/>
      <c r="AE32" s="462"/>
      <c r="AF32" s="462"/>
      <c r="AG32" s="462"/>
      <c r="AH32" s="462"/>
      <c r="AI32" s="462"/>
      <c r="AJ32" s="462"/>
      <c r="AK32" s="462"/>
      <c r="AL32" s="462"/>
      <c r="AM32" s="462"/>
      <c r="AN32" s="462"/>
      <c r="AO32" s="462"/>
      <c r="AP32" s="462"/>
      <c r="AQ32" s="462"/>
      <c r="AR32" s="462"/>
      <c r="AS32" s="462"/>
      <c r="AT32" s="462"/>
      <c r="AU32" s="462"/>
      <c r="AV32" s="462"/>
      <c r="AW32" s="462"/>
      <c r="AX32" s="462"/>
      <c r="AY32" s="462"/>
      <c r="AZ32" s="462"/>
      <c r="BA32" s="462"/>
      <c r="BC32" s="413" t="s">
        <v>37</v>
      </c>
      <c r="BD32" s="414"/>
      <c r="BE32" s="414"/>
      <c r="BF32" s="414"/>
      <c r="BG32" s="414"/>
      <c r="BH32" s="414"/>
      <c r="BI32" s="415"/>
      <c r="BJ32" s="402"/>
      <c r="BK32" s="402"/>
      <c r="BL32" s="403"/>
      <c r="BM32" s="404"/>
      <c r="BN32" s="402"/>
      <c r="BO32" s="403"/>
      <c r="BP32" s="398" t="str">
        <f t="shared" si="5"/>
        <v>-</v>
      </c>
      <c r="BQ32" s="399"/>
      <c r="BR32" s="400"/>
      <c r="BS32" s="393"/>
      <c r="BT32" s="378"/>
      <c r="BU32" s="379"/>
      <c r="BV32" s="404"/>
      <c r="BW32" s="402"/>
      <c r="BX32" s="403"/>
      <c r="BY32" s="398" t="str">
        <f t="shared" si="6"/>
        <v>-</v>
      </c>
      <c r="BZ32" s="399"/>
      <c r="CA32" s="400"/>
      <c r="CB32" s="401"/>
      <c r="CC32" s="402"/>
      <c r="CD32" s="403"/>
      <c r="CE32" s="404"/>
      <c r="CF32" s="402"/>
      <c r="CG32" s="403"/>
      <c r="CH32" s="398" t="str">
        <f t="shared" si="7"/>
        <v>-</v>
      </c>
      <c r="CI32" s="399"/>
      <c r="CJ32" s="400"/>
      <c r="CK32" s="269"/>
      <c r="CL32" s="269"/>
      <c r="CM32" s="269"/>
      <c r="CN32" s="269"/>
      <c r="CO32" s="269"/>
      <c r="CP32" s="269"/>
      <c r="CQ32" s="269"/>
      <c r="CR32" s="269"/>
      <c r="CS32" s="269"/>
      <c r="CT32" s="269"/>
      <c r="CU32" s="269"/>
      <c r="CV32" s="269"/>
      <c r="CW32" s="269"/>
      <c r="CX32" s="269"/>
      <c r="CY32" s="269"/>
      <c r="CZ32" s="269"/>
      <c r="DA32" s="269"/>
      <c r="DB32" s="269"/>
      <c r="DC32" s="269"/>
      <c r="DD32" s="269"/>
      <c r="DE32" s="269"/>
    </row>
    <row r="33" spans="1:109" ht="13.35" customHeight="1" x14ac:dyDescent="0.15">
      <c r="A33" s="11"/>
      <c r="B33" s="124" t="s">
        <v>9</v>
      </c>
      <c r="C33" s="125"/>
      <c r="D33" s="125"/>
      <c r="E33" s="125"/>
      <c r="F33" s="125"/>
      <c r="G33" s="321"/>
      <c r="H33" s="190"/>
      <c r="I33" s="176"/>
      <c r="J33" s="189"/>
      <c r="K33" s="175"/>
      <c r="L33" s="176"/>
      <c r="M33" s="189"/>
      <c r="N33" s="322" t="str">
        <f t="shared" si="4"/>
        <v>-</v>
      </c>
      <c r="O33" s="323"/>
      <c r="P33" s="324"/>
      <c r="Q33" s="467"/>
      <c r="R33" s="467"/>
      <c r="S33" s="467"/>
      <c r="T33" s="467"/>
      <c r="U33" s="467"/>
      <c r="V33" s="467"/>
      <c r="W33" s="467"/>
      <c r="X33" s="467"/>
      <c r="Y33" s="467"/>
      <c r="Z33" s="467"/>
      <c r="AA33" s="467"/>
      <c r="AB33" s="467"/>
      <c r="AC33" s="467"/>
      <c r="AD33" s="467"/>
      <c r="AE33" s="467"/>
      <c r="AF33" s="467"/>
      <c r="AG33" s="467"/>
      <c r="AH33" s="467"/>
      <c r="AI33" s="467"/>
      <c r="AJ33" s="467"/>
      <c r="AK33" s="467"/>
      <c r="AL33" s="467"/>
      <c r="AM33" s="467"/>
      <c r="AN33" s="467"/>
      <c r="AO33" s="467"/>
      <c r="AP33" s="467"/>
      <c r="AQ33" s="467"/>
      <c r="AR33" s="467"/>
      <c r="AS33" s="467"/>
      <c r="AT33" s="467"/>
      <c r="AU33" s="467"/>
      <c r="AV33" s="467"/>
      <c r="AW33" s="467"/>
      <c r="AX33" s="467"/>
      <c r="AY33" s="467"/>
      <c r="AZ33" s="467"/>
      <c r="BA33" s="467"/>
      <c r="BC33" s="49"/>
      <c r="BD33" s="346" t="s">
        <v>38</v>
      </c>
      <c r="BE33" s="293"/>
      <c r="BF33" s="293"/>
      <c r="BG33" s="293"/>
      <c r="BH33" s="293"/>
      <c r="BI33" s="347"/>
      <c r="BJ33" s="395"/>
      <c r="BK33" s="395"/>
      <c r="BL33" s="396"/>
      <c r="BM33" s="397"/>
      <c r="BN33" s="395"/>
      <c r="BO33" s="396"/>
      <c r="BP33" s="322" t="str">
        <f t="shared" si="5"/>
        <v>-</v>
      </c>
      <c r="BQ33" s="323"/>
      <c r="BR33" s="324"/>
      <c r="BS33" s="394"/>
      <c r="BT33" s="395"/>
      <c r="BU33" s="396"/>
      <c r="BV33" s="397"/>
      <c r="BW33" s="395"/>
      <c r="BX33" s="396"/>
      <c r="BY33" s="322" t="str">
        <f t="shared" si="6"/>
        <v>-</v>
      </c>
      <c r="BZ33" s="323"/>
      <c r="CA33" s="324"/>
      <c r="CB33" s="394"/>
      <c r="CC33" s="395"/>
      <c r="CD33" s="396"/>
      <c r="CE33" s="397"/>
      <c r="CF33" s="395"/>
      <c r="CG33" s="396"/>
      <c r="CH33" s="322" t="str">
        <f t="shared" si="7"/>
        <v>-</v>
      </c>
      <c r="CI33" s="323"/>
      <c r="CJ33" s="324"/>
      <c r="CK33" s="271"/>
      <c r="CL33" s="271"/>
      <c r="CM33" s="271"/>
      <c r="CN33" s="271"/>
      <c r="CO33" s="271"/>
      <c r="CP33" s="271"/>
      <c r="CQ33" s="271"/>
      <c r="CR33" s="271"/>
      <c r="CS33" s="271"/>
      <c r="CT33" s="271"/>
      <c r="CU33" s="271"/>
      <c r="CV33" s="271"/>
      <c r="CW33" s="271"/>
      <c r="CX33" s="271"/>
      <c r="CY33" s="271"/>
      <c r="CZ33" s="271"/>
      <c r="DA33" s="271"/>
      <c r="DB33" s="271"/>
      <c r="DC33" s="271"/>
      <c r="DD33" s="271"/>
      <c r="DE33" s="271"/>
    </row>
    <row r="34" spans="1:109" ht="13.35" customHeight="1" x14ac:dyDescent="0.15">
      <c r="A34" s="413" t="s">
        <v>147</v>
      </c>
      <c r="B34" s="414"/>
      <c r="C34" s="414"/>
      <c r="D34" s="414"/>
      <c r="E34" s="414"/>
      <c r="F34" s="414"/>
      <c r="G34" s="415"/>
      <c r="H34" s="249"/>
      <c r="I34" s="201"/>
      <c r="J34" s="248"/>
      <c r="K34" s="200"/>
      <c r="L34" s="201"/>
      <c r="M34" s="248"/>
      <c r="N34" s="423" t="str">
        <f t="shared" si="4"/>
        <v>-</v>
      </c>
      <c r="O34" s="424"/>
      <c r="P34" s="425"/>
      <c r="Q34" s="463"/>
      <c r="R34" s="463"/>
      <c r="S34" s="463"/>
      <c r="T34" s="463"/>
      <c r="U34" s="463"/>
      <c r="V34" s="463"/>
      <c r="W34" s="463"/>
      <c r="X34" s="463"/>
      <c r="Y34" s="463"/>
      <c r="Z34" s="463"/>
      <c r="AA34" s="463"/>
      <c r="AB34" s="463"/>
      <c r="AC34" s="463"/>
      <c r="AD34" s="463"/>
      <c r="AE34" s="463"/>
      <c r="AF34" s="463"/>
      <c r="AG34" s="463"/>
      <c r="AH34" s="463"/>
      <c r="AI34" s="463"/>
      <c r="AJ34" s="463"/>
      <c r="AK34" s="463"/>
      <c r="AL34" s="463"/>
      <c r="AM34" s="463"/>
      <c r="AN34" s="463"/>
      <c r="AO34" s="463"/>
      <c r="AP34" s="463"/>
      <c r="AQ34" s="463"/>
      <c r="AR34" s="463"/>
      <c r="AS34" s="463"/>
      <c r="AT34" s="463"/>
      <c r="AU34" s="463"/>
      <c r="AV34" s="463"/>
      <c r="AW34" s="463"/>
      <c r="AX34" s="463"/>
      <c r="AY34" s="463"/>
      <c r="AZ34" s="463"/>
      <c r="BA34" s="463"/>
      <c r="BC34" s="426" t="s">
        <v>143</v>
      </c>
      <c r="BD34" s="427"/>
      <c r="BE34" s="427"/>
      <c r="BF34" s="427"/>
      <c r="BG34" s="427"/>
      <c r="BH34" s="427"/>
      <c r="BI34" s="23" t="s">
        <v>93</v>
      </c>
      <c r="BJ34" s="457"/>
      <c r="BK34" s="457"/>
      <c r="BL34" s="458"/>
      <c r="BM34" s="459"/>
      <c r="BN34" s="457"/>
      <c r="BO34" s="458"/>
      <c r="BP34" s="423" t="str">
        <f t="shared" si="5"/>
        <v>-</v>
      </c>
      <c r="BQ34" s="424"/>
      <c r="BR34" s="425"/>
      <c r="BS34" s="460"/>
      <c r="BT34" s="457"/>
      <c r="BU34" s="458"/>
      <c r="BV34" s="459"/>
      <c r="BW34" s="457"/>
      <c r="BX34" s="458"/>
      <c r="BY34" s="423" t="str">
        <f t="shared" si="6"/>
        <v>-</v>
      </c>
      <c r="BZ34" s="424"/>
      <c r="CA34" s="425"/>
      <c r="CB34" s="460"/>
      <c r="CC34" s="457"/>
      <c r="CD34" s="458"/>
      <c r="CE34" s="459"/>
      <c r="CF34" s="457"/>
      <c r="CG34" s="458"/>
      <c r="CH34" s="423" t="str">
        <f t="shared" si="7"/>
        <v>-</v>
      </c>
      <c r="CI34" s="424"/>
      <c r="CJ34" s="425"/>
      <c r="CK34" s="250"/>
      <c r="CL34" s="250"/>
      <c r="CM34" s="250"/>
      <c r="CN34" s="250"/>
      <c r="CO34" s="250"/>
      <c r="CP34" s="250"/>
      <c r="CQ34" s="250"/>
      <c r="CR34" s="250"/>
      <c r="CS34" s="250"/>
      <c r="CT34" s="250"/>
      <c r="CU34" s="250"/>
      <c r="CV34" s="250"/>
      <c r="CW34" s="250"/>
      <c r="CX34" s="250"/>
      <c r="CY34" s="250"/>
      <c r="CZ34" s="250"/>
      <c r="DA34" s="250"/>
      <c r="DB34" s="250"/>
      <c r="DC34" s="250"/>
      <c r="DD34" s="250"/>
      <c r="DE34" s="250"/>
    </row>
    <row r="35" spans="1:109" ht="13.35" customHeight="1" x14ac:dyDescent="0.15">
      <c r="A35" s="426" t="s">
        <v>19</v>
      </c>
      <c r="B35" s="427"/>
      <c r="C35" s="427"/>
      <c r="D35" s="427"/>
      <c r="E35" s="427"/>
      <c r="F35" s="427"/>
      <c r="G35" s="428"/>
      <c r="H35" s="420"/>
      <c r="I35" s="421"/>
      <c r="J35" s="422"/>
      <c r="K35" s="429"/>
      <c r="L35" s="421"/>
      <c r="M35" s="422"/>
      <c r="N35" s="423" t="str">
        <f t="shared" si="4"/>
        <v>-</v>
      </c>
      <c r="O35" s="424"/>
      <c r="P35" s="425"/>
      <c r="Q35" s="463"/>
      <c r="R35" s="463"/>
      <c r="S35" s="463"/>
      <c r="T35" s="463"/>
      <c r="U35" s="463"/>
      <c r="V35" s="463"/>
      <c r="W35" s="463"/>
      <c r="X35" s="463"/>
      <c r="Y35" s="463"/>
      <c r="Z35" s="463"/>
      <c r="AA35" s="463"/>
      <c r="AB35" s="463"/>
      <c r="AC35" s="463"/>
      <c r="AD35" s="463"/>
      <c r="AE35" s="463"/>
      <c r="AF35" s="463"/>
      <c r="AG35" s="463"/>
      <c r="AH35" s="463"/>
      <c r="AI35" s="463"/>
      <c r="AJ35" s="463"/>
      <c r="AK35" s="463"/>
      <c r="AL35" s="463"/>
      <c r="AM35" s="463"/>
      <c r="AN35" s="463"/>
      <c r="AO35" s="463"/>
      <c r="AP35" s="463"/>
      <c r="AQ35" s="463"/>
      <c r="AR35" s="463"/>
      <c r="AS35" s="463"/>
      <c r="AT35" s="463"/>
      <c r="AU35" s="463"/>
      <c r="AV35" s="463"/>
      <c r="AW35" s="463"/>
      <c r="AX35" s="463"/>
      <c r="AY35" s="463"/>
      <c r="AZ35" s="463"/>
      <c r="BA35" s="463"/>
    </row>
    <row r="36" spans="1:109" ht="13.35" customHeight="1" x14ac:dyDescent="0.15"/>
    <row r="37" spans="1:109" ht="13.35" customHeight="1" x14ac:dyDescent="0.15">
      <c r="A37" s="4" t="s">
        <v>88</v>
      </c>
    </row>
    <row r="38" spans="1:109" ht="13.35" customHeight="1" x14ac:dyDescent="0.15">
      <c r="A38" s="273"/>
      <c r="B38" s="274"/>
      <c r="C38" s="274"/>
      <c r="D38" s="274"/>
      <c r="E38" s="274"/>
      <c r="F38" s="274"/>
      <c r="G38" s="308"/>
      <c r="H38" s="431" t="s">
        <v>60</v>
      </c>
      <c r="I38" s="431"/>
      <c r="J38" s="431"/>
      <c r="K38" s="431"/>
      <c r="L38" s="431"/>
      <c r="M38" s="431"/>
      <c r="N38" s="431"/>
      <c r="O38" s="431"/>
      <c r="P38" s="432"/>
      <c r="Q38" s="455" t="s">
        <v>61</v>
      </c>
      <c r="R38" s="431"/>
      <c r="S38" s="431"/>
      <c r="T38" s="431"/>
      <c r="U38" s="431"/>
      <c r="V38" s="431"/>
      <c r="W38" s="431"/>
      <c r="X38" s="431"/>
      <c r="Y38" s="432"/>
      <c r="Z38" s="455" t="s">
        <v>89</v>
      </c>
      <c r="AA38" s="431"/>
      <c r="AB38" s="431"/>
      <c r="AC38" s="431"/>
      <c r="AD38" s="431"/>
      <c r="AE38" s="431"/>
      <c r="AF38" s="431"/>
      <c r="AG38" s="431"/>
      <c r="AH38" s="432"/>
      <c r="AI38" s="455" t="s">
        <v>159</v>
      </c>
      <c r="AJ38" s="431"/>
      <c r="AK38" s="431"/>
      <c r="AL38" s="431"/>
      <c r="AM38" s="431"/>
      <c r="AN38" s="431"/>
      <c r="AO38" s="431"/>
      <c r="AP38" s="431"/>
      <c r="AQ38" s="431"/>
      <c r="AR38" s="431"/>
      <c r="AS38" s="431"/>
      <c r="AT38" s="431"/>
      <c r="AU38" s="431"/>
      <c r="AV38" s="431"/>
      <c r="AW38" s="431"/>
      <c r="AX38" s="431"/>
      <c r="AY38" s="431"/>
      <c r="AZ38" s="431"/>
      <c r="BA38" s="432"/>
    </row>
    <row r="39" spans="1:109" ht="13.35" customHeight="1" x14ac:dyDescent="0.15">
      <c r="A39" s="309"/>
      <c r="B39" s="310"/>
      <c r="C39" s="310"/>
      <c r="D39" s="310"/>
      <c r="E39" s="310"/>
      <c r="F39" s="310"/>
      <c r="G39" s="311"/>
      <c r="H39" s="433">
        <f>H5</f>
        <v>0</v>
      </c>
      <c r="I39" s="434"/>
      <c r="J39" s="434"/>
      <c r="K39" s="435">
        <f>K5</f>
        <v>-1</v>
      </c>
      <c r="L39" s="435"/>
      <c r="M39" s="435"/>
      <c r="N39" s="436" t="s">
        <v>2</v>
      </c>
      <c r="O39" s="436"/>
      <c r="P39" s="437"/>
      <c r="Q39" s="456">
        <f>H5</f>
        <v>0</v>
      </c>
      <c r="R39" s="434"/>
      <c r="S39" s="434"/>
      <c r="T39" s="435">
        <f>K5</f>
        <v>-1</v>
      </c>
      <c r="U39" s="435"/>
      <c r="V39" s="435"/>
      <c r="W39" s="436" t="s">
        <v>2</v>
      </c>
      <c r="X39" s="436"/>
      <c r="Y39" s="437"/>
      <c r="Z39" s="456">
        <f>H5</f>
        <v>0</v>
      </c>
      <c r="AA39" s="434"/>
      <c r="AB39" s="434"/>
      <c r="AC39" s="435">
        <f>K5</f>
        <v>-1</v>
      </c>
      <c r="AD39" s="435"/>
      <c r="AE39" s="435"/>
      <c r="AF39" s="436" t="s">
        <v>2</v>
      </c>
      <c r="AG39" s="436"/>
      <c r="AH39" s="437"/>
      <c r="AI39" s="487"/>
      <c r="AJ39" s="488"/>
      <c r="AK39" s="488"/>
      <c r="AL39" s="488"/>
      <c r="AM39" s="488"/>
      <c r="AN39" s="488"/>
      <c r="AO39" s="488"/>
      <c r="AP39" s="488"/>
      <c r="AQ39" s="488"/>
      <c r="AR39" s="488"/>
      <c r="AS39" s="488"/>
      <c r="AT39" s="488"/>
      <c r="AU39" s="488"/>
      <c r="AV39" s="488"/>
      <c r="AW39" s="488"/>
      <c r="AX39" s="488"/>
      <c r="AY39" s="488"/>
      <c r="AZ39" s="488"/>
      <c r="BA39" s="489"/>
    </row>
    <row r="40" spans="1:109" ht="13.35" customHeight="1" x14ac:dyDescent="0.15">
      <c r="A40" s="439" t="s">
        <v>13</v>
      </c>
      <c r="B40" s="440"/>
      <c r="C40" s="440"/>
      <c r="D40" s="440"/>
      <c r="E40" s="440"/>
      <c r="F40" s="440"/>
      <c r="G40" s="441"/>
      <c r="H40" s="192"/>
      <c r="I40" s="442"/>
      <c r="J40" s="442"/>
      <c r="K40" s="442"/>
      <c r="L40" s="442"/>
      <c r="M40" s="442"/>
      <c r="N40" s="380" t="str">
        <f t="shared" ref="N40:N43" si="8">IF(H40="-", "-", IF(K40="-", "-", IF(ABS(K40)=0, "-", ROUND(100*(H40-K40)/ABS(K40),10))))</f>
        <v>-</v>
      </c>
      <c r="O40" s="381"/>
      <c r="P40" s="382"/>
      <c r="Q40" s="493"/>
      <c r="R40" s="494"/>
      <c r="S40" s="494"/>
      <c r="T40" s="494"/>
      <c r="U40" s="494"/>
      <c r="V40" s="494"/>
      <c r="W40" s="380" t="str">
        <f t="shared" ref="W40:W43" si="9">IF(Q40="-", "-", IF(T40="-", "-", IF(ABS(T40)=0, "-", ROUND(100*(Q40-T40)/ABS(T40),10))))</f>
        <v>-</v>
      </c>
      <c r="X40" s="381"/>
      <c r="Y40" s="382"/>
      <c r="Z40" s="443"/>
      <c r="AA40" s="444"/>
      <c r="AB40" s="444"/>
      <c r="AC40" s="444"/>
      <c r="AD40" s="444"/>
      <c r="AE40" s="444"/>
      <c r="AF40" s="380" t="str">
        <f t="shared" ref="AF40:AF42" si="10">IF(Z40="-", "-", IF(AC40="-", "-", IF(ABS(AC40)=0, "-", ROUND(100*(Z40-AC40)/ABS(AC40),10))))</f>
        <v>-</v>
      </c>
      <c r="AG40" s="381"/>
      <c r="AH40" s="382"/>
      <c r="AI40" s="490"/>
      <c r="AJ40" s="491"/>
      <c r="AK40" s="491"/>
      <c r="AL40" s="491"/>
      <c r="AM40" s="491"/>
      <c r="AN40" s="491"/>
      <c r="AO40" s="491"/>
      <c r="AP40" s="491"/>
      <c r="AQ40" s="491"/>
      <c r="AR40" s="491"/>
      <c r="AS40" s="491"/>
      <c r="AT40" s="491"/>
      <c r="AU40" s="491"/>
      <c r="AV40" s="491"/>
      <c r="AW40" s="491"/>
      <c r="AX40" s="491"/>
      <c r="AY40" s="491"/>
      <c r="AZ40" s="491"/>
      <c r="BA40" s="492"/>
    </row>
    <row r="41" spans="1:109" ht="13.35" customHeight="1" x14ac:dyDescent="0.15">
      <c r="A41" s="325" t="s">
        <v>14</v>
      </c>
      <c r="B41" s="125"/>
      <c r="C41" s="125"/>
      <c r="D41" s="125"/>
      <c r="E41" s="125"/>
      <c r="F41" s="125"/>
      <c r="G41" s="321"/>
      <c r="H41" s="189"/>
      <c r="I41" s="438"/>
      <c r="J41" s="438"/>
      <c r="K41" s="438"/>
      <c r="L41" s="438"/>
      <c r="M41" s="438"/>
      <c r="N41" s="316" t="str">
        <f t="shared" si="8"/>
        <v>-</v>
      </c>
      <c r="O41" s="317"/>
      <c r="P41" s="318"/>
      <c r="Q41" s="461"/>
      <c r="R41" s="449"/>
      <c r="S41" s="449"/>
      <c r="T41" s="449"/>
      <c r="U41" s="449"/>
      <c r="V41" s="449"/>
      <c r="W41" s="316" t="str">
        <f t="shared" si="9"/>
        <v>-</v>
      </c>
      <c r="X41" s="317"/>
      <c r="Y41" s="318"/>
      <c r="Z41" s="330"/>
      <c r="AA41" s="445"/>
      <c r="AB41" s="445"/>
      <c r="AC41" s="445"/>
      <c r="AD41" s="445"/>
      <c r="AE41" s="445"/>
      <c r="AF41" s="316" t="str">
        <f t="shared" si="10"/>
        <v>-</v>
      </c>
      <c r="AG41" s="317"/>
      <c r="AH41" s="318"/>
      <c r="AI41" s="474"/>
      <c r="AJ41" s="475"/>
      <c r="AK41" s="475"/>
      <c r="AL41" s="475"/>
      <c r="AM41" s="475"/>
      <c r="AN41" s="475"/>
      <c r="AO41" s="475"/>
      <c r="AP41" s="475"/>
      <c r="AQ41" s="475"/>
      <c r="AR41" s="475"/>
      <c r="AS41" s="475"/>
      <c r="AT41" s="475"/>
      <c r="AU41" s="475"/>
      <c r="AV41" s="475"/>
      <c r="AW41" s="475"/>
      <c r="AX41" s="475"/>
      <c r="AY41" s="475"/>
      <c r="AZ41" s="475"/>
      <c r="BA41" s="476"/>
    </row>
    <row r="42" spans="1:109" ht="13.35" customHeight="1" x14ac:dyDescent="0.15">
      <c r="A42" s="325" t="s">
        <v>15</v>
      </c>
      <c r="B42" s="125"/>
      <c r="C42" s="125"/>
      <c r="D42" s="125"/>
      <c r="E42" s="125"/>
      <c r="F42" s="125"/>
      <c r="G42" s="321"/>
      <c r="H42" s="189"/>
      <c r="I42" s="438"/>
      <c r="J42" s="438"/>
      <c r="K42" s="438"/>
      <c r="L42" s="438"/>
      <c r="M42" s="438"/>
      <c r="N42" s="316" t="str">
        <f t="shared" si="8"/>
        <v>-</v>
      </c>
      <c r="O42" s="317"/>
      <c r="P42" s="318"/>
      <c r="Q42" s="461"/>
      <c r="R42" s="449"/>
      <c r="S42" s="449"/>
      <c r="T42" s="449"/>
      <c r="U42" s="449"/>
      <c r="V42" s="449"/>
      <c r="W42" s="316" t="str">
        <f t="shared" si="9"/>
        <v>-</v>
      </c>
      <c r="X42" s="317"/>
      <c r="Y42" s="318"/>
      <c r="Z42" s="330"/>
      <c r="AA42" s="445"/>
      <c r="AB42" s="445"/>
      <c r="AC42" s="445"/>
      <c r="AD42" s="445"/>
      <c r="AE42" s="445"/>
      <c r="AF42" s="316" t="str">
        <f t="shared" si="10"/>
        <v>-</v>
      </c>
      <c r="AG42" s="317"/>
      <c r="AH42" s="318"/>
      <c r="AI42" s="474"/>
      <c r="AJ42" s="475"/>
      <c r="AK42" s="475"/>
      <c r="AL42" s="475"/>
      <c r="AM42" s="475"/>
      <c r="AN42" s="475"/>
      <c r="AO42" s="475"/>
      <c r="AP42" s="475"/>
      <c r="AQ42" s="475"/>
      <c r="AR42" s="475"/>
      <c r="AS42" s="475"/>
      <c r="AT42" s="475"/>
      <c r="AU42" s="475"/>
      <c r="AV42" s="475"/>
      <c r="AW42" s="475"/>
      <c r="AX42" s="475"/>
      <c r="AY42" s="475"/>
      <c r="AZ42" s="475"/>
      <c r="BA42" s="476"/>
    </row>
    <row r="43" spans="1:109" ht="13.35" customHeight="1" x14ac:dyDescent="0.15">
      <c r="A43" s="292" t="s">
        <v>16</v>
      </c>
      <c r="B43" s="293"/>
      <c r="C43" s="293"/>
      <c r="D43" s="293"/>
      <c r="E43" s="293"/>
      <c r="F43" s="293"/>
      <c r="G43" s="347"/>
      <c r="H43" s="89"/>
      <c r="I43" s="295"/>
      <c r="J43" s="295"/>
      <c r="K43" s="295"/>
      <c r="L43" s="295"/>
      <c r="M43" s="295"/>
      <c r="N43" s="322" t="str">
        <f t="shared" si="8"/>
        <v>-</v>
      </c>
      <c r="O43" s="323"/>
      <c r="P43" s="324"/>
      <c r="Q43" s="450"/>
      <c r="R43" s="451"/>
      <c r="S43" s="451"/>
      <c r="T43" s="451"/>
      <c r="U43" s="451"/>
      <c r="V43" s="451"/>
      <c r="W43" s="322" t="str">
        <f t="shared" si="9"/>
        <v>-</v>
      </c>
      <c r="X43" s="323"/>
      <c r="Y43" s="324"/>
      <c r="Z43" s="446"/>
      <c r="AA43" s="447"/>
      <c r="AB43" s="447"/>
      <c r="AC43" s="448"/>
      <c r="AD43" s="447"/>
      <c r="AE43" s="447"/>
      <c r="AF43" s="452"/>
      <c r="AG43" s="453"/>
      <c r="AH43" s="454"/>
      <c r="AI43" s="477"/>
      <c r="AJ43" s="478"/>
      <c r="AK43" s="478"/>
      <c r="AL43" s="478"/>
      <c r="AM43" s="478"/>
      <c r="AN43" s="478"/>
      <c r="AO43" s="478"/>
      <c r="AP43" s="478"/>
      <c r="AQ43" s="478"/>
      <c r="AR43" s="478"/>
      <c r="AS43" s="478"/>
      <c r="AT43" s="478"/>
      <c r="AU43" s="478"/>
      <c r="AV43" s="478"/>
      <c r="AW43" s="478"/>
      <c r="AX43" s="478"/>
      <c r="AY43" s="478"/>
      <c r="AZ43" s="478"/>
      <c r="BA43" s="479"/>
    </row>
    <row r="44" spans="1:109" ht="12.6" customHeight="1" x14ac:dyDescent="0.15"/>
    <row r="45" spans="1:109" ht="12.6" customHeight="1" x14ac:dyDescent="0.15"/>
    <row r="46" spans="1:109" ht="12.6" customHeight="1" x14ac:dyDescent="0.15"/>
    <row r="47" spans="1:109" ht="12.6" customHeight="1" x14ac:dyDescent="0.15"/>
    <row r="48" spans="1:109" ht="12.6" customHeight="1" x14ac:dyDescent="0.15"/>
    <row r="49" spans="7:18" ht="12.6" customHeight="1" x14ac:dyDescent="0.15"/>
    <row r="50" spans="7:18" ht="12.6" customHeight="1" x14ac:dyDescent="0.15"/>
    <row r="51" spans="7:18" ht="12.6" customHeight="1" x14ac:dyDescent="0.15"/>
    <row r="52" spans="7:18" ht="12.6" customHeight="1" x14ac:dyDescent="0.15"/>
    <row r="53" spans="7:18" ht="12.6" customHeight="1" x14ac:dyDescent="0.15"/>
    <row r="54" spans="7:18" ht="12.6" customHeight="1" x14ac:dyDescent="0.15"/>
    <row r="55" spans="7:18" ht="12.6" customHeight="1" x14ac:dyDescent="0.15"/>
    <row r="56" spans="7:18" ht="12.6" customHeight="1" x14ac:dyDescent="0.15"/>
    <row r="57" spans="7:18" ht="12.6" customHeight="1" x14ac:dyDescent="0.15"/>
    <row r="58" spans="7:18" ht="12.6" customHeight="1" x14ac:dyDescent="0.15"/>
    <row r="59" spans="7:18" ht="12.6" customHeight="1" x14ac:dyDescent="0.15">
      <c r="G59" s="50"/>
      <c r="H59" s="40"/>
      <c r="I59" s="40"/>
      <c r="J59" s="40"/>
      <c r="K59" s="40"/>
      <c r="L59" s="40"/>
      <c r="M59" s="40"/>
      <c r="N59" s="41"/>
      <c r="O59" s="41"/>
      <c r="P59" s="41"/>
    </row>
    <row r="60" spans="7:18" ht="14.1" customHeight="1" x14ac:dyDescent="0.15">
      <c r="R60" s="5"/>
    </row>
    <row r="68" spans="19:60" ht="14.1" customHeight="1" x14ac:dyDescent="0.15"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7"/>
    </row>
  </sheetData>
  <mergeCells count="399">
    <mergeCell ref="CE30:CG30"/>
    <mergeCell ref="CH30:CJ30"/>
    <mergeCell ref="BM30:BO30"/>
    <mergeCell ref="BJ31:BL31"/>
    <mergeCell ref="BM31:BO31"/>
    <mergeCell ref="BJ32:BL32"/>
    <mergeCell ref="BM32:BO32"/>
    <mergeCell ref="AI40:BA40"/>
    <mergeCell ref="Q35:BA35"/>
    <mergeCell ref="CE34:CG34"/>
    <mergeCell ref="Q40:S40"/>
    <mergeCell ref="T40:V40"/>
    <mergeCell ref="CH34:CJ34"/>
    <mergeCell ref="CH33:CJ33"/>
    <mergeCell ref="CH32:CJ32"/>
    <mergeCell ref="CH31:CJ31"/>
    <mergeCell ref="AI41:BA41"/>
    <mergeCell ref="AI42:BA42"/>
    <mergeCell ref="AI43:BA43"/>
    <mergeCell ref="A1:AO2"/>
    <mergeCell ref="CV5:DE6"/>
    <mergeCell ref="CV7:DE7"/>
    <mergeCell ref="CV8:DE8"/>
    <mergeCell ref="CV9:DE9"/>
    <mergeCell ref="CV10:DE10"/>
    <mergeCell ref="CV11:DE11"/>
    <mergeCell ref="CV12:DE12"/>
    <mergeCell ref="CV13:DE13"/>
    <mergeCell ref="BS25:CA25"/>
    <mergeCell ref="BS5:CB6"/>
    <mergeCell ref="BS14:CB14"/>
    <mergeCell ref="BS15:CB15"/>
    <mergeCell ref="BS18:CB19"/>
    <mergeCell ref="BS20:CB20"/>
    <mergeCell ref="Q27:BA27"/>
    <mergeCell ref="BC25:BI27"/>
    <mergeCell ref="BJ25:BR25"/>
    <mergeCell ref="BM22:BO22"/>
    <mergeCell ref="Q38:Y38"/>
    <mergeCell ref="AI38:BA39"/>
    <mergeCell ref="Q28:BA28"/>
    <mergeCell ref="Q29:BA29"/>
    <mergeCell ref="Q30:BA30"/>
    <mergeCell ref="Q31:BA31"/>
    <mergeCell ref="Q32:BA32"/>
    <mergeCell ref="Q33:BA33"/>
    <mergeCell ref="Q34:BA34"/>
    <mergeCell ref="CB34:CD34"/>
    <mergeCell ref="BS28:BU28"/>
    <mergeCell ref="BV28:BX28"/>
    <mergeCell ref="BS29:BU29"/>
    <mergeCell ref="BV29:BX29"/>
    <mergeCell ref="BS30:BU30"/>
    <mergeCell ref="BV30:BX30"/>
    <mergeCell ref="BS31:BU31"/>
    <mergeCell ref="BV31:BX31"/>
    <mergeCell ref="BS32:BU32"/>
    <mergeCell ref="BV32:BX32"/>
    <mergeCell ref="CB30:CD30"/>
    <mergeCell ref="BD31:BI31"/>
    <mergeCell ref="BP31:BR31"/>
    <mergeCell ref="BJ30:BL30"/>
    <mergeCell ref="BY28:CA28"/>
    <mergeCell ref="CB28:CD28"/>
    <mergeCell ref="Q19:BA19"/>
    <mergeCell ref="Q20:BA20"/>
    <mergeCell ref="Q21:BA21"/>
    <mergeCell ref="Q24:BA25"/>
    <mergeCell ref="Q26:BA26"/>
    <mergeCell ref="BS21:CB21"/>
    <mergeCell ref="BS22:CB22"/>
    <mergeCell ref="BP22:BR22"/>
    <mergeCell ref="BC22:BI22"/>
    <mergeCell ref="BJ22:BL22"/>
    <mergeCell ref="BM20:BO20"/>
    <mergeCell ref="BP20:BR20"/>
    <mergeCell ref="BC21:BI21"/>
    <mergeCell ref="BJ21:BL21"/>
    <mergeCell ref="BM21:BO21"/>
    <mergeCell ref="BP21:BR21"/>
    <mergeCell ref="BC20:BI20"/>
    <mergeCell ref="BJ20:BL20"/>
    <mergeCell ref="CB25:CJ25"/>
    <mergeCell ref="BJ26:BL26"/>
    <mergeCell ref="BM26:BO26"/>
    <mergeCell ref="Q10:BA10"/>
    <mergeCell ref="Q11:BA11"/>
    <mergeCell ref="Q12:BA12"/>
    <mergeCell ref="Q13:BA13"/>
    <mergeCell ref="Q14:BA14"/>
    <mergeCell ref="Q15:BA15"/>
    <mergeCell ref="Q16:BA16"/>
    <mergeCell ref="Q17:BA17"/>
    <mergeCell ref="Q18:BA18"/>
    <mergeCell ref="AF43:AH43"/>
    <mergeCell ref="AF42:AH42"/>
    <mergeCell ref="AF40:AH40"/>
    <mergeCell ref="Z38:AH38"/>
    <mergeCell ref="BY34:CA34"/>
    <mergeCell ref="Q39:S39"/>
    <mergeCell ref="T39:V39"/>
    <mergeCell ref="BJ33:BL33"/>
    <mergeCell ref="BM33:BO33"/>
    <mergeCell ref="BJ34:BL34"/>
    <mergeCell ref="BM34:BO34"/>
    <mergeCell ref="BS33:BU33"/>
    <mergeCell ref="BV33:BX33"/>
    <mergeCell ref="BS34:BU34"/>
    <mergeCell ref="BV34:BX34"/>
    <mergeCell ref="W39:Y39"/>
    <mergeCell ref="Z39:AB39"/>
    <mergeCell ref="AC39:AE39"/>
    <mergeCell ref="AF39:AH39"/>
    <mergeCell ref="BC34:BH34"/>
    <mergeCell ref="BP34:BR34"/>
    <mergeCell ref="Q41:S41"/>
    <mergeCell ref="T41:V41"/>
    <mergeCell ref="Q42:S42"/>
    <mergeCell ref="A43:G43"/>
    <mergeCell ref="H43:J43"/>
    <mergeCell ref="K43:M43"/>
    <mergeCell ref="N43:P43"/>
    <mergeCell ref="W43:Y43"/>
    <mergeCell ref="Z43:AB43"/>
    <mergeCell ref="AC43:AE43"/>
    <mergeCell ref="A42:G42"/>
    <mergeCell ref="H42:J42"/>
    <mergeCell ref="K42:M42"/>
    <mergeCell ref="N42:P42"/>
    <mergeCell ref="W42:Y42"/>
    <mergeCell ref="T42:V42"/>
    <mergeCell ref="Q43:S43"/>
    <mergeCell ref="T43:V43"/>
    <mergeCell ref="Z42:AB42"/>
    <mergeCell ref="AC42:AE42"/>
    <mergeCell ref="A41:G41"/>
    <mergeCell ref="H41:J41"/>
    <mergeCell ref="K41:M41"/>
    <mergeCell ref="N41:P41"/>
    <mergeCell ref="W41:Y41"/>
    <mergeCell ref="AF41:AH41"/>
    <mergeCell ref="A40:G40"/>
    <mergeCell ref="H40:J40"/>
    <mergeCell ref="K40:M40"/>
    <mergeCell ref="N40:P40"/>
    <mergeCell ref="W40:Y40"/>
    <mergeCell ref="Z40:AB40"/>
    <mergeCell ref="AC40:AE40"/>
    <mergeCell ref="Z41:AB41"/>
    <mergeCell ref="AC41:AE41"/>
    <mergeCell ref="A35:G35"/>
    <mergeCell ref="H35:J35"/>
    <mergeCell ref="K35:M35"/>
    <mergeCell ref="N35:P35"/>
    <mergeCell ref="A38:G39"/>
    <mergeCell ref="H38:P38"/>
    <mergeCell ref="B33:G33"/>
    <mergeCell ref="H33:J33"/>
    <mergeCell ref="K33:M33"/>
    <mergeCell ref="N33:P33"/>
    <mergeCell ref="A34:G34"/>
    <mergeCell ref="H34:J34"/>
    <mergeCell ref="K34:M34"/>
    <mergeCell ref="N34:P34"/>
    <mergeCell ref="H39:J39"/>
    <mergeCell ref="K39:M39"/>
    <mergeCell ref="N39:P39"/>
    <mergeCell ref="B31:G31"/>
    <mergeCell ref="H31:J31"/>
    <mergeCell ref="K31:M31"/>
    <mergeCell ref="N31:P31"/>
    <mergeCell ref="B32:G32"/>
    <mergeCell ref="H32:J32"/>
    <mergeCell ref="K32:M32"/>
    <mergeCell ref="N32:P32"/>
    <mergeCell ref="B28:G28"/>
    <mergeCell ref="H28:J28"/>
    <mergeCell ref="K28:M28"/>
    <mergeCell ref="N28:P28"/>
    <mergeCell ref="C29:G29"/>
    <mergeCell ref="C30:G30"/>
    <mergeCell ref="H29:J29"/>
    <mergeCell ref="H30:J30"/>
    <mergeCell ref="K29:M29"/>
    <mergeCell ref="K30:M30"/>
    <mergeCell ref="N29:P29"/>
    <mergeCell ref="N30:P30"/>
    <mergeCell ref="A26:G26"/>
    <mergeCell ref="H26:J26"/>
    <mergeCell ref="K26:M26"/>
    <mergeCell ref="N26:P26"/>
    <mergeCell ref="B27:G27"/>
    <mergeCell ref="H27:J27"/>
    <mergeCell ref="K27:M27"/>
    <mergeCell ref="N27:P27"/>
    <mergeCell ref="A24:G25"/>
    <mergeCell ref="H24:J24"/>
    <mergeCell ref="K24:M24"/>
    <mergeCell ref="N24:P25"/>
    <mergeCell ref="H25:J25"/>
    <mergeCell ref="K25:M25"/>
    <mergeCell ref="A20:G20"/>
    <mergeCell ref="H20:J20"/>
    <mergeCell ref="K20:M20"/>
    <mergeCell ref="N20:P20"/>
    <mergeCell ref="A21:G21"/>
    <mergeCell ref="H21:J21"/>
    <mergeCell ref="K21:M21"/>
    <mergeCell ref="N21:P21"/>
    <mergeCell ref="B18:G18"/>
    <mergeCell ref="H18:J18"/>
    <mergeCell ref="K18:M18"/>
    <mergeCell ref="N18:P18"/>
    <mergeCell ref="B19:G19"/>
    <mergeCell ref="H19:J19"/>
    <mergeCell ref="K19:M19"/>
    <mergeCell ref="N19:P19"/>
    <mergeCell ref="B16:G16"/>
    <mergeCell ref="H16:J16"/>
    <mergeCell ref="K16:M16"/>
    <mergeCell ref="N16:P16"/>
    <mergeCell ref="B17:G17"/>
    <mergeCell ref="H17:J17"/>
    <mergeCell ref="K17:M17"/>
    <mergeCell ref="N17:P17"/>
    <mergeCell ref="B15:G15"/>
    <mergeCell ref="H15:J15"/>
    <mergeCell ref="K15:M15"/>
    <mergeCell ref="N15:P15"/>
    <mergeCell ref="B13:G13"/>
    <mergeCell ref="H13:J13"/>
    <mergeCell ref="K13:M13"/>
    <mergeCell ref="N13:P13"/>
    <mergeCell ref="B14:G14"/>
    <mergeCell ref="H14:J14"/>
    <mergeCell ref="K14:M14"/>
    <mergeCell ref="N14:P14"/>
    <mergeCell ref="B11:G11"/>
    <mergeCell ref="H11:J11"/>
    <mergeCell ref="K11:M11"/>
    <mergeCell ref="N11:P11"/>
    <mergeCell ref="B12:G12"/>
    <mergeCell ref="H12:J12"/>
    <mergeCell ref="K12:M12"/>
    <mergeCell ref="N12:P12"/>
    <mergeCell ref="K9:M9"/>
    <mergeCell ref="N9:P9"/>
    <mergeCell ref="B10:G10"/>
    <mergeCell ref="H10:J10"/>
    <mergeCell ref="K10:M10"/>
    <mergeCell ref="N10:P10"/>
    <mergeCell ref="A7:G7"/>
    <mergeCell ref="H7:J7"/>
    <mergeCell ref="K7:M7"/>
    <mergeCell ref="N7:P7"/>
    <mergeCell ref="B8:G8"/>
    <mergeCell ref="H8:J8"/>
    <mergeCell ref="K8:M8"/>
    <mergeCell ref="N8:P8"/>
    <mergeCell ref="A5:G6"/>
    <mergeCell ref="H5:J5"/>
    <mergeCell ref="K5:M5"/>
    <mergeCell ref="N5:P6"/>
    <mergeCell ref="H6:J6"/>
    <mergeCell ref="K6:M6"/>
    <mergeCell ref="BY33:CA33"/>
    <mergeCell ref="CB33:CD33"/>
    <mergeCell ref="CE33:CG33"/>
    <mergeCell ref="BY32:CA32"/>
    <mergeCell ref="CB32:CD32"/>
    <mergeCell ref="CE32:CG32"/>
    <mergeCell ref="BD33:BI33"/>
    <mergeCell ref="BP33:BR33"/>
    <mergeCell ref="BY31:CA31"/>
    <mergeCell ref="CB31:CD31"/>
    <mergeCell ref="B9:G9"/>
    <mergeCell ref="H9:J9"/>
    <mergeCell ref="CE31:CG31"/>
    <mergeCell ref="BD30:BI30"/>
    <mergeCell ref="BP30:BR30"/>
    <mergeCell ref="BC32:BI32"/>
    <mergeCell ref="BP32:BR32"/>
    <mergeCell ref="BY30:CA30"/>
    <mergeCell ref="CE28:CG28"/>
    <mergeCell ref="CH28:CJ28"/>
    <mergeCell ref="BD29:BI29"/>
    <mergeCell ref="BP29:BR29"/>
    <mergeCell ref="BC28:BI28"/>
    <mergeCell ref="BP28:BR28"/>
    <mergeCell ref="BY29:CA29"/>
    <mergeCell ref="CB29:CD29"/>
    <mergeCell ref="CE29:CG29"/>
    <mergeCell ref="CH29:CJ29"/>
    <mergeCell ref="BJ28:BL28"/>
    <mergeCell ref="BM28:BO28"/>
    <mergeCell ref="BJ29:BL29"/>
    <mergeCell ref="BM29:BO29"/>
    <mergeCell ref="BP26:BR27"/>
    <mergeCell ref="BS26:BU26"/>
    <mergeCell ref="BV26:BX26"/>
    <mergeCell ref="BY26:CA27"/>
    <mergeCell ref="CB26:CD26"/>
    <mergeCell ref="CE26:CG26"/>
    <mergeCell ref="CH26:CJ27"/>
    <mergeCell ref="BJ27:BL27"/>
    <mergeCell ref="BM27:BO27"/>
    <mergeCell ref="BS27:BU27"/>
    <mergeCell ref="BV27:BX27"/>
    <mergeCell ref="CB27:CD27"/>
    <mergeCell ref="CE27:CG27"/>
    <mergeCell ref="BC14:BH14"/>
    <mergeCell ref="BJ14:BL14"/>
    <mergeCell ref="CP12:CR12"/>
    <mergeCell ref="CS12:CU12"/>
    <mergeCell ref="BC13:BH13"/>
    <mergeCell ref="BJ13:BL13"/>
    <mergeCell ref="BM13:BO13"/>
    <mergeCell ref="BP13:BR13"/>
    <mergeCell ref="BM18:BO18"/>
    <mergeCell ref="BP18:BR19"/>
    <mergeCell ref="BJ19:BL19"/>
    <mergeCell ref="BM19:BO19"/>
    <mergeCell ref="BC18:BI19"/>
    <mergeCell ref="BJ18:BL18"/>
    <mergeCell ref="BM14:BO14"/>
    <mergeCell ref="BP14:BR14"/>
    <mergeCell ref="BC15:BH15"/>
    <mergeCell ref="BJ15:BL15"/>
    <mergeCell ref="BM15:BO15"/>
    <mergeCell ref="BP15:BR15"/>
    <mergeCell ref="CM13:CO13"/>
    <mergeCell ref="CP13:CR13"/>
    <mergeCell ref="BS11:CB12"/>
    <mergeCell ref="BS13:CB13"/>
    <mergeCell ref="CS11:CU11"/>
    <mergeCell ref="CF12:CG13"/>
    <mergeCell ref="CH12:CK12"/>
    <mergeCell ref="CM12:CO12"/>
    <mergeCell ref="CS10:CU10"/>
    <mergeCell ref="BC11:BI12"/>
    <mergeCell ref="BJ11:BL12"/>
    <mergeCell ref="BM11:BO12"/>
    <mergeCell ref="BP11:BR12"/>
    <mergeCell ref="CH11:CL11"/>
    <mergeCell ref="CH13:CL13"/>
    <mergeCell ref="CS13:CU13"/>
    <mergeCell ref="CM10:CO10"/>
    <mergeCell ref="CP10:CR10"/>
    <mergeCell ref="CM11:CO11"/>
    <mergeCell ref="CP11:CR11"/>
    <mergeCell ref="CF10:CL10"/>
    <mergeCell ref="BP8:BR8"/>
    <mergeCell ref="CF8:CL8"/>
    <mergeCell ref="CS8:CU8"/>
    <mergeCell ref="CF9:CL9"/>
    <mergeCell ref="CM7:CO7"/>
    <mergeCell ref="CP7:CR7"/>
    <mergeCell ref="CM8:CO8"/>
    <mergeCell ref="CP8:CR8"/>
    <mergeCell ref="CM9:CO9"/>
    <mergeCell ref="CP9:CR9"/>
    <mergeCell ref="BS7:CB7"/>
    <mergeCell ref="BS8:CB8"/>
    <mergeCell ref="BP5:BR6"/>
    <mergeCell ref="CF5:CL6"/>
    <mergeCell ref="CM5:CO5"/>
    <mergeCell ref="CP5:CR5"/>
    <mergeCell ref="BJ6:BL6"/>
    <mergeCell ref="BM6:BO6"/>
    <mergeCell ref="CM6:CO6"/>
    <mergeCell ref="Q5:BA6"/>
    <mergeCell ref="CS9:CU9"/>
    <mergeCell ref="Q7:BA7"/>
    <mergeCell ref="Q8:BA8"/>
    <mergeCell ref="Q9:BA9"/>
    <mergeCell ref="CK25:DE27"/>
    <mergeCell ref="CK28:DE28"/>
    <mergeCell ref="CK29:DE29"/>
    <mergeCell ref="CK30:DE30"/>
    <mergeCell ref="CK31:DE31"/>
    <mergeCell ref="CK32:DE32"/>
    <mergeCell ref="CK33:DE33"/>
    <mergeCell ref="CK34:DE34"/>
    <mergeCell ref="AP1:BA1"/>
    <mergeCell ref="AP2:BA2"/>
    <mergeCell ref="BC5:BI6"/>
    <mergeCell ref="BJ5:BL5"/>
    <mergeCell ref="BM5:BO5"/>
    <mergeCell ref="CS7:CU7"/>
    <mergeCell ref="CS5:CU6"/>
    <mergeCell ref="BC8:BI8"/>
    <mergeCell ref="BJ8:BL8"/>
    <mergeCell ref="BM8:BO8"/>
    <mergeCell ref="CP6:CR6"/>
    <mergeCell ref="BC7:BI7"/>
    <mergeCell ref="BJ7:BL7"/>
    <mergeCell ref="BM7:BO7"/>
    <mergeCell ref="BP7:BR7"/>
    <mergeCell ref="CF7:CK7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6" orientation="landscape" r:id="rId1"/>
  <headerFooter alignWithMargins="0"/>
  <colBreaks count="1" manualBreakCount="1">
    <brk id="54" max="4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N46"/>
  <sheetViews>
    <sheetView showGridLines="0" view="pageBreakPreview" zoomScaleNormal="100" zoomScaleSheetLayoutView="100" workbookViewId="0">
      <selection sqref="A1:AS2"/>
    </sheetView>
  </sheetViews>
  <sheetFormatPr defaultColWidth="2.625" defaultRowHeight="14.1" customHeight="1" x14ac:dyDescent="0.15"/>
  <cols>
    <col min="1" max="67" width="2.625" style="2" customWidth="1"/>
    <col min="68" max="75" width="2.625" style="2"/>
    <col min="76" max="76" width="2.625" style="2" customWidth="1"/>
    <col min="77" max="16384" width="2.625" style="2"/>
  </cols>
  <sheetData>
    <row r="1" spans="1:116" ht="13.5" customHeight="1" x14ac:dyDescent="0.15">
      <c r="A1" s="85" t="str">
        <f>IF(H6="年","9999",H6)&amp;"年　農業経営統計調査　子牛生産費統計　個別結果検討表　№３"</f>
        <v>0年　農業経営統計調査　子牛生産費統計　個別結果検討表　№３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6"/>
      <c r="AT1" s="250" t="s">
        <v>0</v>
      </c>
      <c r="AU1" s="250"/>
      <c r="AV1" s="250"/>
      <c r="AW1" s="250"/>
      <c r="AX1" s="250"/>
      <c r="AY1" s="250"/>
      <c r="AZ1" s="250"/>
      <c r="BA1" s="250"/>
      <c r="BB1" s="250"/>
      <c r="BC1" s="250"/>
      <c r="BD1" s="250"/>
      <c r="BE1" s="250"/>
      <c r="BF1" s="79"/>
      <c r="BG1" s="79"/>
      <c r="BH1" s="79"/>
      <c r="BI1" s="79"/>
      <c r="BJ1" s="79"/>
      <c r="BK1" s="79"/>
    </row>
    <row r="2" spans="1:116" ht="13.5" customHeight="1" x14ac:dyDescent="0.1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272" t="str">
        <f>IF('No1'!AO2="","",'No1'!AO2)</f>
        <v/>
      </c>
      <c r="AU2" s="272"/>
      <c r="AV2" s="272"/>
      <c r="AW2" s="272"/>
      <c r="AX2" s="272"/>
      <c r="AY2" s="272"/>
      <c r="AZ2" s="272"/>
      <c r="BA2" s="272"/>
      <c r="BB2" s="272"/>
      <c r="BC2" s="272"/>
      <c r="BD2" s="272"/>
      <c r="BE2" s="272"/>
      <c r="BF2" s="79"/>
      <c r="BG2" s="79"/>
      <c r="BH2" s="79"/>
      <c r="BI2" s="79"/>
      <c r="BJ2" s="79"/>
      <c r="BK2" s="79"/>
    </row>
    <row r="3" spans="1:116" ht="13.5" customHeight="1" x14ac:dyDescent="0.15">
      <c r="P3" s="3"/>
      <c r="Q3" s="3"/>
      <c r="R3" s="3"/>
    </row>
    <row r="4" spans="1:116" ht="13.5" customHeight="1" x14ac:dyDescent="0.15">
      <c r="A4" s="4" t="s">
        <v>90</v>
      </c>
      <c r="P4" s="3"/>
      <c r="Q4" s="3"/>
      <c r="R4" s="3"/>
    </row>
    <row r="5" spans="1:116" ht="13.5" customHeight="1" x14ac:dyDescent="0.15">
      <c r="A5" s="273"/>
      <c r="B5" s="274"/>
      <c r="C5" s="274"/>
      <c r="D5" s="274"/>
      <c r="E5" s="274"/>
      <c r="F5" s="274"/>
      <c r="G5" s="308"/>
      <c r="H5" s="548" t="s">
        <v>40</v>
      </c>
      <c r="I5" s="548"/>
      <c r="J5" s="548"/>
      <c r="K5" s="548"/>
      <c r="L5" s="548"/>
      <c r="M5" s="548"/>
      <c r="N5" s="548"/>
      <c r="O5" s="548"/>
      <c r="P5" s="549"/>
      <c r="Q5" s="550" t="s">
        <v>39</v>
      </c>
      <c r="R5" s="548"/>
      <c r="S5" s="548"/>
      <c r="T5" s="548"/>
      <c r="U5" s="548"/>
      <c r="V5" s="548"/>
      <c r="W5" s="548"/>
      <c r="X5" s="548"/>
      <c r="Y5" s="549"/>
      <c r="Z5" s="250" t="s">
        <v>159</v>
      </c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</row>
    <row r="6" spans="1:116" ht="13.5" customHeight="1" x14ac:dyDescent="0.15">
      <c r="A6" s="309"/>
      <c r="B6" s="310"/>
      <c r="C6" s="310"/>
      <c r="D6" s="310"/>
      <c r="E6" s="310"/>
      <c r="F6" s="310"/>
      <c r="G6" s="311"/>
      <c r="H6" s="433">
        <f>IF('No1'!H5="【個】[000101]","年",'No1'!H5)</f>
        <v>0</v>
      </c>
      <c r="I6" s="434"/>
      <c r="J6" s="434"/>
      <c r="K6" s="435">
        <f>IF(H6="年","年",H6-1)</f>
        <v>-1</v>
      </c>
      <c r="L6" s="435"/>
      <c r="M6" s="435"/>
      <c r="N6" s="436" t="s">
        <v>41</v>
      </c>
      <c r="O6" s="436"/>
      <c r="P6" s="437"/>
      <c r="Q6" s="456">
        <f>H6</f>
        <v>0</v>
      </c>
      <c r="R6" s="434"/>
      <c r="S6" s="434"/>
      <c r="T6" s="435">
        <f>K6</f>
        <v>-1</v>
      </c>
      <c r="U6" s="435"/>
      <c r="V6" s="435"/>
      <c r="W6" s="436" t="s">
        <v>41</v>
      </c>
      <c r="X6" s="436"/>
      <c r="Y6" s="437"/>
      <c r="Z6" s="250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0"/>
      <c r="AU6" s="250"/>
      <c r="AV6" s="250"/>
      <c r="AW6" s="250"/>
      <c r="AX6" s="250"/>
      <c r="AY6" s="250"/>
      <c r="AZ6" s="250"/>
      <c r="BA6" s="250"/>
      <c r="BB6" s="250"/>
      <c r="BC6" s="250"/>
      <c r="BD6" s="250"/>
      <c r="BE6" s="250"/>
    </row>
    <row r="7" spans="1:116" ht="13.5" customHeight="1" x14ac:dyDescent="0.15">
      <c r="A7" s="439" t="s">
        <v>42</v>
      </c>
      <c r="B7" s="440"/>
      <c r="C7" s="440"/>
      <c r="D7" s="440"/>
      <c r="E7" s="440"/>
      <c r="F7" s="440"/>
      <c r="G7" s="441"/>
      <c r="H7" s="191"/>
      <c r="I7" s="191"/>
      <c r="J7" s="192"/>
      <c r="K7" s="419"/>
      <c r="L7" s="191"/>
      <c r="M7" s="192"/>
      <c r="N7" s="283" t="str">
        <f>IF(H7="-", "-", IF(K7="-", "-", IF(ABS(K7)=0, "-", ROUND(100*(H7-K7)/ABS(K7),10))))</f>
        <v>-</v>
      </c>
      <c r="O7" s="284"/>
      <c r="P7" s="285"/>
      <c r="Q7" s="544"/>
      <c r="R7" s="545"/>
      <c r="S7" s="545"/>
      <c r="T7" s="545"/>
      <c r="U7" s="545"/>
      <c r="V7" s="545"/>
      <c r="W7" s="283" t="str">
        <f>IF(Q7="-", "-", IF(T7="-", "-", IF(ABS(T7)=0, "-", ROUND(100*(Q7-T7)/ABS(T7),10))))</f>
        <v>-</v>
      </c>
      <c r="X7" s="284"/>
      <c r="Y7" s="285"/>
      <c r="Z7" s="335"/>
      <c r="AA7" s="335"/>
      <c r="AB7" s="335"/>
      <c r="AC7" s="335"/>
      <c r="AD7" s="335"/>
      <c r="AE7" s="335"/>
      <c r="AF7" s="335"/>
      <c r="AG7" s="335"/>
      <c r="AH7" s="335"/>
      <c r="AI7" s="335"/>
      <c r="AJ7" s="335"/>
      <c r="AK7" s="335"/>
      <c r="AL7" s="335"/>
      <c r="AM7" s="335"/>
      <c r="AN7" s="335"/>
      <c r="AO7" s="335"/>
      <c r="AP7" s="335"/>
      <c r="AQ7" s="335"/>
      <c r="AR7" s="335"/>
      <c r="AS7" s="335"/>
      <c r="AT7" s="335"/>
      <c r="AU7" s="335"/>
      <c r="AV7" s="335"/>
      <c r="AW7" s="335"/>
      <c r="AX7" s="335"/>
      <c r="AY7" s="335"/>
      <c r="AZ7" s="335"/>
      <c r="BA7" s="335"/>
      <c r="BB7" s="335"/>
      <c r="BC7" s="335"/>
      <c r="BD7" s="335"/>
      <c r="BE7" s="335"/>
    </row>
    <row r="8" spans="1:116" ht="13.5" customHeight="1" x14ac:dyDescent="0.15">
      <c r="A8" s="292" t="s">
        <v>43</v>
      </c>
      <c r="B8" s="293"/>
      <c r="C8" s="293"/>
      <c r="D8" s="293"/>
      <c r="E8" s="293"/>
      <c r="F8" s="293"/>
      <c r="G8" s="347"/>
      <c r="H8" s="88"/>
      <c r="I8" s="88"/>
      <c r="J8" s="89"/>
      <c r="K8" s="96"/>
      <c r="L8" s="88"/>
      <c r="M8" s="89"/>
      <c r="N8" s="322" t="str">
        <f>IF(H8="-", "-", IF(K8="-", "-", IF(ABS(K8)=0, "-", ROUND(100*(H8-K8)/ABS(K8),10))))</f>
        <v>-</v>
      </c>
      <c r="O8" s="323"/>
      <c r="P8" s="324"/>
      <c r="Q8" s="546"/>
      <c r="R8" s="547"/>
      <c r="S8" s="547"/>
      <c r="T8" s="547"/>
      <c r="U8" s="547"/>
      <c r="V8" s="547"/>
      <c r="W8" s="322" t="str">
        <f>IF(Q8="-", "-", IF(T8="-", "-", IF(ABS(T8)=0, "-", ROUND(100*(Q8-T8)/ABS(T8),10))))</f>
        <v>-</v>
      </c>
      <c r="X8" s="323"/>
      <c r="Y8" s="324"/>
      <c r="Z8" s="336"/>
      <c r="AA8" s="336"/>
      <c r="AB8" s="336"/>
      <c r="AC8" s="336"/>
      <c r="AD8" s="336"/>
      <c r="AE8" s="336"/>
      <c r="AF8" s="336"/>
      <c r="AG8" s="336"/>
      <c r="AH8" s="336"/>
      <c r="AI8" s="336"/>
      <c r="AJ8" s="336"/>
      <c r="AK8" s="336"/>
      <c r="AL8" s="336"/>
      <c r="AM8" s="336"/>
      <c r="AN8" s="336"/>
      <c r="AO8" s="336"/>
      <c r="AP8" s="336"/>
      <c r="AQ8" s="336"/>
      <c r="AR8" s="336"/>
      <c r="AS8" s="336"/>
      <c r="AT8" s="336"/>
      <c r="AU8" s="336"/>
      <c r="AV8" s="336"/>
      <c r="AW8" s="336"/>
      <c r="AX8" s="336"/>
      <c r="AY8" s="336"/>
      <c r="AZ8" s="336"/>
      <c r="BA8" s="336"/>
      <c r="BB8" s="336"/>
      <c r="BC8" s="336"/>
      <c r="BD8" s="336"/>
      <c r="BE8" s="336"/>
    </row>
    <row r="9" spans="1:116" ht="13.5" customHeight="1" x14ac:dyDescent="0.15">
      <c r="P9" s="3"/>
      <c r="Q9" s="3"/>
      <c r="R9" s="3"/>
      <c r="BG9" s="4" t="s">
        <v>87</v>
      </c>
      <c r="CD9" s="78"/>
      <c r="CE9" s="78"/>
    </row>
    <row r="10" spans="1:116" ht="13.5" customHeight="1" x14ac:dyDescent="0.15">
      <c r="BG10" s="519"/>
      <c r="BH10" s="520"/>
      <c r="BI10" s="520"/>
      <c r="BJ10" s="520"/>
      <c r="BK10" s="520"/>
      <c r="BL10" s="520"/>
      <c r="BM10" s="521"/>
      <c r="BN10" s="555">
        <f>H6</f>
        <v>0</v>
      </c>
      <c r="BO10" s="556"/>
      <c r="BP10" s="556"/>
      <c r="BQ10" s="562">
        <f>K6</f>
        <v>-1</v>
      </c>
      <c r="BR10" s="562"/>
      <c r="BS10" s="562"/>
      <c r="BT10" s="560" t="s">
        <v>91</v>
      </c>
      <c r="BU10" s="560"/>
      <c r="BV10" s="561"/>
      <c r="BW10" s="480" t="s">
        <v>159</v>
      </c>
      <c r="BX10" s="481"/>
      <c r="BY10" s="481"/>
      <c r="BZ10" s="481"/>
      <c r="CA10" s="481"/>
      <c r="CB10" s="481"/>
      <c r="CC10" s="481"/>
      <c r="CD10" s="481"/>
      <c r="CE10" s="481"/>
      <c r="CF10" s="481"/>
      <c r="CG10" s="481"/>
      <c r="CH10" s="481"/>
      <c r="CI10" s="481"/>
      <c r="CJ10" s="481"/>
      <c r="CK10" s="481"/>
      <c r="CL10" s="481"/>
      <c r="CM10" s="481"/>
      <c r="CN10" s="481"/>
      <c r="CO10" s="481"/>
      <c r="CP10" s="481"/>
      <c r="CQ10" s="481"/>
      <c r="CR10" s="481"/>
      <c r="CS10" s="481"/>
      <c r="CT10" s="481"/>
      <c r="CU10" s="481"/>
      <c r="CV10" s="481"/>
      <c r="CW10" s="481"/>
      <c r="CX10" s="481"/>
      <c r="CY10" s="481"/>
      <c r="CZ10" s="481"/>
      <c r="DA10" s="481"/>
      <c r="DB10" s="481"/>
      <c r="DC10" s="481"/>
      <c r="DD10" s="481"/>
      <c r="DE10" s="481"/>
      <c r="DF10" s="481"/>
      <c r="DG10" s="481"/>
      <c r="DH10" s="481"/>
      <c r="DI10" s="481"/>
      <c r="DJ10" s="481"/>
      <c r="DK10" s="481"/>
      <c r="DL10" s="482"/>
    </row>
    <row r="11" spans="1:116" ht="13.5" customHeight="1" x14ac:dyDescent="0.15">
      <c r="Q11" s="36"/>
      <c r="R11" s="36"/>
      <c r="S11" s="36"/>
      <c r="T11" s="36"/>
      <c r="U11" s="36"/>
      <c r="V11" s="36"/>
      <c r="W11" s="36"/>
      <c r="X11" s="36"/>
      <c r="Y11" s="36"/>
      <c r="BG11" s="299" t="s">
        <v>101</v>
      </c>
      <c r="BH11" s="300"/>
      <c r="BI11" s="300"/>
      <c r="BJ11" s="300"/>
      <c r="BK11" s="300"/>
      <c r="BL11" s="300"/>
      <c r="BM11" s="16" t="s">
        <v>93</v>
      </c>
      <c r="BN11" s="192"/>
      <c r="BO11" s="442"/>
      <c r="BP11" s="442"/>
      <c r="BQ11" s="442"/>
      <c r="BR11" s="442"/>
      <c r="BS11" s="442"/>
      <c r="BT11" s="283" t="str">
        <f>IF(BN11="-", "-", IF(BQ11="-", "-", IF(ABS(BQ11)=0, "-", ROUND(100*(BN11-BQ11)/ABS(BQ11),10))))</f>
        <v>-</v>
      </c>
      <c r="BU11" s="284"/>
      <c r="BV11" s="285"/>
      <c r="BW11" s="483"/>
      <c r="BX11" s="484"/>
      <c r="BY11" s="484"/>
      <c r="BZ11" s="484"/>
      <c r="CA11" s="484"/>
      <c r="CB11" s="484"/>
      <c r="CC11" s="484"/>
      <c r="CD11" s="484"/>
      <c r="CE11" s="484"/>
      <c r="CF11" s="484"/>
      <c r="CG11" s="484"/>
      <c r="CH11" s="484"/>
      <c r="CI11" s="484"/>
      <c r="CJ11" s="484"/>
      <c r="CK11" s="484"/>
      <c r="CL11" s="484"/>
      <c r="CM11" s="484"/>
      <c r="CN11" s="484"/>
      <c r="CO11" s="484"/>
      <c r="CP11" s="484"/>
      <c r="CQ11" s="484"/>
      <c r="CR11" s="484"/>
      <c r="CS11" s="484"/>
      <c r="CT11" s="484"/>
      <c r="CU11" s="484"/>
      <c r="CV11" s="484"/>
      <c r="CW11" s="484"/>
      <c r="CX11" s="484"/>
      <c r="CY11" s="484"/>
      <c r="CZ11" s="484"/>
      <c r="DA11" s="484"/>
      <c r="DB11" s="484"/>
      <c r="DC11" s="484"/>
      <c r="DD11" s="484"/>
      <c r="DE11" s="484"/>
      <c r="DF11" s="484"/>
      <c r="DG11" s="484"/>
      <c r="DH11" s="484"/>
      <c r="DI11" s="484"/>
      <c r="DJ11" s="484"/>
      <c r="DK11" s="484"/>
      <c r="DL11" s="485"/>
    </row>
    <row r="12" spans="1:116" ht="13.5" customHeight="1" x14ac:dyDescent="0.15">
      <c r="Q12" s="27"/>
      <c r="R12" s="27"/>
      <c r="S12" s="27"/>
      <c r="T12" s="28"/>
      <c r="U12" s="28"/>
      <c r="V12" s="28"/>
      <c r="W12" s="31"/>
      <c r="X12" s="31"/>
      <c r="Y12" s="31"/>
      <c r="BG12" s="292" t="s">
        <v>102</v>
      </c>
      <c r="BH12" s="293"/>
      <c r="BI12" s="293"/>
      <c r="BJ12" s="293"/>
      <c r="BK12" s="293"/>
      <c r="BL12" s="293"/>
      <c r="BM12" s="23" t="s">
        <v>93</v>
      </c>
      <c r="BN12" s="89"/>
      <c r="BO12" s="295"/>
      <c r="BP12" s="295"/>
      <c r="BQ12" s="295"/>
      <c r="BR12" s="295"/>
      <c r="BS12" s="295"/>
      <c r="BT12" s="322" t="str">
        <f>IF(BN12="-", "-", IF(BQ12="-", "-", IF(ABS(BQ12)=0, "-", ROUND(100*(BN12-BQ12)/ABS(BQ12),10))))</f>
        <v>-</v>
      </c>
      <c r="BU12" s="323"/>
      <c r="BV12" s="324"/>
      <c r="BW12" s="477"/>
      <c r="BX12" s="478"/>
      <c r="BY12" s="478"/>
      <c r="BZ12" s="478"/>
      <c r="CA12" s="478"/>
      <c r="CB12" s="478"/>
      <c r="CC12" s="478"/>
      <c r="CD12" s="478"/>
      <c r="CE12" s="478"/>
      <c r="CF12" s="478"/>
      <c r="CG12" s="478"/>
      <c r="CH12" s="478"/>
      <c r="CI12" s="478"/>
      <c r="CJ12" s="478"/>
      <c r="CK12" s="478"/>
      <c r="CL12" s="478"/>
      <c r="CM12" s="478"/>
      <c r="CN12" s="478"/>
      <c r="CO12" s="478"/>
      <c r="CP12" s="478"/>
      <c r="CQ12" s="478"/>
      <c r="CR12" s="478"/>
      <c r="CS12" s="478"/>
      <c r="CT12" s="478"/>
      <c r="CU12" s="478"/>
      <c r="CV12" s="478"/>
      <c r="CW12" s="478"/>
      <c r="CX12" s="478"/>
      <c r="CY12" s="478"/>
      <c r="CZ12" s="478"/>
      <c r="DA12" s="478"/>
      <c r="DB12" s="478"/>
      <c r="DC12" s="478"/>
      <c r="DD12" s="478"/>
      <c r="DE12" s="478"/>
      <c r="DF12" s="478"/>
      <c r="DG12" s="478"/>
      <c r="DH12" s="478"/>
      <c r="DI12" s="478"/>
      <c r="DJ12" s="478"/>
      <c r="DK12" s="478"/>
      <c r="DL12" s="479"/>
    </row>
    <row r="13" spans="1:116" ht="13.5" customHeight="1" x14ac:dyDescent="0.15">
      <c r="Q13" s="45"/>
      <c r="R13" s="46"/>
      <c r="S13" s="46"/>
      <c r="T13" s="45"/>
      <c r="U13" s="46"/>
      <c r="V13" s="46"/>
      <c r="W13" s="54"/>
      <c r="X13" s="54"/>
      <c r="Y13" s="54"/>
      <c r="BW13" s="51"/>
      <c r="BX13" s="52"/>
      <c r="BY13" s="52"/>
      <c r="BZ13" s="51"/>
      <c r="CA13" s="52"/>
      <c r="CB13" s="52"/>
      <c r="CC13" s="53"/>
      <c r="CD13" s="53"/>
      <c r="CE13" s="53"/>
    </row>
    <row r="14" spans="1:116" ht="13.5" customHeight="1" x14ac:dyDescent="0.15">
      <c r="A14" s="4" t="s">
        <v>86</v>
      </c>
      <c r="X14" s="3"/>
      <c r="Y14" s="3"/>
      <c r="BG14" s="4" t="s">
        <v>158</v>
      </c>
      <c r="BH14" s="50"/>
      <c r="BI14" s="50"/>
      <c r="BJ14" s="50"/>
      <c r="BK14" s="50"/>
      <c r="BL14" s="50"/>
      <c r="BM14" s="50"/>
      <c r="BN14" s="50"/>
      <c r="BO14" s="5"/>
      <c r="BP14" s="5"/>
      <c r="BQ14" s="5"/>
      <c r="BR14" s="5"/>
      <c r="BS14" s="5"/>
      <c r="BT14" s="5"/>
      <c r="BU14" s="5"/>
    </row>
    <row r="15" spans="1:116" ht="13.5" customHeight="1" x14ac:dyDescent="0.15">
      <c r="A15" s="273"/>
      <c r="B15" s="274"/>
      <c r="C15" s="274"/>
      <c r="D15" s="274"/>
      <c r="E15" s="274"/>
      <c r="F15" s="274"/>
      <c r="G15" s="308"/>
      <c r="H15" s="548" t="s">
        <v>40</v>
      </c>
      <c r="I15" s="548"/>
      <c r="J15" s="548"/>
      <c r="K15" s="548"/>
      <c r="L15" s="548"/>
      <c r="M15" s="548"/>
      <c r="N15" s="548"/>
      <c r="O15" s="548"/>
      <c r="P15" s="549"/>
      <c r="Q15" s="550" t="s">
        <v>39</v>
      </c>
      <c r="R15" s="548"/>
      <c r="S15" s="548"/>
      <c r="T15" s="548"/>
      <c r="U15" s="548"/>
      <c r="V15" s="548"/>
      <c r="W15" s="548"/>
      <c r="X15" s="548"/>
      <c r="Y15" s="549"/>
      <c r="Z15" s="250" t="s">
        <v>159</v>
      </c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  <c r="AZ15" s="250"/>
      <c r="BA15" s="250"/>
      <c r="BB15" s="250"/>
      <c r="BC15" s="250"/>
      <c r="BD15" s="250"/>
      <c r="BE15" s="250"/>
      <c r="BG15" s="273"/>
      <c r="BH15" s="274"/>
      <c r="BI15" s="274"/>
      <c r="BJ15" s="274"/>
      <c r="BK15" s="274"/>
      <c r="BL15" s="274"/>
      <c r="BM15" s="308"/>
      <c r="BN15" s="548" t="s">
        <v>48</v>
      </c>
      <c r="BO15" s="548"/>
      <c r="BP15" s="548"/>
      <c r="BQ15" s="548"/>
      <c r="BR15" s="548"/>
      <c r="BS15" s="548"/>
      <c r="BT15" s="548"/>
      <c r="BU15" s="548"/>
      <c r="BV15" s="549"/>
      <c r="BW15" s="550" t="s">
        <v>49</v>
      </c>
      <c r="BX15" s="548"/>
      <c r="BY15" s="548"/>
      <c r="BZ15" s="548"/>
      <c r="CA15" s="548"/>
      <c r="CB15" s="548"/>
      <c r="CC15" s="548"/>
      <c r="CD15" s="548"/>
      <c r="CE15" s="549"/>
      <c r="CF15" s="250" t="s">
        <v>159</v>
      </c>
      <c r="CG15" s="250"/>
      <c r="CH15" s="250"/>
      <c r="CI15" s="250"/>
      <c r="CJ15" s="250"/>
      <c r="CK15" s="250"/>
      <c r="CL15" s="250"/>
      <c r="CM15" s="250"/>
      <c r="CN15" s="250"/>
      <c r="CO15" s="250"/>
      <c r="CP15" s="250"/>
      <c r="CQ15" s="250"/>
      <c r="CR15" s="250"/>
      <c r="CS15" s="250"/>
      <c r="CT15" s="250"/>
      <c r="CU15" s="250"/>
      <c r="CV15" s="250"/>
      <c r="CW15" s="250"/>
      <c r="CX15" s="250"/>
      <c r="CY15" s="250"/>
      <c r="CZ15" s="250"/>
      <c r="DA15" s="250"/>
      <c r="DB15" s="250"/>
      <c r="DC15" s="250"/>
      <c r="DD15" s="250"/>
      <c r="DE15" s="250"/>
      <c r="DF15" s="250"/>
      <c r="DG15" s="250"/>
      <c r="DH15" s="250"/>
      <c r="DI15" s="250"/>
      <c r="DJ15" s="250"/>
      <c r="DK15" s="250"/>
      <c r="DL15" s="250"/>
    </row>
    <row r="16" spans="1:116" ht="13.5" customHeight="1" x14ac:dyDescent="0.15">
      <c r="A16" s="309"/>
      <c r="B16" s="310"/>
      <c r="C16" s="310"/>
      <c r="D16" s="310"/>
      <c r="E16" s="310"/>
      <c r="F16" s="310"/>
      <c r="G16" s="311"/>
      <c r="H16" s="551">
        <f>H6</f>
        <v>0</v>
      </c>
      <c r="I16" s="551"/>
      <c r="J16" s="433"/>
      <c r="K16" s="552">
        <f>K6</f>
        <v>-1</v>
      </c>
      <c r="L16" s="553"/>
      <c r="M16" s="554"/>
      <c r="N16" s="436" t="s">
        <v>41</v>
      </c>
      <c r="O16" s="436"/>
      <c r="P16" s="437"/>
      <c r="Q16" s="456">
        <f>H6</f>
        <v>0</v>
      </c>
      <c r="R16" s="434"/>
      <c r="S16" s="434"/>
      <c r="T16" s="435">
        <f>K6</f>
        <v>-1</v>
      </c>
      <c r="U16" s="435"/>
      <c r="V16" s="435"/>
      <c r="W16" s="436" t="s">
        <v>41</v>
      </c>
      <c r="X16" s="436"/>
      <c r="Y16" s="437"/>
      <c r="Z16" s="250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0"/>
      <c r="AU16" s="250"/>
      <c r="AV16" s="250"/>
      <c r="AW16" s="250"/>
      <c r="AX16" s="250"/>
      <c r="AY16" s="250"/>
      <c r="AZ16" s="250"/>
      <c r="BA16" s="250"/>
      <c r="BB16" s="250"/>
      <c r="BC16" s="250"/>
      <c r="BD16" s="250"/>
      <c r="BE16" s="250"/>
      <c r="BG16" s="309"/>
      <c r="BH16" s="310"/>
      <c r="BI16" s="310"/>
      <c r="BJ16" s="310"/>
      <c r="BK16" s="310"/>
      <c r="BL16" s="310"/>
      <c r="BM16" s="311"/>
      <c r="BN16" s="433">
        <f>H6</f>
        <v>0</v>
      </c>
      <c r="BO16" s="434"/>
      <c r="BP16" s="434"/>
      <c r="BQ16" s="435">
        <f>K6</f>
        <v>-1</v>
      </c>
      <c r="BR16" s="435"/>
      <c r="BS16" s="435"/>
      <c r="BT16" s="557" t="s">
        <v>2</v>
      </c>
      <c r="BU16" s="558"/>
      <c r="BV16" s="559"/>
      <c r="BW16" s="456">
        <f>H6</f>
        <v>0</v>
      </c>
      <c r="BX16" s="434"/>
      <c r="BY16" s="434"/>
      <c r="BZ16" s="435">
        <f>K6</f>
        <v>-1</v>
      </c>
      <c r="CA16" s="435"/>
      <c r="CB16" s="435"/>
      <c r="CC16" s="557" t="s">
        <v>2</v>
      </c>
      <c r="CD16" s="558"/>
      <c r="CE16" s="559"/>
      <c r="CF16" s="250"/>
      <c r="CG16" s="250"/>
      <c r="CH16" s="250"/>
      <c r="CI16" s="250"/>
      <c r="CJ16" s="250"/>
      <c r="CK16" s="250"/>
      <c r="CL16" s="250"/>
      <c r="CM16" s="250"/>
      <c r="CN16" s="250"/>
      <c r="CO16" s="250"/>
      <c r="CP16" s="250"/>
      <c r="CQ16" s="250"/>
      <c r="CR16" s="250"/>
      <c r="CS16" s="250"/>
      <c r="CT16" s="250"/>
      <c r="CU16" s="250"/>
      <c r="CV16" s="250"/>
      <c r="CW16" s="250"/>
      <c r="CX16" s="250"/>
      <c r="CY16" s="250"/>
      <c r="CZ16" s="250"/>
      <c r="DA16" s="250"/>
      <c r="DB16" s="250"/>
      <c r="DC16" s="250"/>
      <c r="DD16" s="250"/>
      <c r="DE16" s="250"/>
      <c r="DF16" s="250"/>
      <c r="DG16" s="250"/>
      <c r="DH16" s="250"/>
      <c r="DI16" s="250"/>
      <c r="DJ16" s="250"/>
      <c r="DK16" s="250"/>
      <c r="DL16" s="250"/>
    </row>
    <row r="17" spans="1:116" ht="13.5" customHeight="1" x14ac:dyDescent="0.15">
      <c r="A17" s="416" t="s">
        <v>44</v>
      </c>
      <c r="B17" s="417"/>
      <c r="C17" s="417"/>
      <c r="D17" s="417"/>
      <c r="E17" s="417"/>
      <c r="F17" s="417"/>
      <c r="G17" s="418"/>
      <c r="H17" s="326"/>
      <c r="I17" s="326"/>
      <c r="J17" s="327"/>
      <c r="K17" s="328"/>
      <c r="L17" s="326"/>
      <c r="M17" s="327"/>
      <c r="N17" s="283" t="str">
        <f t="shared" ref="N17:N29" si="0">IF(H17="-", "-", IF(K17="-", "-", IF(ABS(K17)=0, "-", ROUND(100*(H17-K17)/ABS(K17),10))))</f>
        <v>-</v>
      </c>
      <c r="O17" s="284"/>
      <c r="P17" s="285"/>
      <c r="Q17" s="539"/>
      <c r="R17" s="540"/>
      <c r="S17" s="540"/>
      <c r="T17" s="541"/>
      <c r="U17" s="540"/>
      <c r="V17" s="540"/>
      <c r="W17" s="565"/>
      <c r="X17" s="565"/>
      <c r="Y17" s="566"/>
      <c r="Z17" s="462"/>
      <c r="AA17" s="462"/>
      <c r="AB17" s="462"/>
      <c r="AC17" s="462"/>
      <c r="AD17" s="462"/>
      <c r="AE17" s="462"/>
      <c r="AF17" s="462"/>
      <c r="AG17" s="462"/>
      <c r="AH17" s="462"/>
      <c r="AI17" s="462"/>
      <c r="AJ17" s="462"/>
      <c r="AK17" s="462"/>
      <c r="AL17" s="462"/>
      <c r="AM17" s="462"/>
      <c r="AN17" s="462"/>
      <c r="AO17" s="462"/>
      <c r="AP17" s="462"/>
      <c r="AQ17" s="462"/>
      <c r="AR17" s="462"/>
      <c r="AS17" s="462"/>
      <c r="AT17" s="462"/>
      <c r="AU17" s="462"/>
      <c r="AV17" s="462"/>
      <c r="AW17" s="462"/>
      <c r="AX17" s="462"/>
      <c r="AY17" s="462"/>
      <c r="AZ17" s="462"/>
      <c r="BA17" s="462"/>
      <c r="BB17" s="462"/>
      <c r="BC17" s="462"/>
      <c r="BD17" s="462"/>
      <c r="BE17" s="462"/>
      <c r="BG17" s="563" t="s">
        <v>51</v>
      </c>
      <c r="BH17" s="567" t="s">
        <v>52</v>
      </c>
      <c r="BI17" s="440"/>
      <c r="BJ17" s="440"/>
      <c r="BK17" s="440"/>
      <c r="BL17" s="440"/>
      <c r="BM17" s="441"/>
      <c r="BN17" s="249"/>
      <c r="BO17" s="201"/>
      <c r="BP17" s="201"/>
      <c r="BQ17" s="200"/>
      <c r="BR17" s="201"/>
      <c r="BS17" s="248"/>
      <c r="BT17" s="283" t="str">
        <f t="shared" ref="BT17:BT26" si="1">IF(BN17="-", "-", IF(BQ17="-", "-", IF(ABS(BQ17)=0, "-", ROUND(100*(BN17-BQ17)/ABS(BQ17),10))))</f>
        <v>-</v>
      </c>
      <c r="BU17" s="284"/>
      <c r="BV17" s="285"/>
      <c r="BW17" s="574"/>
      <c r="BX17" s="442"/>
      <c r="BY17" s="442"/>
      <c r="BZ17" s="442"/>
      <c r="CA17" s="442"/>
      <c r="CB17" s="442"/>
      <c r="CC17" s="283" t="str">
        <f>IF(BW17="-", "-", IF(BZ17="-", "-", IF(ABS(BZ17)=0, "-", ROUND(100*(BW17-BZ17)/ABS(BZ17),10))))</f>
        <v>-</v>
      </c>
      <c r="CD17" s="284"/>
      <c r="CE17" s="285"/>
      <c r="CF17" s="462"/>
      <c r="CG17" s="462"/>
      <c r="CH17" s="462"/>
      <c r="CI17" s="462"/>
      <c r="CJ17" s="462"/>
      <c r="CK17" s="462"/>
      <c r="CL17" s="462"/>
      <c r="CM17" s="462"/>
      <c r="CN17" s="462"/>
      <c r="CO17" s="462"/>
      <c r="CP17" s="462"/>
      <c r="CQ17" s="462"/>
      <c r="CR17" s="462"/>
      <c r="CS17" s="462"/>
      <c r="CT17" s="462"/>
      <c r="CU17" s="462"/>
      <c r="CV17" s="462"/>
      <c r="CW17" s="462"/>
      <c r="CX17" s="462"/>
      <c r="CY17" s="462"/>
      <c r="CZ17" s="462"/>
      <c r="DA17" s="462"/>
      <c r="DB17" s="462"/>
      <c r="DC17" s="462"/>
      <c r="DD17" s="462"/>
      <c r="DE17" s="462"/>
      <c r="DF17" s="462"/>
      <c r="DG17" s="462"/>
      <c r="DH17" s="462"/>
      <c r="DI17" s="462"/>
      <c r="DJ17" s="462"/>
      <c r="DK17" s="462"/>
      <c r="DL17" s="462"/>
    </row>
    <row r="18" spans="1:116" ht="13.5" customHeight="1" x14ac:dyDescent="0.15">
      <c r="A18" s="22"/>
      <c r="B18" s="124" t="s">
        <v>45</v>
      </c>
      <c r="C18" s="125"/>
      <c r="D18" s="125"/>
      <c r="E18" s="125"/>
      <c r="F18" s="125"/>
      <c r="G18" s="321"/>
      <c r="H18" s="332"/>
      <c r="I18" s="332"/>
      <c r="J18" s="333"/>
      <c r="K18" s="334"/>
      <c r="L18" s="332"/>
      <c r="M18" s="333"/>
      <c r="N18" s="316" t="str">
        <f t="shared" si="0"/>
        <v>-</v>
      </c>
      <c r="O18" s="317"/>
      <c r="P18" s="318"/>
      <c r="Q18" s="225"/>
      <c r="R18" s="223"/>
      <c r="S18" s="224"/>
      <c r="T18" s="226"/>
      <c r="U18" s="223"/>
      <c r="V18" s="224"/>
      <c r="W18" s="316" t="str">
        <f t="shared" ref="W18:W19" si="2">IF(Q18="-", "-", IF(T18="-", "-", IF(ABS(T18)=0, "-", ROUND(100*(Q18-T18)/ABS(T18),10))))</f>
        <v>-</v>
      </c>
      <c r="X18" s="317"/>
      <c r="Y18" s="318"/>
      <c r="Z18" s="462"/>
      <c r="AA18" s="462"/>
      <c r="AB18" s="462"/>
      <c r="AC18" s="462"/>
      <c r="AD18" s="462"/>
      <c r="AE18" s="462"/>
      <c r="AF18" s="462"/>
      <c r="AG18" s="462"/>
      <c r="AH18" s="462"/>
      <c r="AI18" s="462"/>
      <c r="AJ18" s="462"/>
      <c r="AK18" s="462"/>
      <c r="AL18" s="462"/>
      <c r="AM18" s="462"/>
      <c r="AN18" s="462"/>
      <c r="AO18" s="462"/>
      <c r="AP18" s="462"/>
      <c r="AQ18" s="462"/>
      <c r="AR18" s="462"/>
      <c r="AS18" s="462"/>
      <c r="AT18" s="462"/>
      <c r="AU18" s="462"/>
      <c r="AV18" s="462"/>
      <c r="AW18" s="462"/>
      <c r="AX18" s="462"/>
      <c r="AY18" s="462"/>
      <c r="AZ18" s="462"/>
      <c r="BA18" s="462"/>
      <c r="BB18" s="462"/>
      <c r="BC18" s="462"/>
      <c r="BD18" s="462"/>
      <c r="BE18" s="462"/>
      <c r="BG18" s="563"/>
      <c r="BH18" s="124" t="s">
        <v>154</v>
      </c>
      <c r="BI18" s="125"/>
      <c r="BJ18" s="125"/>
      <c r="BK18" s="125"/>
      <c r="BL18" s="125"/>
      <c r="BM18" s="321"/>
      <c r="BN18" s="190"/>
      <c r="BO18" s="176"/>
      <c r="BP18" s="176"/>
      <c r="BQ18" s="175"/>
      <c r="BR18" s="176"/>
      <c r="BS18" s="189"/>
      <c r="BT18" s="316" t="str">
        <f t="shared" si="1"/>
        <v>-</v>
      </c>
      <c r="BU18" s="317"/>
      <c r="BV18" s="318"/>
      <c r="BW18" s="575"/>
      <c r="BX18" s="438"/>
      <c r="BY18" s="438"/>
      <c r="BZ18" s="438"/>
      <c r="CA18" s="438"/>
      <c r="CB18" s="438"/>
      <c r="CC18" s="316" t="str">
        <f t="shared" ref="CC18:CC26" si="3">IF(BW18="-", "-", IF(BZ18="-", "-", IF(ABS(BZ18)=0, "-", ROUND(100*(BW18-BZ18)/ABS(BZ18),10))))</f>
        <v>-</v>
      </c>
      <c r="CD18" s="317"/>
      <c r="CE18" s="318"/>
      <c r="CF18" s="462"/>
      <c r="CG18" s="462"/>
      <c r="CH18" s="462"/>
      <c r="CI18" s="462"/>
      <c r="CJ18" s="462"/>
      <c r="CK18" s="462"/>
      <c r="CL18" s="462"/>
      <c r="CM18" s="462"/>
      <c r="CN18" s="462"/>
      <c r="CO18" s="462"/>
      <c r="CP18" s="462"/>
      <c r="CQ18" s="462"/>
      <c r="CR18" s="462"/>
      <c r="CS18" s="462"/>
      <c r="CT18" s="462"/>
      <c r="CU18" s="462"/>
      <c r="CV18" s="462"/>
      <c r="CW18" s="462"/>
      <c r="CX18" s="462"/>
      <c r="CY18" s="462"/>
      <c r="CZ18" s="462"/>
      <c r="DA18" s="462"/>
      <c r="DB18" s="462"/>
      <c r="DC18" s="462"/>
      <c r="DD18" s="462"/>
      <c r="DE18" s="462"/>
      <c r="DF18" s="462"/>
      <c r="DG18" s="462"/>
      <c r="DH18" s="462"/>
      <c r="DI18" s="462"/>
      <c r="DJ18" s="462"/>
      <c r="DK18" s="462"/>
      <c r="DL18" s="462"/>
    </row>
    <row r="19" spans="1:116" ht="13.5" customHeight="1" x14ac:dyDescent="0.15">
      <c r="A19" s="22"/>
      <c r="B19" s="124" t="s">
        <v>80</v>
      </c>
      <c r="C19" s="125"/>
      <c r="D19" s="125"/>
      <c r="E19" s="125"/>
      <c r="F19" s="125"/>
      <c r="G19" s="321"/>
      <c r="H19" s="332"/>
      <c r="I19" s="332"/>
      <c r="J19" s="333"/>
      <c r="K19" s="334"/>
      <c r="L19" s="332"/>
      <c r="M19" s="333"/>
      <c r="N19" s="316" t="str">
        <f t="shared" si="0"/>
        <v>-</v>
      </c>
      <c r="O19" s="317"/>
      <c r="P19" s="318"/>
      <c r="Q19" s="225"/>
      <c r="R19" s="223"/>
      <c r="S19" s="224"/>
      <c r="T19" s="226"/>
      <c r="U19" s="223"/>
      <c r="V19" s="224"/>
      <c r="W19" s="316" t="str">
        <f t="shared" si="2"/>
        <v>-</v>
      </c>
      <c r="X19" s="317"/>
      <c r="Y19" s="318"/>
      <c r="Z19" s="462"/>
      <c r="AA19" s="462"/>
      <c r="AB19" s="462"/>
      <c r="AC19" s="462"/>
      <c r="AD19" s="462"/>
      <c r="AE19" s="462"/>
      <c r="AF19" s="462"/>
      <c r="AG19" s="462"/>
      <c r="AH19" s="462"/>
      <c r="AI19" s="462"/>
      <c r="AJ19" s="462"/>
      <c r="AK19" s="462"/>
      <c r="AL19" s="462"/>
      <c r="AM19" s="462"/>
      <c r="AN19" s="462"/>
      <c r="AO19" s="462"/>
      <c r="AP19" s="462"/>
      <c r="AQ19" s="462"/>
      <c r="AR19" s="462"/>
      <c r="AS19" s="462"/>
      <c r="AT19" s="462"/>
      <c r="AU19" s="462"/>
      <c r="AV19" s="462"/>
      <c r="AW19" s="462"/>
      <c r="AX19" s="462"/>
      <c r="AY19" s="462"/>
      <c r="AZ19" s="462"/>
      <c r="BA19" s="462"/>
      <c r="BB19" s="462"/>
      <c r="BC19" s="462"/>
      <c r="BD19" s="462"/>
      <c r="BE19" s="462"/>
      <c r="BG19" s="563"/>
      <c r="BH19" s="124" t="s">
        <v>155</v>
      </c>
      <c r="BI19" s="125"/>
      <c r="BJ19" s="125"/>
      <c r="BK19" s="125"/>
      <c r="BL19" s="125"/>
      <c r="BM19" s="321"/>
      <c r="BN19" s="190"/>
      <c r="BO19" s="176"/>
      <c r="BP19" s="176"/>
      <c r="BQ19" s="175"/>
      <c r="BR19" s="176"/>
      <c r="BS19" s="189"/>
      <c r="BT19" s="316" t="str">
        <f t="shared" si="1"/>
        <v>-</v>
      </c>
      <c r="BU19" s="317"/>
      <c r="BV19" s="318"/>
      <c r="BW19" s="575"/>
      <c r="BX19" s="438"/>
      <c r="BY19" s="438"/>
      <c r="BZ19" s="438"/>
      <c r="CA19" s="438"/>
      <c r="CB19" s="438"/>
      <c r="CC19" s="316" t="str">
        <f t="shared" si="3"/>
        <v>-</v>
      </c>
      <c r="CD19" s="317"/>
      <c r="CE19" s="318"/>
      <c r="CF19" s="462"/>
      <c r="CG19" s="462"/>
      <c r="CH19" s="462"/>
      <c r="CI19" s="462"/>
      <c r="CJ19" s="462"/>
      <c r="CK19" s="462"/>
      <c r="CL19" s="462"/>
      <c r="CM19" s="462"/>
      <c r="CN19" s="462"/>
      <c r="CO19" s="462"/>
      <c r="CP19" s="462"/>
      <c r="CQ19" s="462"/>
      <c r="CR19" s="462"/>
      <c r="CS19" s="462"/>
      <c r="CT19" s="462"/>
      <c r="CU19" s="462"/>
      <c r="CV19" s="462"/>
      <c r="CW19" s="462"/>
      <c r="CX19" s="462"/>
      <c r="CY19" s="462"/>
      <c r="CZ19" s="462"/>
      <c r="DA19" s="462"/>
      <c r="DB19" s="462"/>
      <c r="DC19" s="462"/>
      <c r="DD19" s="462"/>
      <c r="DE19" s="462"/>
      <c r="DF19" s="462"/>
      <c r="DG19" s="462"/>
      <c r="DH19" s="462"/>
      <c r="DI19" s="462"/>
      <c r="DJ19" s="462"/>
      <c r="DK19" s="462"/>
      <c r="DL19" s="462"/>
    </row>
    <row r="20" spans="1:116" ht="13.5" customHeight="1" x14ac:dyDescent="0.15">
      <c r="A20" s="325" t="s">
        <v>81</v>
      </c>
      <c r="B20" s="125"/>
      <c r="C20" s="125"/>
      <c r="D20" s="125"/>
      <c r="E20" s="125"/>
      <c r="F20" s="125"/>
      <c r="G20" s="321"/>
      <c r="H20" s="332"/>
      <c r="I20" s="332"/>
      <c r="J20" s="333"/>
      <c r="K20" s="334"/>
      <c r="L20" s="332"/>
      <c r="M20" s="333"/>
      <c r="N20" s="316" t="str">
        <f t="shared" si="0"/>
        <v>-</v>
      </c>
      <c r="O20" s="317"/>
      <c r="P20" s="318"/>
      <c r="Q20" s="542"/>
      <c r="R20" s="543"/>
      <c r="S20" s="543"/>
      <c r="T20" s="543"/>
      <c r="U20" s="543"/>
      <c r="V20" s="543"/>
      <c r="W20" s="568"/>
      <c r="X20" s="569"/>
      <c r="Y20" s="570"/>
      <c r="Z20" s="462"/>
      <c r="AA20" s="462"/>
      <c r="AB20" s="462"/>
      <c r="AC20" s="462"/>
      <c r="AD20" s="462"/>
      <c r="AE20" s="462"/>
      <c r="AF20" s="462"/>
      <c r="AG20" s="462"/>
      <c r="AH20" s="462"/>
      <c r="AI20" s="462"/>
      <c r="AJ20" s="462"/>
      <c r="AK20" s="462"/>
      <c r="AL20" s="462"/>
      <c r="AM20" s="462"/>
      <c r="AN20" s="462"/>
      <c r="AO20" s="462"/>
      <c r="AP20" s="462"/>
      <c r="AQ20" s="462"/>
      <c r="AR20" s="462"/>
      <c r="AS20" s="462"/>
      <c r="AT20" s="462"/>
      <c r="AU20" s="462"/>
      <c r="AV20" s="462"/>
      <c r="AW20" s="462"/>
      <c r="AX20" s="462"/>
      <c r="AY20" s="462"/>
      <c r="AZ20" s="462"/>
      <c r="BA20" s="462"/>
      <c r="BB20" s="462"/>
      <c r="BC20" s="462"/>
      <c r="BD20" s="462"/>
      <c r="BE20" s="462"/>
      <c r="BG20" s="563"/>
      <c r="BH20" s="124" t="s">
        <v>56</v>
      </c>
      <c r="BI20" s="125"/>
      <c r="BJ20" s="125"/>
      <c r="BK20" s="125"/>
      <c r="BL20" s="125"/>
      <c r="BM20" s="321"/>
      <c r="BN20" s="190"/>
      <c r="BO20" s="176"/>
      <c r="BP20" s="176"/>
      <c r="BQ20" s="175"/>
      <c r="BR20" s="176"/>
      <c r="BS20" s="189"/>
      <c r="BT20" s="316" t="str">
        <f t="shared" si="1"/>
        <v>-</v>
      </c>
      <c r="BU20" s="317"/>
      <c r="BV20" s="318"/>
      <c r="BW20" s="575"/>
      <c r="BX20" s="438"/>
      <c r="BY20" s="438"/>
      <c r="BZ20" s="438"/>
      <c r="CA20" s="438"/>
      <c r="CB20" s="438"/>
      <c r="CC20" s="316" t="str">
        <f t="shared" si="3"/>
        <v>-</v>
      </c>
      <c r="CD20" s="317"/>
      <c r="CE20" s="318"/>
      <c r="CF20" s="462"/>
      <c r="CG20" s="462"/>
      <c r="CH20" s="462"/>
      <c r="CI20" s="462"/>
      <c r="CJ20" s="462"/>
      <c r="CK20" s="462"/>
      <c r="CL20" s="462"/>
      <c r="CM20" s="462"/>
      <c r="CN20" s="462"/>
      <c r="CO20" s="462"/>
      <c r="CP20" s="462"/>
      <c r="CQ20" s="462"/>
      <c r="CR20" s="462"/>
      <c r="CS20" s="462"/>
      <c r="CT20" s="462"/>
      <c r="CU20" s="462"/>
      <c r="CV20" s="462"/>
      <c r="CW20" s="462"/>
      <c r="CX20" s="462"/>
      <c r="CY20" s="462"/>
      <c r="CZ20" s="462"/>
      <c r="DA20" s="462"/>
      <c r="DB20" s="462"/>
      <c r="DC20" s="462"/>
      <c r="DD20" s="462"/>
      <c r="DE20" s="462"/>
      <c r="DF20" s="462"/>
      <c r="DG20" s="462"/>
      <c r="DH20" s="462"/>
      <c r="DI20" s="462"/>
      <c r="DJ20" s="462"/>
      <c r="DK20" s="462"/>
      <c r="DL20" s="462"/>
    </row>
    <row r="21" spans="1:116" ht="13.5" customHeight="1" x14ac:dyDescent="0.15">
      <c r="A21" s="325" t="s">
        <v>46</v>
      </c>
      <c r="B21" s="125"/>
      <c r="C21" s="125"/>
      <c r="D21" s="125"/>
      <c r="E21" s="125"/>
      <c r="F21" s="125"/>
      <c r="G21" s="321"/>
      <c r="H21" s="332"/>
      <c r="I21" s="332"/>
      <c r="J21" s="333"/>
      <c r="K21" s="334"/>
      <c r="L21" s="332"/>
      <c r="M21" s="333"/>
      <c r="N21" s="316" t="str">
        <f t="shared" si="0"/>
        <v>-</v>
      </c>
      <c r="O21" s="317"/>
      <c r="P21" s="318"/>
      <c r="Q21" s="542"/>
      <c r="R21" s="543"/>
      <c r="S21" s="543"/>
      <c r="T21" s="543"/>
      <c r="U21" s="543"/>
      <c r="V21" s="543"/>
      <c r="W21" s="568"/>
      <c r="X21" s="569"/>
      <c r="Y21" s="570"/>
      <c r="Z21" s="462"/>
      <c r="AA21" s="462"/>
      <c r="AB21" s="462"/>
      <c r="AC21" s="462"/>
      <c r="AD21" s="462"/>
      <c r="AE21" s="462"/>
      <c r="AF21" s="462"/>
      <c r="AG21" s="462"/>
      <c r="AH21" s="462"/>
      <c r="AI21" s="462"/>
      <c r="AJ21" s="462"/>
      <c r="AK21" s="462"/>
      <c r="AL21" s="462"/>
      <c r="AM21" s="462"/>
      <c r="AN21" s="462"/>
      <c r="AO21" s="462"/>
      <c r="AP21" s="462"/>
      <c r="AQ21" s="462"/>
      <c r="AR21" s="462"/>
      <c r="AS21" s="462"/>
      <c r="AT21" s="462"/>
      <c r="AU21" s="462"/>
      <c r="AV21" s="462"/>
      <c r="AW21" s="462"/>
      <c r="AX21" s="462"/>
      <c r="AY21" s="462"/>
      <c r="AZ21" s="462"/>
      <c r="BA21" s="462"/>
      <c r="BB21" s="462"/>
      <c r="BC21" s="462"/>
      <c r="BD21" s="462"/>
      <c r="BE21" s="462"/>
      <c r="BG21" s="564"/>
      <c r="BH21" s="346" t="s">
        <v>58</v>
      </c>
      <c r="BI21" s="293"/>
      <c r="BJ21" s="293"/>
      <c r="BK21" s="293"/>
      <c r="BL21" s="293"/>
      <c r="BM21" s="347"/>
      <c r="BN21" s="87"/>
      <c r="BO21" s="88"/>
      <c r="BP21" s="88"/>
      <c r="BQ21" s="96"/>
      <c r="BR21" s="88"/>
      <c r="BS21" s="89"/>
      <c r="BT21" s="322" t="str">
        <f t="shared" si="1"/>
        <v>-</v>
      </c>
      <c r="BU21" s="323"/>
      <c r="BV21" s="324"/>
      <c r="BW21" s="294"/>
      <c r="BX21" s="295"/>
      <c r="BY21" s="295"/>
      <c r="BZ21" s="295"/>
      <c r="CA21" s="295"/>
      <c r="CB21" s="295"/>
      <c r="CC21" s="322" t="str">
        <f t="shared" si="3"/>
        <v>-</v>
      </c>
      <c r="CD21" s="323"/>
      <c r="CE21" s="324"/>
      <c r="CF21" s="467"/>
      <c r="CG21" s="467"/>
      <c r="CH21" s="467"/>
      <c r="CI21" s="467"/>
      <c r="CJ21" s="467"/>
      <c r="CK21" s="467"/>
      <c r="CL21" s="467"/>
      <c r="CM21" s="467"/>
      <c r="CN21" s="467"/>
      <c r="CO21" s="467"/>
      <c r="CP21" s="467"/>
      <c r="CQ21" s="467"/>
      <c r="CR21" s="467"/>
      <c r="CS21" s="467"/>
      <c r="CT21" s="467"/>
      <c r="CU21" s="467"/>
      <c r="CV21" s="467"/>
      <c r="CW21" s="467"/>
      <c r="CX21" s="467"/>
      <c r="CY21" s="467"/>
      <c r="CZ21" s="467"/>
      <c r="DA21" s="467"/>
      <c r="DB21" s="467"/>
      <c r="DC21" s="467"/>
      <c r="DD21" s="467"/>
      <c r="DE21" s="467"/>
      <c r="DF21" s="467"/>
      <c r="DG21" s="467"/>
      <c r="DH21" s="467"/>
      <c r="DI21" s="467"/>
      <c r="DJ21" s="467"/>
      <c r="DK21" s="467"/>
      <c r="DL21" s="467"/>
    </row>
    <row r="22" spans="1:116" ht="13.5" customHeight="1" x14ac:dyDescent="0.15">
      <c r="A22" s="325" t="s">
        <v>47</v>
      </c>
      <c r="B22" s="125"/>
      <c r="C22" s="125"/>
      <c r="D22" s="125"/>
      <c r="E22" s="125"/>
      <c r="F22" s="125"/>
      <c r="G22" s="321"/>
      <c r="H22" s="332"/>
      <c r="I22" s="332"/>
      <c r="J22" s="333"/>
      <c r="K22" s="334"/>
      <c r="L22" s="332"/>
      <c r="M22" s="333"/>
      <c r="N22" s="316" t="str">
        <f t="shared" si="0"/>
        <v>-</v>
      </c>
      <c r="O22" s="317"/>
      <c r="P22" s="318"/>
      <c r="Q22" s="531"/>
      <c r="R22" s="532"/>
      <c r="S22" s="532"/>
      <c r="T22" s="532"/>
      <c r="U22" s="532"/>
      <c r="V22" s="532"/>
      <c r="W22" s="316" t="str">
        <f t="shared" ref="W22:W29" si="4">IF(Q22="-", "-", IF(T22="-", "-", IF(ABS(T22)=0, "-", ROUND(100*(Q22-T22)/ABS(T22),10))))</f>
        <v>-</v>
      </c>
      <c r="X22" s="317"/>
      <c r="Y22" s="318"/>
      <c r="Z22" s="462"/>
      <c r="AA22" s="462"/>
      <c r="AB22" s="462"/>
      <c r="AC22" s="462"/>
      <c r="AD22" s="462"/>
      <c r="AE22" s="462"/>
      <c r="AF22" s="462"/>
      <c r="AG22" s="462"/>
      <c r="AH22" s="462"/>
      <c r="AI22" s="462"/>
      <c r="AJ22" s="462"/>
      <c r="AK22" s="462"/>
      <c r="AL22" s="462"/>
      <c r="AM22" s="462"/>
      <c r="AN22" s="462"/>
      <c r="AO22" s="462"/>
      <c r="AP22" s="462"/>
      <c r="AQ22" s="462"/>
      <c r="AR22" s="462"/>
      <c r="AS22" s="462"/>
      <c r="AT22" s="462"/>
      <c r="AU22" s="462"/>
      <c r="AV22" s="462"/>
      <c r="AW22" s="462"/>
      <c r="AX22" s="462"/>
      <c r="AY22" s="462"/>
      <c r="AZ22" s="462"/>
      <c r="BA22" s="462"/>
      <c r="BB22" s="462"/>
      <c r="BC22" s="462"/>
      <c r="BD22" s="462"/>
      <c r="BE22" s="462"/>
      <c r="BG22" s="572" t="s">
        <v>59</v>
      </c>
      <c r="BH22" s="573" t="s">
        <v>52</v>
      </c>
      <c r="BI22" s="300"/>
      <c r="BJ22" s="300"/>
      <c r="BK22" s="300"/>
      <c r="BL22" s="300"/>
      <c r="BM22" s="571"/>
      <c r="BN22" s="249"/>
      <c r="BO22" s="201"/>
      <c r="BP22" s="201"/>
      <c r="BQ22" s="200"/>
      <c r="BR22" s="201"/>
      <c r="BS22" s="248"/>
      <c r="BT22" s="398" t="str">
        <f t="shared" si="1"/>
        <v>-</v>
      </c>
      <c r="BU22" s="399"/>
      <c r="BV22" s="400"/>
      <c r="BW22" s="595"/>
      <c r="BX22" s="264"/>
      <c r="BY22" s="264"/>
      <c r="BZ22" s="264"/>
      <c r="CA22" s="264"/>
      <c r="CB22" s="264"/>
      <c r="CC22" s="398" t="str">
        <f t="shared" si="3"/>
        <v>-</v>
      </c>
      <c r="CD22" s="399"/>
      <c r="CE22" s="400"/>
      <c r="CF22" s="335"/>
      <c r="CG22" s="335"/>
      <c r="CH22" s="335"/>
      <c r="CI22" s="335"/>
      <c r="CJ22" s="335"/>
      <c r="CK22" s="335"/>
      <c r="CL22" s="335"/>
      <c r="CM22" s="335"/>
      <c r="CN22" s="335"/>
      <c r="CO22" s="335"/>
      <c r="CP22" s="335"/>
      <c r="CQ22" s="335"/>
      <c r="CR22" s="335"/>
      <c r="CS22" s="335"/>
      <c r="CT22" s="335"/>
      <c r="CU22" s="335"/>
      <c r="CV22" s="335"/>
      <c r="CW22" s="335"/>
      <c r="CX22" s="335"/>
      <c r="CY22" s="335"/>
      <c r="CZ22" s="335"/>
      <c r="DA22" s="335"/>
      <c r="DB22" s="335"/>
      <c r="DC22" s="335"/>
      <c r="DD22" s="335"/>
      <c r="DE22" s="335"/>
      <c r="DF22" s="335"/>
      <c r="DG22" s="335"/>
      <c r="DH22" s="335"/>
      <c r="DI22" s="335"/>
      <c r="DJ22" s="335"/>
      <c r="DK22" s="335"/>
      <c r="DL22" s="335"/>
    </row>
    <row r="23" spans="1:116" ht="13.5" customHeight="1" x14ac:dyDescent="0.15">
      <c r="A23" s="325" t="s">
        <v>82</v>
      </c>
      <c r="B23" s="125"/>
      <c r="C23" s="125"/>
      <c r="D23" s="125"/>
      <c r="E23" s="125"/>
      <c r="F23" s="125"/>
      <c r="G23" s="321"/>
      <c r="H23" s="332"/>
      <c r="I23" s="332"/>
      <c r="J23" s="333"/>
      <c r="K23" s="334"/>
      <c r="L23" s="332"/>
      <c r="M23" s="333"/>
      <c r="N23" s="316" t="str">
        <f t="shared" si="0"/>
        <v>-</v>
      </c>
      <c r="O23" s="317"/>
      <c r="P23" s="318"/>
      <c r="Q23" s="531"/>
      <c r="R23" s="532"/>
      <c r="S23" s="532"/>
      <c r="T23" s="532"/>
      <c r="U23" s="532"/>
      <c r="V23" s="532"/>
      <c r="W23" s="316" t="str">
        <f t="shared" si="4"/>
        <v>-</v>
      </c>
      <c r="X23" s="317"/>
      <c r="Y23" s="318"/>
      <c r="Z23" s="462"/>
      <c r="AA23" s="462"/>
      <c r="AB23" s="462"/>
      <c r="AC23" s="462"/>
      <c r="AD23" s="462"/>
      <c r="AE23" s="462"/>
      <c r="AF23" s="462"/>
      <c r="AG23" s="462"/>
      <c r="AH23" s="462"/>
      <c r="AI23" s="462"/>
      <c r="AJ23" s="462"/>
      <c r="AK23" s="462"/>
      <c r="AL23" s="462"/>
      <c r="AM23" s="462"/>
      <c r="AN23" s="462"/>
      <c r="AO23" s="462"/>
      <c r="AP23" s="462"/>
      <c r="AQ23" s="462"/>
      <c r="AR23" s="462"/>
      <c r="AS23" s="462"/>
      <c r="AT23" s="462"/>
      <c r="AU23" s="462"/>
      <c r="AV23" s="462"/>
      <c r="AW23" s="462"/>
      <c r="AX23" s="462"/>
      <c r="AY23" s="462"/>
      <c r="AZ23" s="462"/>
      <c r="BA23" s="462"/>
      <c r="BB23" s="462"/>
      <c r="BC23" s="462"/>
      <c r="BD23" s="462"/>
      <c r="BE23" s="462"/>
      <c r="BG23" s="563"/>
      <c r="BH23" s="124" t="s">
        <v>154</v>
      </c>
      <c r="BI23" s="125"/>
      <c r="BJ23" s="125"/>
      <c r="BK23" s="125"/>
      <c r="BL23" s="125"/>
      <c r="BM23" s="321"/>
      <c r="BN23" s="190"/>
      <c r="BO23" s="176"/>
      <c r="BP23" s="176"/>
      <c r="BQ23" s="175"/>
      <c r="BR23" s="176"/>
      <c r="BS23" s="189"/>
      <c r="BT23" s="316" t="str">
        <f t="shared" si="1"/>
        <v>-</v>
      </c>
      <c r="BU23" s="317"/>
      <c r="BV23" s="318"/>
      <c r="BW23" s="575"/>
      <c r="BX23" s="438"/>
      <c r="BY23" s="438"/>
      <c r="BZ23" s="438"/>
      <c r="CA23" s="438"/>
      <c r="CB23" s="438"/>
      <c r="CC23" s="316" t="str">
        <f t="shared" si="3"/>
        <v>-</v>
      </c>
      <c r="CD23" s="317"/>
      <c r="CE23" s="318"/>
      <c r="CF23" s="462"/>
      <c r="CG23" s="462"/>
      <c r="CH23" s="462"/>
      <c r="CI23" s="462"/>
      <c r="CJ23" s="462"/>
      <c r="CK23" s="462"/>
      <c r="CL23" s="462"/>
      <c r="CM23" s="462"/>
      <c r="CN23" s="462"/>
      <c r="CO23" s="462"/>
      <c r="CP23" s="462"/>
      <c r="CQ23" s="462"/>
      <c r="CR23" s="462"/>
      <c r="CS23" s="462"/>
      <c r="CT23" s="462"/>
      <c r="CU23" s="462"/>
      <c r="CV23" s="462"/>
      <c r="CW23" s="462"/>
      <c r="CX23" s="462"/>
      <c r="CY23" s="462"/>
      <c r="CZ23" s="462"/>
      <c r="DA23" s="462"/>
      <c r="DB23" s="462"/>
      <c r="DC23" s="462"/>
      <c r="DD23" s="462"/>
      <c r="DE23" s="462"/>
      <c r="DF23" s="462"/>
      <c r="DG23" s="462"/>
      <c r="DH23" s="462"/>
      <c r="DI23" s="462"/>
      <c r="DJ23" s="462"/>
      <c r="DK23" s="462"/>
      <c r="DL23" s="462"/>
    </row>
    <row r="24" spans="1:116" ht="13.5" customHeight="1" x14ac:dyDescent="0.15">
      <c r="A24" s="292" t="s">
        <v>50</v>
      </c>
      <c r="B24" s="293"/>
      <c r="C24" s="293"/>
      <c r="D24" s="293"/>
      <c r="E24" s="293"/>
      <c r="F24" s="293"/>
      <c r="G24" s="347"/>
      <c r="H24" s="529"/>
      <c r="I24" s="529"/>
      <c r="J24" s="530"/>
      <c r="K24" s="533"/>
      <c r="L24" s="529"/>
      <c r="M24" s="530"/>
      <c r="N24" s="322" t="str">
        <f t="shared" si="0"/>
        <v>-</v>
      </c>
      <c r="O24" s="323"/>
      <c r="P24" s="324"/>
      <c r="Q24" s="612"/>
      <c r="R24" s="611"/>
      <c r="S24" s="611"/>
      <c r="T24" s="611"/>
      <c r="U24" s="611"/>
      <c r="V24" s="611"/>
      <c r="W24" s="322" t="str">
        <f t="shared" si="4"/>
        <v>-</v>
      </c>
      <c r="X24" s="323"/>
      <c r="Y24" s="324"/>
      <c r="Z24" s="467"/>
      <c r="AA24" s="467"/>
      <c r="AB24" s="467"/>
      <c r="AC24" s="467"/>
      <c r="AD24" s="467"/>
      <c r="AE24" s="467"/>
      <c r="AF24" s="467"/>
      <c r="AG24" s="467"/>
      <c r="AH24" s="467"/>
      <c r="AI24" s="467"/>
      <c r="AJ24" s="467"/>
      <c r="AK24" s="467"/>
      <c r="AL24" s="467"/>
      <c r="AM24" s="467"/>
      <c r="AN24" s="467"/>
      <c r="AO24" s="467"/>
      <c r="AP24" s="467"/>
      <c r="AQ24" s="467"/>
      <c r="AR24" s="467"/>
      <c r="AS24" s="467"/>
      <c r="AT24" s="467"/>
      <c r="AU24" s="467"/>
      <c r="AV24" s="467"/>
      <c r="AW24" s="467"/>
      <c r="AX24" s="467"/>
      <c r="AY24" s="467"/>
      <c r="AZ24" s="467"/>
      <c r="BA24" s="467"/>
      <c r="BB24" s="467"/>
      <c r="BC24" s="467"/>
      <c r="BD24" s="467"/>
      <c r="BE24" s="467"/>
      <c r="BG24" s="563"/>
      <c r="BH24" s="124" t="s">
        <v>155</v>
      </c>
      <c r="BI24" s="125"/>
      <c r="BJ24" s="125"/>
      <c r="BK24" s="125"/>
      <c r="BL24" s="125"/>
      <c r="BM24" s="321"/>
      <c r="BN24" s="190"/>
      <c r="BO24" s="176"/>
      <c r="BP24" s="176"/>
      <c r="BQ24" s="175"/>
      <c r="BR24" s="176"/>
      <c r="BS24" s="189"/>
      <c r="BT24" s="316" t="str">
        <f t="shared" si="1"/>
        <v>-</v>
      </c>
      <c r="BU24" s="317"/>
      <c r="BV24" s="318"/>
      <c r="BW24" s="575"/>
      <c r="BX24" s="438"/>
      <c r="BY24" s="438"/>
      <c r="BZ24" s="438"/>
      <c r="CA24" s="438"/>
      <c r="CB24" s="438"/>
      <c r="CC24" s="316" t="str">
        <f t="shared" si="3"/>
        <v>-</v>
      </c>
      <c r="CD24" s="317"/>
      <c r="CE24" s="318"/>
      <c r="CF24" s="462"/>
      <c r="CG24" s="462"/>
      <c r="CH24" s="462"/>
      <c r="CI24" s="462"/>
      <c r="CJ24" s="462"/>
      <c r="CK24" s="462"/>
      <c r="CL24" s="462"/>
      <c r="CM24" s="462"/>
      <c r="CN24" s="462"/>
      <c r="CO24" s="462"/>
      <c r="CP24" s="462"/>
      <c r="CQ24" s="462"/>
      <c r="CR24" s="462"/>
      <c r="CS24" s="462"/>
      <c r="CT24" s="462"/>
      <c r="CU24" s="462"/>
      <c r="CV24" s="462"/>
      <c r="CW24" s="462"/>
      <c r="CX24" s="462"/>
      <c r="CY24" s="462"/>
      <c r="CZ24" s="462"/>
      <c r="DA24" s="462"/>
      <c r="DB24" s="462"/>
      <c r="DC24" s="462"/>
      <c r="DD24" s="462"/>
      <c r="DE24" s="462"/>
      <c r="DF24" s="462"/>
      <c r="DG24" s="462"/>
      <c r="DH24" s="462"/>
      <c r="DI24" s="462"/>
      <c r="DJ24" s="462"/>
      <c r="DK24" s="462"/>
      <c r="DL24" s="462"/>
    </row>
    <row r="25" spans="1:116" ht="13.5" customHeight="1" x14ac:dyDescent="0.15">
      <c r="A25" s="299" t="s">
        <v>53</v>
      </c>
      <c r="B25" s="300"/>
      <c r="C25" s="300"/>
      <c r="D25" s="300"/>
      <c r="E25" s="300"/>
      <c r="F25" s="300"/>
      <c r="G25" s="571"/>
      <c r="H25" s="332"/>
      <c r="I25" s="332"/>
      <c r="J25" s="333"/>
      <c r="K25" s="334"/>
      <c r="L25" s="332"/>
      <c r="M25" s="333"/>
      <c r="N25" s="398" t="str">
        <f t="shared" si="0"/>
        <v>-</v>
      </c>
      <c r="O25" s="399"/>
      <c r="P25" s="400"/>
      <c r="Q25" s="534"/>
      <c r="R25" s="535"/>
      <c r="S25" s="536"/>
      <c r="T25" s="606"/>
      <c r="U25" s="535"/>
      <c r="V25" s="536"/>
      <c r="W25" s="398" t="str">
        <f t="shared" si="4"/>
        <v>-</v>
      </c>
      <c r="X25" s="399"/>
      <c r="Y25" s="400"/>
      <c r="Z25" s="335"/>
      <c r="AA25" s="335"/>
      <c r="AB25" s="335"/>
      <c r="AC25" s="335"/>
      <c r="AD25" s="335"/>
      <c r="AE25" s="335"/>
      <c r="AF25" s="335"/>
      <c r="AG25" s="335"/>
      <c r="AH25" s="335"/>
      <c r="AI25" s="335"/>
      <c r="AJ25" s="335"/>
      <c r="AK25" s="335"/>
      <c r="AL25" s="335"/>
      <c r="AM25" s="335"/>
      <c r="AN25" s="335"/>
      <c r="AO25" s="335"/>
      <c r="AP25" s="335"/>
      <c r="AQ25" s="335"/>
      <c r="AR25" s="335"/>
      <c r="AS25" s="335"/>
      <c r="AT25" s="335"/>
      <c r="AU25" s="335"/>
      <c r="AV25" s="335"/>
      <c r="AW25" s="335"/>
      <c r="AX25" s="335"/>
      <c r="AY25" s="335"/>
      <c r="AZ25" s="335"/>
      <c r="BA25" s="335"/>
      <c r="BB25" s="335"/>
      <c r="BC25" s="335"/>
      <c r="BD25" s="335"/>
      <c r="BE25" s="335"/>
      <c r="BG25" s="563"/>
      <c r="BH25" s="124" t="s">
        <v>56</v>
      </c>
      <c r="BI25" s="125"/>
      <c r="BJ25" s="125"/>
      <c r="BK25" s="125"/>
      <c r="BL25" s="125"/>
      <c r="BM25" s="321"/>
      <c r="BN25" s="190"/>
      <c r="BO25" s="176"/>
      <c r="BP25" s="176"/>
      <c r="BQ25" s="175"/>
      <c r="BR25" s="176"/>
      <c r="BS25" s="189"/>
      <c r="BT25" s="316" t="str">
        <f t="shared" si="1"/>
        <v>-</v>
      </c>
      <c r="BU25" s="317"/>
      <c r="BV25" s="318"/>
      <c r="BW25" s="575"/>
      <c r="BX25" s="438"/>
      <c r="BY25" s="438"/>
      <c r="BZ25" s="438"/>
      <c r="CA25" s="438"/>
      <c r="CB25" s="438"/>
      <c r="CC25" s="316" t="str">
        <f t="shared" si="3"/>
        <v>-</v>
      </c>
      <c r="CD25" s="317"/>
      <c r="CE25" s="318"/>
      <c r="CF25" s="462"/>
      <c r="CG25" s="462"/>
      <c r="CH25" s="462"/>
      <c r="CI25" s="462"/>
      <c r="CJ25" s="462"/>
      <c r="CK25" s="462"/>
      <c r="CL25" s="462"/>
      <c r="CM25" s="462"/>
      <c r="CN25" s="462"/>
      <c r="CO25" s="462"/>
      <c r="CP25" s="462"/>
      <c r="CQ25" s="462"/>
      <c r="CR25" s="462"/>
      <c r="CS25" s="462"/>
      <c r="CT25" s="462"/>
      <c r="CU25" s="462"/>
      <c r="CV25" s="462"/>
      <c r="CW25" s="462"/>
      <c r="CX25" s="462"/>
      <c r="CY25" s="462"/>
      <c r="CZ25" s="462"/>
      <c r="DA25" s="462"/>
      <c r="DB25" s="462"/>
      <c r="DC25" s="462"/>
      <c r="DD25" s="462"/>
      <c r="DE25" s="462"/>
      <c r="DF25" s="462"/>
      <c r="DG25" s="462"/>
      <c r="DH25" s="462"/>
      <c r="DI25" s="462"/>
      <c r="DJ25" s="462"/>
      <c r="DK25" s="462"/>
      <c r="DL25" s="462"/>
    </row>
    <row r="26" spans="1:116" ht="13.5" customHeight="1" x14ac:dyDescent="0.15">
      <c r="A26" s="325" t="s">
        <v>54</v>
      </c>
      <c r="B26" s="125"/>
      <c r="C26" s="125"/>
      <c r="D26" s="125"/>
      <c r="E26" s="125"/>
      <c r="F26" s="125"/>
      <c r="G26" s="321"/>
      <c r="H26" s="332"/>
      <c r="I26" s="332"/>
      <c r="J26" s="333"/>
      <c r="K26" s="334"/>
      <c r="L26" s="332"/>
      <c r="M26" s="333"/>
      <c r="N26" s="316" t="str">
        <f t="shared" si="0"/>
        <v>-</v>
      </c>
      <c r="O26" s="317"/>
      <c r="P26" s="318"/>
      <c r="Q26" s="607"/>
      <c r="R26" s="608"/>
      <c r="S26" s="609"/>
      <c r="T26" s="610"/>
      <c r="U26" s="608"/>
      <c r="V26" s="609"/>
      <c r="W26" s="316" t="str">
        <f t="shared" si="4"/>
        <v>-</v>
      </c>
      <c r="X26" s="317"/>
      <c r="Y26" s="318"/>
      <c r="Z26" s="462"/>
      <c r="AA26" s="462"/>
      <c r="AB26" s="462"/>
      <c r="AC26" s="462"/>
      <c r="AD26" s="462"/>
      <c r="AE26" s="462"/>
      <c r="AF26" s="462"/>
      <c r="AG26" s="462"/>
      <c r="AH26" s="462"/>
      <c r="AI26" s="462"/>
      <c r="AJ26" s="462"/>
      <c r="AK26" s="462"/>
      <c r="AL26" s="462"/>
      <c r="AM26" s="462"/>
      <c r="AN26" s="462"/>
      <c r="AO26" s="462"/>
      <c r="AP26" s="462"/>
      <c r="AQ26" s="462"/>
      <c r="AR26" s="462"/>
      <c r="AS26" s="462"/>
      <c r="AT26" s="462"/>
      <c r="AU26" s="462"/>
      <c r="AV26" s="462"/>
      <c r="AW26" s="462"/>
      <c r="AX26" s="462"/>
      <c r="AY26" s="462"/>
      <c r="AZ26" s="462"/>
      <c r="BA26" s="462"/>
      <c r="BB26" s="462"/>
      <c r="BC26" s="462"/>
      <c r="BD26" s="462"/>
      <c r="BE26" s="462"/>
      <c r="BG26" s="564"/>
      <c r="BH26" s="346" t="s">
        <v>58</v>
      </c>
      <c r="BI26" s="293"/>
      <c r="BJ26" s="293"/>
      <c r="BK26" s="293"/>
      <c r="BL26" s="293"/>
      <c r="BM26" s="347"/>
      <c r="BN26" s="87"/>
      <c r="BO26" s="88"/>
      <c r="BP26" s="88"/>
      <c r="BQ26" s="96"/>
      <c r="BR26" s="88"/>
      <c r="BS26" s="89"/>
      <c r="BT26" s="322" t="str">
        <f t="shared" si="1"/>
        <v>-</v>
      </c>
      <c r="BU26" s="323"/>
      <c r="BV26" s="324"/>
      <c r="BW26" s="294"/>
      <c r="BX26" s="295"/>
      <c r="BY26" s="295"/>
      <c r="BZ26" s="295"/>
      <c r="CA26" s="295"/>
      <c r="CB26" s="295"/>
      <c r="CC26" s="322" t="str">
        <f t="shared" si="3"/>
        <v>-</v>
      </c>
      <c r="CD26" s="323"/>
      <c r="CE26" s="324"/>
      <c r="CF26" s="336"/>
      <c r="CG26" s="336"/>
      <c r="CH26" s="336"/>
      <c r="CI26" s="336"/>
      <c r="CJ26" s="336"/>
      <c r="CK26" s="336"/>
      <c r="CL26" s="336"/>
      <c r="CM26" s="336"/>
      <c r="CN26" s="336"/>
      <c r="CO26" s="336"/>
      <c r="CP26" s="336"/>
      <c r="CQ26" s="336"/>
      <c r="CR26" s="336"/>
      <c r="CS26" s="336"/>
      <c r="CT26" s="336"/>
      <c r="CU26" s="336"/>
      <c r="CV26" s="336"/>
      <c r="CW26" s="336"/>
      <c r="CX26" s="336"/>
      <c r="CY26" s="336"/>
      <c r="CZ26" s="336"/>
      <c r="DA26" s="336"/>
      <c r="DB26" s="336"/>
      <c r="DC26" s="336"/>
      <c r="DD26" s="336"/>
      <c r="DE26" s="336"/>
      <c r="DF26" s="336"/>
      <c r="DG26" s="336"/>
      <c r="DH26" s="336"/>
      <c r="DI26" s="336"/>
      <c r="DJ26" s="336"/>
      <c r="DK26" s="336"/>
      <c r="DL26" s="336"/>
    </row>
    <row r="27" spans="1:116" ht="13.5" customHeight="1" x14ac:dyDescent="0.15">
      <c r="A27" s="325" t="s">
        <v>55</v>
      </c>
      <c r="B27" s="125"/>
      <c r="C27" s="125"/>
      <c r="D27" s="125"/>
      <c r="E27" s="125"/>
      <c r="F27" s="125"/>
      <c r="G27" s="321"/>
      <c r="H27" s="332"/>
      <c r="I27" s="332"/>
      <c r="J27" s="333"/>
      <c r="K27" s="334"/>
      <c r="L27" s="332"/>
      <c r="M27" s="333"/>
      <c r="N27" s="316" t="str">
        <f t="shared" si="0"/>
        <v>-</v>
      </c>
      <c r="O27" s="317"/>
      <c r="P27" s="318"/>
      <c r="Q27" s="537"/>
      <c r="R27" s="538"/>
      <c r="S27" s="538"/>
      <c r="T27" s="538"/>
      <c r="U27" s="538"/>
      <c r="V27" s="538"/>
      <c r="W27" s="316" t="str">
        <f t="shared" si="4"/>
        <v>-</v>
      </c>
      <c r="X27" s="317"/>
      <c r="Y27" s="318"/>
      <c r="Z27" s="462"/>
      <c r="AA27" s="462"/>
      <c r="AB27" s="462"/>
      <c r="AC27" s="462"/>
      <c r="AD27" s="462"/>
      <c r="AE27" s="462"/>
      <c r="AF27" s="462"/>
      <c r="AG27" s="462"/>
      <c r="AH27" s="462"/>
      <c r="AI27" s="462"/>
      <c r="AJ27" s="462"/>
      <c r="AK27" s="462"/>
      <c r="AL27" s="462"/>
      <c r="AM27" s="462"/>
      <c r="AN27" s="462"/>
      <c r="AO27" s="462"/>
      <c r="AP27" s="462"/>
      <c r="AQ27" s="462"/>
      <c r="AR27" s="462"/>
      <c r="AS27" s="462"/>
      <c r="AT27" s="462"/>
      <c r="AU27" s="462"/>
      <c r="AV27" s="462"/>
      <c r="AW27" s="462"/>
      <c r="AX27" s="462"/>
      <c r="AY27" s="462"/>
      <c r="AZ27" s="462"/>
      <c r="BA27" s="462"/>
      <c r="BB27" s="462"/>
      <c r="BC27" s="462"/>
      <c r="BD27" s="462"/>
      <c r="BE27" s="462"/>
    </row>
    <row r="28" spans="1:116" ht="13.5" customHeight="1" x14ac:dyDescent="0.15">
      <c r="A28" s="325" t="s">
        <v>57</v>
      </c>
      <c r="B28" s="125"/>
      <c r="C28" s="125"/>
      <c r="D28" s="125"/>
      <c r="E28" s="125"/>
      <c r="F28" s="125"/>
      <c r="G28" s="321"/>
      <c r="H28" s="332"/>
      <c r="I28" s="332"/>
      <c r="J28" s="333"/>
      <c r="K28" s="334"/>
      <c r="L28" s="332"/>
      <c r="M28" s="333"/>
      <c r="N28" s="316" t="str">
        <f t="shared" si="0"/>
        <v>-</v>
      </c>
      <c r="O28" s="317"/>
      <c r="P28" s="318"/>
      <c r="Q28" s="537"/>
      <c r="R28" s="538"/>
      <c r="S28" s="538"/>
      <c r="T28" s="538"/>
      <c r="U28" s="538"/>
      <c r="V28" s="538"/>
      <c r="W28" s="316" t="str">
        <f t="shared" si="4"/>
        <v>-</v>
      </c>
      <c r="X28" s="317"/>
      <c r="Y28" s="318"/>
      <c r="Z28" s="462"/>
      <c r="AA28" s="462"/>
      <c r="AB28" s="462"/>
      <c r="AC28" s="462"/>
      <c r="AD28" s="462"/>
      <c r="AE28" s="462"/>
      <c r="AF28" s="462"/>
      <c r="AG28" s="462"/>
      <c r="AH28" s="462"/>
      <c r="AI28" s="462"/>
      <c r="AJ28" s="462"/>
      <c r="AK28" s="462"/>
      <c r="AL28" s="462"/>
      <c r="AM28" s="462"/>
      <c r="AN28" s="462"/>
      <c r="AO28" s="462"/>
      <c r="AP28" s="462"/>
      <c r="AQ28" s="462"/>
      <c r="AR28" s="462"/>
      <c r="AS28" s="462"/>
      <c r="AT28" s="462"/>
      <c r="AU28" s="462"/>
      <c r="AV28" s="462"/>
      <c r="AW28" s="462"/>
      <c r="AX28" s="462"/>
      <c r="AY28" s="462"/>
      <c r="AZ28" s="462"/>
      <c r="BA28" s="462"/>
      <c r="BB28" s="462"/>
      <c r="BC28" s="462"/>
      <c r="BD28" s="462"/>
      <c r="BE28" s="462"/>
      <c r="BG28" s="4" t="s">
        <v>157</v>
      </c>
    </row>
    <row r="29" spans="1:116" ht="13.5" customHeight="1" x14ac:dyDescent="0.15">
      <c r="A29" s="292" t="s">
        <v>62</v>
      </c>
      <c r="B29" s="293"/>
      <c r="C29" s="293"/>
      <c r="D29" s="293"/>
      <c r="E29" s="293"/>
      <c r="F29" s="293"/>
      <c r="G29" s="347"/>
      <c r="H29" s="600"/>
      <c r="I29" s="600"/>
      <c r="J29" s="601"/>
      <c r="K29" s="602"/>
      <c r="L29" s="600"/>
      <c r="M29" s="601"/>
      <c r="N29" s="322" t="str">
        <f t="shared" si="0"/>
        <v>-</v>
      </c>
      <c r="O29" s="323"/>
      <c r="P29" s="324"/>
      <c r="Q29" s="598"/>
      <c r="R29" s="599"/>
      <c r="S29" s="599"/>
      <c r="T29" s="599"/>
      <c r="U29" s="599"/>
      <c r="V29" s="599"/>
      <c r="W29" s="316" t="str">
        <f t="shared" si="4"/>
        <v>-</v>
      </c>
      <c r="X29" s="317"/>
      <c r="Y29" s="318"/>
      <c r="Z29" s="336"/>
      <c r="AA29" s="336"/>
      <c r="AB29" s="336"/>
      <c r="AC29" s="336"/>
      <c r="AD29" s="336"/>
      <c r="AE29" s="336"/>
      <c r="AF29" s="336"/>
      <c r="AG29" s="336"/>
      <c r="AH29" s="336"/>
      <c r="AI29" s="336"/>
      <c r="AJ29" s="336"/>
      <c r="AK29" s="336"/>
      <c r="AL29" s="336"/>
      <c r="AM29" s="336"/>
      <c r="AN29" s="336"/>
      <c r="AO29" s="336"/>
      <c r="AP29" s="336"/>
      <c r="AQ29" s="336"/>
      <c r="AR29" s="336"/>
      <c r="AS29" s="336"/>
      <c r="AT29" s="336"/>
      <c r="AU29" s="336"/>
      <c r="AV29" s="336"/>
      <c r="AW29" s="336"/>
      <c r="AX29" s="336"/>
      <c r="AY29" s="336"/>
      <c r="AZ29" s="336"/>
      <c r="BA29" s="336"/>
      <c r="BB29" s="336"/>
      <c r="BC29" s="336"/>
      <c r="BD29" s="336"/>
      <c r="BE29" s="336"/>
      <c r="BG29" s="273"/>
      <c r="BH29" s="274"/>
      <c r="BI29" s="274"/>
      <c r="BJ29" s="274"/>
      <c r="BK29" s="274"/>
      <c r="BL29" s="274"/>
      <c r="BM29" s="308"/>
      <c r="BN29" s="555">
        <f>H6</f>
        <v>0</v>
      </c>
      <c r="BO29" s="556"/>
      <c r="BP29" s="556"/>
      <c r="BQ29" s="562">
        <f>K6</f>
        <v>-1</v>
      </c>
      <c r="BR29" s="562"/>
      <c r="BS29" s="562"/>
      <c r="BT29" s="286" t="s">
        <v>152</v>
      </c>
      <c r="BU29" s="287"/>
      <c r="BV29" s="288"/>
      <c r="BW29" s="480" t="s">
        <v>159</v>
      </c>
      <c r="BX29" s="481"/>
      <c r="BY29" s="481"/>
      <c r="BZ29" s="481"/>
      <c r="CA29" s="481"/>
      <c r="CB29" s="481"/>
      <c r="CC29" s="481"/>
      <c r="CD29" s="481"/>
      <c r="CE29" s="481"/>
      <c r="CF29" s="481"/>
      <c r="CG29" s="481"/>
      <c r="CH29" s="481"/>
      <c r="CI29" s="481"/>
      <c r="CJ29" s="481"/>
      <c r="CK29" s="481"/>
      <c r="CL29" s="481"/>
      <c r="CM29" s="481"/>
      <c r="CN29" s="481"/>
      <c r="CO29" s="481"/>
      <c r="CP29" s="481"/>
      <c r="CQ29" s="481"/>
      <c r="CR29" s="481"/>
      <c r="CS29" s="481"/>
      <c r="CT29" s="481"/>
      <c r="CU29" s="481"/>
      <c r="CV29" s="481"/>
      <c r="CW29" s="481"/>
      <c r="CX29" s="481"/>
      <c r="CY29" s="481"/>
      <c r="CZ29" s="481"/>
      <c r="DA29" s="481"/>
      <c r="DB29" s="481"/>
      <c r="DC29" s="481"/>
      <c r="DD29" s="481"/>
      <c r="DE29" s="481"/>
      <c r="DF29" s="481"/>
      <c r="DG29" s="481"/>
      <c r="DH29" s="481"/>
      <c r="DI29" s="481"/>
      <c r="DJ29" s="481"/>
      <c r="DK29" s="481"/>
      <c r="DL29" s="482"/>
    </row>
    <row r="30" spans="1:116" ht="13.5" customHeight="1" x14ac:dyDescent="0.15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BG30" s="426" t="s">
        <v>20</v>
      </c>
      <c r="BH30" s="427"/>
      <c r="BI30" s="427"/>
      <c r="BJ30" s="427"/>
      <c r="BK30" s="427"/>
      <c r="BL30" s="427"/>
      <c r="BM30" s="42" t="s">
        <v>93</v>
      </c>
      <c r="BN30" s="420"/>
      <c r="BO30" s="421"/>
      <c r="BP30" s="422"/>
      <c r="BQ30" s="429"/>
      <c r="BR30" s="421"/>
      <c r="BS30" s="422"/>
      <c r="BT30" s="423" t="str">
        <f>IF(BN30="-", "-", IF(BQ30="-", "-", IF(ABS(BQ30)=0, "-", ROUND(100*(BN30-BQ30)/ABS(BQ30),10))))</f>
        <v>-</v>
      </c>
      <c r="BU30" s="424"/>
      <c r="BV30" s="425"/>
      <c r="BW30" s="592"/>
      <c r="BX30" s="593"/>
      <c r="BY30" s="593"/>
      <c r="BZ30" s="593"/>
      <c r="CA30" s="593"/>
      <c r="CB30" s="593"/>
      <c r="CC30" s="593"/>
      <c r="CD30" s="593"/>
      <c r="CE30" s="593"/>
      <c r="CF30" s="593"/>
      <c r="CG30" s="593"/>
      <c r="CH30" s="593"/>
      <c r="CI30" s="593"/>
      <c r="CJ30" s="593"/>
      <c r="CK30" s="593"/>
      <c r="CL30" s="593"/>
      <c r="CM30" s="593"/>
      <c r="CN30" s="593"/>
      <c r="CO30" s="593"/>
      <c r="CP30" s="593"/>
      <c r="CQ30" s="593"/>
      <c r="CR30" s="593"/>
      <c r="CS30" s="593"/>
      <c r="CT30" s="593"/>
      <c r="CU30" s="593"/>
      <c r="CV30" s="593"/>
      <c r="CW30" s="593"/>
      <c r="CX30" s="593"/>
      <c r="CY30" s="593"/>
      <c r="CZ30" s="593"/>
      <c r="DA30" s="593"/>
      <c r="DB30" s="593"/>
      <c r="DC30" s="593"/>
      <c r="DD30" s="593"/>
      <c r="DE30" s="593"/>
      <c r="DF30" s="593"/>
      <c r="DG30" s="593"/>
      <c r="DH30" s="593"/>
      <c r="DI30" s="593"/>
      <c r="DJ30" s="593"/>
      <c r="DK30" s="593"/>
      <c r="DL30" s="594"/>
    </row>
    <row r="31" spans="1:116" ht="13.5" customHeight="1" x14ac:dyDescent="0.15">
      <c r="Q31" s="604"/>
      <c r="R31" s="605"/>
      <c r="S31" s="605"/>
      <c r="T31" s="604"/>
      <c r="U31" s="605"/>
      <c r="V31" s="605"/>
      <c r="W31" s="603"/>
      <c r="X31" s="603"/>
      <c r="Y31" s="603"/>
    </row>
    <row r="32" spans="1:116" ht="13.5" customHeight="1" x14ac:dyDescent="0.15">
      <c r="A32" s="4" t="s">
        <v>64</v>
      </c>
      <c r="O32" s="3"/>
      <c r="P32" s="3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4" t="s">
        <v>156</v>
      </c>
    </row>
    <row r="33" spans="1:118" ht="13.5" customHeight="1" x14ac:dyDescent="0.15">
      <c r="A33" s="273"/>
      <c r="B33" s="274"/>
      <c r="C33" s="274"/>
      <c r="D33" s="274"/>
      <c r="E33" s="274"/>
      <c r="F33" s="274"/>
      <c r="G33" s="308"/>
      <c r="H33" s="548" t="s">
        <v>153</v>
      </c>
      <c r="I33" s="548"/>
      <c r="J33" s="548"/>
      <c r="K33" s="548"/>
      <c r="L33" s="548"/>
      <c r="M33" s="548"/>
      <c r="N33" s="548"/>
      <c r="O33" s="548"/>
      <c r="P33" s="549"/>
      <c r="Q33" s="455" t="s">
        <v>159</v>
      </c>
      <c r="R33" s="431"/>
      <c r="S33" s="431"/>
      <c r="T33" s="431"/>
      <c r="U33" s="431"/>
      <c r="V33" s="431"/>
      <c r="W33" s="431"/>
      <c r="X33" s="431"/>
      <c r="Y33" s="431"/>
      <c r="Z33" s="431"/>
      <c r="AA33" s="431"/>
      <c r="AB33" s="431"/>
      <c r="AC33" s="431"/>
      <c r="AD33" s="431"/>
      <c r="AE33" s="431"/>
      <c r="AF33" s="431"/>
      <c r="AG33" s="431"/>
      <c r="AH33" s="431"/>
      <c r="AI33" s="431"/>
      <c r="AJ33" s="431"/>
      <c r="AK33" s="431"/>
      <c r="AL33" s="431"/>
      <c r="AM33" s="431"/>
      <c r="AN33" s="431"/>
      <c r="AO33" s="431"/>
      <c r="AP33" s="431"/>
      <c r="AQ33" s="431"/>
      <c r="AR33" s="431"/>
      <c r="AS33" s="431"/>
      <c r="AT33" s="431"/>
      <c r="AU33" s="431"/>
      <c r="AV33" s="431"/>
      <c r="AW33" s="431"/>
      <c r="AX33" s="431"/>
      <c r="AY33" s="431"/>
      <c r="AZ33" s="431"/>
      <c r="BA33" s="431"/>
      <c r="BB33" s="431"/>
      <c r="BC33" s="431"/>
      <c r="BD33" s="431"/>
      <c r="BE33" s="432"/>
      <c r="BG33" s="519"/>
      <c r="BH33" s="520"/>
      <c r="BI33" s="520"/>
      <c r="BJ33" s="520"/>
      <c r="BK33" s="520"/>
      <c r="BL33" s="520"/>
      <c r="BM33" s="521"/>
      <c r="BN33" s="277">
        <f>H6</f>
        <v>0</v>
      </c>
      <c r="BO33" s="278"/>
      <c r="BP33" s="279"/>
      <c r="BQ33" s="280">
        <f>K6</f>
        <v>-1</v>
      </c>
      <c r="BR33" s="281"/>
      <c r="BS33" s="282"/>
      <c r="BT33" s="502" t="s">
        <v>2</v>
      </c>
      <c r="BU33" s="503"/>
      <c r="BV33" s="504"/>
      <c r="BW33" s="480" t="s">
        <v>159</v>
      </c>
      <c r="BX33" s="481"/>
      <c r="BY33" s="481"/>
      <c r="BZ33" s="481"/>
      <c r="CA33" s="481"/>
      <c r="CB33" s="481"/>
      <c r="CC33" s="481"/>
      <c r="CD33" s="481"/>
      <c r="CE33" s="481"/>
      <c r="CF33" s="481"/>
      <c r="CG33" s="481"/>
      <c r="CH33" s="481"/>
      <c r="CI33" s="481"/>
      <c r="CJ33" s="481"/>
      <c r="CK33" s="481"/>
      <c r="CL33" s="481"/>
      <c r="CM33" s="481"/>
      <c r="CN33" s="481"/>
      <c r="CO33" s="481"/>
      <c r="CP33" s="481"/>
      <c r="CQ33" s="481"/>
      <c r="CR33" s="481"/>
      <c r="CS33" s="481"/>
      <c r="CT33" s="481"/>
      <c r="CU33" s="481"/>
      <c r="CV33" s="481"/>
      <c r="CW33" s="481"/>
      <c r="CX33" s="481"/>
      <c r="CY33" s="481"/>
      <c r="CZ33" s="481"/>
      <c r="DA33" s="481"/>
      <c r="DB33" s="481"/>
      <c r="DC33" s="481"/>
      <c r="DD33" s="481"/>
      <c r="DE33" s="481"/>
      <c r="DF33" s="481"/>
      <c r="DG33" s="481"/>
      <c r="DH33" s="481"/>
      <c r="DI33" s="481"/>
      <c r="DJ33" s="481"/>
      <c r="DK33" s="481"/>
      <c r="DL33" s="482"/>
    </row>
    <row r="34" spans="1:118" ht="13.5" customHeight="1" x14ac:dyDescent="0.15">
      <c r="A34" s="309"/>
      <c r="B34" s="310"/>
      <c r="C34" s="310"/>
      <c r="D34" s="310"/>
      <c r="E34" s="310"/>
      <c r="F34" s="310"/>
      <c r="G34" s="311"/>
      <c r="H34" s="433">
        <f>H6</f>
        <v>0</v>
      </c>
      <c r="I34" s="434"/>
      <c r="J34" s="434"/>
      <c r="K34" s="435">
        <f>K6</f>
        <v>-1</v>
      </c>
      <c r="L34" s="435"/>
      <c r="M34" s="435"/>
      <c r="N34" s="436" t="s">
        <v>2</v>
      </c>
      <c r="O34" s="436"/>
      <c r="P34" s="437"/>
      <c r="Q34" s="515"/>
      <c r="R34" s="516"/>
      <c r="S34" s="516"/>
      <c r="T34" s="516"/>
      <c r="U34" s="516"/>
      <c r="V34" s="516"/>
      <c r="W34" s="516"/>
      <c r="X34" s="516"/>
      <c r="Y34" s="516"/>
      <c r="Z34" s="516"/>
      <c r="AA34" s="516"/>
      <c r="AB34" s="516"/>
      <c r="AC34" s="516"/>
      <c r="AD34" s="516"/>
      <c r="AE34" s="516"/>
      <c r="AF34" s="516"/>
      <c r="AG34" s="516"/>
      <c r="AH34" s="516"/>
      <c r="AI34" s="516"/>
      <c r="AJ34" s="516"/>
      <c r="AK34" s="516"/>
      <c r="AL34" s="516"/>
      <c r="AM34" s="516"/>
      <c r="AN34" s="516"/>
      <c r="AO34" s="516"/>
      <c r="AP34" s="516"/>
      <c r="AQ34" s="516"/>
      <c r="AR34" s="516"/>
      <c r="AS34" s="516"/>
      <c r="AT34" s="516"/>
      <c r="AU34" s="516"/>
      <c r="AV34" s="516"/>
      <c r="AW34" s="516"/>
      <c r="AX34" s="516"/>
      <c r="AY34" s="516"/>
      <c r="AZ34" s="516"/>
      <c r="BA34" s="516"/>
      <c r="BB34" s="516"/>
      <c r="BC34" s="516"/>
      <c r="BD34" s="516"/>
      <c r="BE34" s="517"/>
      <c r="BG34" s="299" t="s">
        <v>99</v>
      </c>
      <c r="BH34" s="300"/>
      <c r="BI34" s="300"/>
      <c r="BJ34" s="300"/>
      <c r="BK34" s="300"/>
      <c r="BL34" s="300"/>
      <c r="BM34" s="16" t="s">
        <v>93</v>
      </c>
      <c r="BN34" s="513"/>
      <c r="BO34" s="514"/>
      <c r="BP34" s="514"/>
      <c r="BQ34" s="587"/>
      <c r="BR34" s="514"/>
      <c r="BS34" s="588"/>
      <c r="BT34" s="582" t="str">
        <f t="shared" ref="BT34:BT39" si="5">IF(BN34="-", "-", IF(BQ34="-", "-", IF(ABS(BQ34)=0, "-", ROUND(100*(BN34-BQ34)/ABS(BQ34),10))))</f>
        <v>-</v>
      </c>
      <c r="BU34" s="583"/>
      <c r="BV34" s="584"/>
      <c r="BW34" s="483"/>
      <c r="BX34" s="484"/>
      <c r="BY34" s="484"/>
      <c r="BZ34" s="484"/>
      <c r="CA34" s="484"/>
      <c r="CB34" s="484"/>
      <c r="CC34" s="484"/>
      <c r="CD34" s="484"/>
      <c r="CE34" s="484"/>
      <c r="CF34" s="484"/>
      <c r="CG34" s="484"/>
      <c r="CH34" s="484"/>
      <c r="CI34" s="484"/>
      <c r="CJ34" s="484"/>
      <c r="CK34" s="484"/>
      <c r="CL34" s="484"/>
      <c r="CM34" s="484"/>
      <c r="CN34" s="484"/>
      <c r="CO34" s="484"/>
      <c r="CP34" s="484"/>
      <c r="CQ34" s="484"/>
      <c r="CR34" s="484"/>
      <c r="CS34" s="484"/>
      <c r="CT34" s="484"/>
      <c r="CU34" s="484"/>
      <c r="CV34" s="484"/>
      <c r="CW34" s="484"/>
      <c r="CX34" s="484"/>
      <c r="CY34" s="484"/>
      <c r="CZ34" s="484"/>
      <c r="DA34" s="484"/>
      <c r="DB34" s="484"/>
      <c r="DC34" s="484"/>
      <c r="DD34" s="484"/>
      <c r="DE34" s="484"/>
      <c r="DF34" s="484"/>
      <c r="DG34" s="484"/>
      <c r="DH34" s="484"/>
      <c r="DI34" s="484"/>
      <c r="DJ34" s="484"/>
      <c r="DK34" s="484"/>
      <c r="DL34" s="485"/>
    </row>
    <row r="35" spans="1:118" ht="13.5" customHeight="1" x14ac:dyDescent="0.15">
      <c r="A35" s="439" t="s">
        <v>55</v>
      </c>
      <c r="B35" s="440"/>
      <c r="C35" s="440"/>
      <c r="D35" s="440"/>
      <c r="E35" s="440"/>
      <c r="F35" s="440"/>
      <c r="G35" s="441"/>
      <c r="H35" s="505"/>
      <c r="I35" s="506"/>
      <c r="J35" s="507"/>
      <c r="K35" s="326"/>
      <c r="L35" s="326"/>
      <c r="M35" s="327"/>
      <c r="N35" s="596" t="str">
        <f t="shared" ref="N35:N40" si="6">IF(H35="-", "-", IF(K35="-", "-", IF(ABS(K35)=0, "-", ROUND(100*(H35-K35)/ABS(K35),1))))</f>
        <v>-</v>
      </c>
      <c r="O35" s="596"/>
      <c r="P35" s="597"/>
      <c r="Q35" s="483"/>
      <c r="R35" s="484"/>
      <c r="S35" s="484"/>
      <c r="T35" s="484"/>
      <c r="U35" s="484"/>
      <c r="V35" s="484"/>
      <c r="W35" s="484"/>
      <c r="X35" s="484"/>
      <c r="Y35" s="484"/>
      <c r="Z35" s="484"/>
      <c r="AA35" s="484"/>
      <c r="AB35" s="484"/>
      <c r="AC35" s="484"/>
      <c r="AD35" s="484"/>
      <c r="AE35" s="484"/>
      <c r="AF35" s="484"/>
      <c r="AG35" s="484"/>
      <c r="AH35" s="484"/>
      <c r="AI35" s="484"/>
      <c r="AJ35" s="484"/>
      <c r="AK35" s="484"/>
      <c r="AL35" s="484"/>
      <c r="AM35" s="484"/>
      <c r="AN35" s="484"/>
      <c r="AO35" s="484"/>
      <c r="AP35" s="484"/>
      <c r="AQ35" s="484"/>
      <c r="AR35" s="484"/>
      <c r="AS35" s="484"/>
      <c r="AT35" s="484"/>
      <c r="AU35" s="484"/>
      <c r="AV35" s="484"/>
      <c r="AW35" s="484"/>
      <c r="AX35" s="484"/>
      <c r="AY35" s="484"/>
      <c r="AZ35" s="484"/>
      <c r="BA35" s="484"/>
      <c r="BB35" s="484"/>
      <c r="BC35" s="484"/>
      <c r="BD35" s="484"/>
      <c r="BE35" s="485"/>
      <c r="BG35" s="325" t="s">
        <v>11</v>
      </c>
      <c r="BH35" s="125"/>
      <c r="BI35" s="125"/>
      <c r="BJ35" s="125"/>
      <c r="BK35" s="125"/>
      <c r="BL35" s="125"/>
      <c r="BM35" s="17" t="s">
        <v>93</v>
      </c>
      <c r="BN35" s="511"/>
      <c r="BO35" s="512"/>
      <c r="BP35" s="512"/>
      <c r="BQ35" s="585"/>
      <c r="BR35" s="512"/>
      <c r="BS35" s="586"/>
      <c r="BT35" s="589" t="str">
        <f t="shared" si="5"/>
        <v>-</v>
      </c>
      <c r="BU35" s="590"/>
      <c r="BV35" s="591"/>
      <c r="BW35" s="474"/>
      <c r="BX35" s="475"/>
      <c r="BY35" s="475"/>
      <c r="BZ35" s="475"/>
      <c r="CA35" s="475"/>
      <c r="CB35" s="475"/>
      <c r="CC35" s="475"/>
      <c r="CD35" s="475"/>
      <c r="CE35" s="475"/>
      <c r="CF35" s="475"/>
      <c r="CG35" s="475"/>
      <c r="CH35" s="475"/>
      <c r="CI35" s="475"/>
      <c r="CJ35" s="475"/>
      <c r="CK35" s="475"/>
      <c r="CL35" s="475"/>
      <c r="CM35" s="475"/>
      <c r="CN35" s="475"/>
      <c r="CO35" s="475"/>
      <c r="CP35" s="475"/>
      <c r="CQ35" s="475"/>
      <c r="CR35" s="475"/>
      <c r="CS35" s="475"/>
      <c r="CT35" s="475"/>
      <c r="CU35" s="475"/>
      <c r="CV35" s="475"/>
      <c r="CW35" s="475"/>
      <c r="CX35" s="475"/>
      <c r="CY35" s="475"/>
      <c r="CZ35" s="475"/>
      <c r="DA35" s="475"/>
      <c r="DB35" s="475"/>
      <c r="DC35" s="475"/>
      <c r="DD35" s="475"/>
      <c r="DE35" s="475"/>
      <c r="DF35" s="475"/>
      <c r="DG35" s="475"/>
      <c r="DH35" s="475"/>
      <c r="DI35" s="475"/>
      <c r="DJ35" s="475"/>
      <c r="DK35" s="475"/>
      <c r="DL35" s="476"/>
    </row>
    <row r="36" spans="1:118" ht="13.5" customHeight="1" x14ac:dyDescent="0.15">
      <c r="A36" s="325" t="s">
        <v>57</v>
      </c>
      <c r="B36" s="125"/>
      <c r="C36" s="125"/>
      <c r="D36" s="125"/>
      <c r="E36" s="125"/>
      <c r="F36" s="125"/>
      <c r="G36" s="321"/>
      <c r="H36" s="508"/>
      <c r="I36" s="326"/>
      <c r="J36" s="327"/>
      <c r="K36" s="326"/>
      <c r="L36" s="326"/>
      <c r="M36" s="327"/>
      <c r="N36" s="316" t="str">
        <f t="shared" si="6"/>
        <v>-</v>
      </c>
      <c r="O36" s="317"/>
      <c r="P36" s="318"/>
      <c r="Q36" s="474"/>
      <c r="R36" s="475"/>
      <c r="S36" s="475"/>
      <c r="T36" s="475"/>
      <c r="U36" s="475"/>
      <c r="V36" s="475"/>
      <c r="W36" s="475"/>
      <c r="X36" s="475"/>
      <c r="Y36" s="475"/>
      <c r="Z36" s="475"/>
      <c r="AA36" s="475"/>
      <c r="AB36" s="475"/>
      <c r="AC36" s="475"/>
      <c r="AD36" s="475"/>
      <c r="AE36" s="475"/>
      <c r="AF36" s="475"/>
      <c r="AG36" s="475"/>
      <c r="AH36" s="475"/>
      <c r="AI36" s="475"/>
      <c r="AJ36" s="475"/>
      <c r="AK36" s="475"/>
      <c r="AL36" s="475"/>
      <c r="AM36" s="475"/>
      <c r="AN36" s="475"/>
      <c r="AO36" s="475"/>
      <c r="AP36" s="475"/>
      <c r="AQ36" s="475"/>
      <c r="AR36" s="475"/>
      <c r="AS36" s="475"/>
      <c r="AT36" s="475"/>
      <c r="AU36" s="475"/>
      <c r="AV36" s="475"/>
      <c r="AW36" s="475"/>
      <c r="AX36" s="475"/>
      <c r="AY36" s="475"/>
      <c r="AZ36" s="475"/>
      <c r="BA36" s="475"/>
      <c r="BB36" s="475"/>
      <c r="BC36" s="475"/>
      <c r="BD36" s="475"/>
      <c r="BE36" s="476"/>
      <c r="BG36" s="325" t="s">
        <v>100</v>
      </c>
      <c r="BH36" s="125"/>
      <c r="BI36" s="125"/>
      <c r="BJ36" s="125"/>
      <c r="BK36" s="125"/>
      <c r="BL36" s="125"/>
      <c r="BM36" s="17" t="s">
        <v>93</v>
      </c>
      <c r="BN36" s="511"/>
      <c r="BO36" s="512"/>
      <c r="BP36" s="512"/>
      <c r="BQ36" s="585"/>
      <c r="BR36" s="512"/>
      <c r="BS36" s="586"/>
      <c r="BT36" s="589" t="str">
        <f t="shared" si="5"/>
        <v>-</v>
      </c>
      <c r="BU36" s="590"/>
      <c r="BV36" s="591"/>
      <c r="BW36" s="474"/>
      <c r="BX36" s="475"/>
      <c r="BY36" s="475"/>
      <c r="BZ36" s="475"/>
      <c r="CA36" s="475"/>
      <c r="CB36" s="475"/>
      <c r="CC36" s="475"/>
      <c r="CD36" s="475"/>
      <c r="CE36" s="475"/>
      <c r="CF36" s="475"/>
      <c r="CG36" s="475"/>
      <c r="CH36" s="475"/>
      <c r="CI36" s="475"/>
      <c r="CJ36" s="475"/>
      <c r="CK36" s="475"/>
      <c r="CL36" s="475"/>
      <c r="CM36" s="475"/>
      <c r="CN36" s="475"/>
      <c r="CO36" s="475"/>
      <c r="CP36" s="475"/>
      <c r="CQ36" s="475"/>
      <c r="CR36" s="475"/>
      <c r="CS36" s="475"/>
      <c r="CT36" s="475"/>
      <c r="CU36" s="475"/>
      <c r="CV36" s="475"/>
      <c r="CW36" s="475"/>
      <c r="CX36" s="475"/>
      <c r="CY36" s="475"/>
      <c r="CZ36" s="475"/>
      <c r="DA36" s="475"/>
      <c r="DB36" s="475"/>
      <c r="DC36" s="475"/>
      <c r="DD36" s="475"/>
      <c r="DE36" s="475"/>
      <c r="DF36" s="475"/>
      <c r="DG36" s="475"/>
      <c r="DH36" s="475"/>
      <c r="DI36" s="475"/>
      <c r="DJ36" s="475"/>
      <c r="DK36" s="475"/>
      <c r="DL36" s="476"/>
    </row>
    <row r="37" spans="1:118" ht="13.5" customHeight="1" x14ac:dyDescent="0.15">
      <c r="A37" s="319" t="s">
        <v>62</v>
      </c>
      <c r="B37" s="320"/>
      <c r="C37" s="320"/>
      <c r="D37" s="320"/>
      <c r="E37" s="320"/>
      <c r="F37" s="320"/>
      <c r="G37" s="518"/>
      <c r="H37" s="508"/>
      <c r="I37" s="326"/>
      <c r="J37" s="327"/>
      <c r="K37" s="326"/>
      <c r="L37" s="326"/>
      <c r="M37" s="327"/>
      <c r="N37" s="316" t="str">
        <f t="shared" si="6"/>
        <v>-</v>
      </c>
      <c r="O37" s="317"/>
      <c r="P37" s="318"/>
      <c r="Q37" s="474"/>
      <c r="R37" s="475"/>
      <c r="S37" s="475"/>
      <c r="T37" s="475"/>
      <c r="U37" s="475"/>
      <c r="V37" s="475"/>
      <c r="W37" s="475"/>
      <c r="X37" s="475"/>
      <c r="Y37" s="475"/>
      <c r="Z37" s="475"/>
      <c r="AA37" s="475"/>
      <c r="AB37" s="475"/>
      <c r="AC37" s="475"/>
      <c r="AD37" s="475"/>
      <c r="AE37" s="475"/>
      <c r="AF37" s="475"/>
      <c r="AG37" s="475"/>
      <c r="AH37" s="475"/>
      <c r="AI37" s="475"/>
      <c r="AJ37" s="475"/>
      <c r="AK37" s="475"/>
      <c r="AL37" s="475"/>
      <c r="AM37" s="475"/>
      <c r="AN37" s="475"/>
      <c r="AO37" s="475"/>
      <c r="AP37" s="475"/>
      <c r="AQ37" s="475"/>
      <c r="AR37" s="475"/>
      <c r="AS37" s="475"/>
      <c r="AT37" s="475"/>
      <c r="AU37" s="475"/>
      <c r="AV37" s="475"/>
      <c r="AW37" s="475"/>
      <c r="AX37" s="475"/>
      <c r="AY37" s="475"/>
      <c r="AZ37" s="475"/>
      <c r="BA37" s="475"/>
      <c r="BB37" s="475"/>
      <c r="BC37" s="475"/>
      <c r="BD37" s="475"/>
      <c r="BE37" s="476"/>
      <c r="BG37" s="325" t="s">
        <v>13</v>
      </c>
      <c r="BH37" s="125"/>
      <c r="BI37" s="125"/>
      <c r="BJ37" s="125"/>
      <c r="BK37" s="125"/>
      <c r="BL37" s="125"/>
      <c r="BM37" s="17" t="s">
        <v>93</v>
      </c>
      <c r="BN37" s="511"/>
      <c r="BO37" s="512"/>
      <c r="BP37" s="512"/>
      <c r="BQ37" s="585"/>
      <c r="BR37" s="512"/>
      <c r="BS37" s="586"/>
      <c r="BT37" s="589" t="str">
        <f t="shared" si="5"/>
        <v>-</v>
      </c>
      <c r="BU37" s="590"/>
      <c r="BV37" s="591"/>
      <c r="BW37" s="474"/>
      <c r="BX37" s="475"/>
      <c r="BY37" s="475"/>
      <c r="BZ37" s="475"/>
      <c r="CA37" s="475"/>
      <c r="CB37" s="475"/>
      <c r="CC37" s="475"/>
      <c r="CD37" s="475"/>
      <c r="CE37" s="475"/>
      <c r="CF37" s="475"/>
      <c r="CG37" s="475"/>
      <c r="CH37" s="475"/>
      <c r="CI37" s="475"/>
      <c r="CJ37" s="475"/>
      <c r="CK37" s="475"/>
      <c r="CL37" s="475"/>
      <c r="CM37" s="475"/>
      <c r="CN37" s="475"/>
      <c r="CO37" s="475"/>
      <c r="CP37" s="475"/>
      <c r="CQ37" s="475"/>
      <c r="CR37" s="475"/>
      <c r="CS37" s="475"/>
      <c r="CT37" s="475"/>
      <c r="CU37" s="475"/>
      <c r="CV37" s="475"/>
      <c r="CW37" s="475"/>
      <c r="CX37" s="475"/>
      <c r="CY37" s="475"/>
      <c r="CZ37" s="475"/>
      <c r="DA37" s="475"/>
      <c r="DB37" s="475"/>
      <c r="DC37" s="475"/>
      <c r="DD37" s="475"/>
      <c r="DE37" s="475"/>
      <c r="DF37" s="475"/>
      <c r="DG37" s="475"/>
      <c r="DH37" s="475"/>
      <c r="DI37" s="475"/>
      <c r="DJ37" s="475"/>
      <c r="DK37" s="475"/>
      <c r="DL37" s="476"/>
    </row>
    <row r="38" spans="1:118" ht="13.5" customHeight="1" x14ac:dyDescent="0.15">
      <c r="A38" s="49"/>
      <c r="B38" s="124" t="s">
        <v>83</v>
      </c>
      <c r="C38" s="125"/>
      <c r="D38" s="125"/>
      <c r="E38" s="125"/>
      <c r="F38" s="125"/>
      <c r="G38" s="321"/>
      <c r="H38" s="508"/>
      <c r="I38" s="326"/>
      <c r="J38" s="327"/>
      <c r="K38" s="326"/>
      <c r="L38" s="326"/>
      <c r="M38" s="327"/>
      <c r="N38" s="316" t="str">
        <f t="shared" si="6"/>
        <v>-</v>
      </c>
      <c r="O38" s="317"/>
      <c r="P38" s="318"/>
      <c r="Q38" s="474"/>
      <c r="R38" s="475"/>
      <c r="S38" s="475"/>
      <c r="T38" s="475"/>
      <c r="U38" s="475"/>
      <c r="V38" s="475"/>
      <c r="W38" s="475"/>
      <c r="X38" s="475"/>
      <c r="Y38" s="475"/>
      <c r="Z38" s="475"/>
      <c r="AA38" s="475"/>
      <c r="AB38" s="475"/>
      <c r="AC38" s="475"/>
      <c r="AD38" s="475"/>
      <c r="AE38" s="475"/>
      <c r="AF38" s="475"/>
      <c r="AG38" s="475"/>
      <c r="AH38" s="475"/>
      <c r="AI38" s="475"/>
      <c r="AJ38" s="475"/>
      <c r="AK38" s="475"/>
      <c r="AL38" s="475"/>
      <c r="AM38" s="475"/>
      <c r="AN38" s="475"/>
      <c r="AO38" s="475"/>
      <c r="AP38" s="475"/>
      <c r="AQ38" s="475"/>
      <c r="AR38" s="475"/>
      <c r="AS38" s="475"/>
      <c r="AT38" s="475"/>
      <c r="AU38" s="475"/>
      <c r="AV38" s="475"/>
      <c r="AW38" s="475"/>
      <c r="AX38" s="475"/>
      <c r="AY38" s="475"/>
      <c r="AZ38" s="475"/>
      <c r="BA38" s="475"/>
      <c r="BB38" s="475"/>
      <c r="BC38" s="475"/>
      <c r="BD38" s="475"/>
      <c r="BE38" s="476"/>
      <c r="BG38" s="325" t="s">
        <v>14</v>
      </c>
      <c r="BH38" s="125"/>
      <c r="BI38" s="125"/>
      <c r="BJ38" s="125"/>
      <c r="BK38" s="125"/>
      <c r="BL38" s="125"/>
      <c r="BM38" s="17" t="s">
        <v>93</v>
      </c>
      <c r="BN38" s="511"/>
      <c r="BO38" s="512"/>
      <c r="BP38" s="512"/>
      <c r="BQ38" s="585"/>
      <c r="BR38" s="512"/>
      <c r="BS38" s="586"/>
      <c r="BT38" s="589" t="str">
        <f t="shared" si="5"/>
        <v>-</v>
      </c>
      <c r="BU38" s="590"/>
      <c r="BV38" s="591"/>
      <c r="BW38" s="474"/>
      <c r="BX38" s="475"/>
      <c r="BY38" s="475"/>
      <c r="BZ38" s="475"/>
      <c r="CA38" s="475"/>
      <c r="CB38" s="475"/>
      <c r="CC38" s="475"/>
      <c r="CD38" s="475"/>
      <c r="CE38" s="475"/>
      <c r="CF38" s="475"/>
      <c r="CG38" s="475"/>
      <c r="CH38" s="475"/>
      <c r="CI38" s="475"/>
      <c r="CJ38" s="475"/>
      <c r="CK38" s="475"/>
      <c r="CL38" s="475"/>
      <c r="CM38" s="475"/>
      <c r="CN38" s="475"/>
      <c r="CO38" s="475"/>
      <c r="CP38" s="475"/>
      <c r="CQ38" s="475"/>
      <c r="CR38" s="475"/>
      <c r="CS38" s="475"/>
      <c r="CT38" s="475"/>
      <c r="CU38" s="475"/>
      <c r="CV38" s="475"/>
      <c r="CW38" s="475"/>
      <c r="CX38" s="475"/>
      <c r="CY38" s="475"/>
      <c r="CZ38" s="475"/>
      <c r="DA38" s="475"/>
      <c r="DB38" s="475"/>
      <c r="DC38" s="475"/>
      <c r="DD38" s="475"/>
      <c r="DE38" s="475"/>
      <c r="DF38" s="475"/>
      <c r="DG38" s="475"/>
      <c r="DH38" s="475"/>
      <c r="DI38" s="475"/>
      <c r="DJ38" s="475"/>
      <c r="DK38" s="475"/>
      <c r="DL38" s="476"/>
    </row>
    <row r="39" spans="1:118" ht="13.5" customHeight="1" x14ac:dyDescent="0.15">
      <c r="A39" s="49"/>
      <c r="B39" s="124" t="s">
        <v>84</v>
      </c>
      <c r="C39" s="125"/>
      <c r="D39" s="125"/>
      <c r="E39" s="125"/>
      <c r="F39" s="125"/>
      <c r="G39" s="321"/>
      <c r="H39" s="508"/>
      <c r="I39" s="326"/>
      <c r="J39" s="327"/>
      <c r="K39" s="326"/>
      <c r="L39" s="326"/>
      <c r="M39" s="327"/>
      <c r="N39" s="316" t="str">
        <f t="shared" si="6"/>
        <v>-</v>
      </c>
      <c r="O39" s="317"/>
      <c r="P39" s="318"/>
      <c r="Q39" s="474"/>
      <c r="R39" s="475"/>
      <c r="S39" s="475"/>
      <c r="T39" s="475"/>
      <c r="U39" s="475"/>
      <c r="V39" s="475"/>
      <c r="W39" s="475"/>
      <c r="X39" s="475"/>
      <c r="Y39" s="475"/>
      <c r="Z39" s="475"/>
      <c r="AA39" s="475"/>
      <c r="AB39" s="475"/>
      <c r="AC39" s="475"/>
      <c r="AD39" s="475"/>
      <c r="AE39" s="475"/>
      <c r="AF39" s="475"/>
      <c r="AG39" s="475"/>
      <c r="AH39" s="475"/>
      <c r="AI39" s="475"/>
      <c r="AJ39" s="475"/>
      <c r="AK39" s="475"/>
      <c r="AL39" s="475"/>
      <c r="AM39" s="475"/>
      <c r="AN39" s="475"/>
      <c r="AO39" s="475"/>
      <c r="AP39" s="475"/>
      <c r="AQ39" s="475"/>
      <c r="AR39" s="475"/>
      <c r="AS39" s="475"/>
      <c r="AT39" s="475"/>
      <c r="AU39" s="475"/>
      <c r="AV39" s="475"/>
      <c r="AW39" s="475"/>
      <c r="AX39" s="475"/>
      <c r="AY39" s="475"/>
      <c r="AZ39" s="475"/>
      <c r="BA39" s="475"/>
      <c r="BB39" s="475"/>
      <c r="BC39" s="475"/>
      <c r="BD39" s="475"/>
      <c r="BE39" s="476"/>
      <c r="BG39" s="292" t="s">
        <v>15</v>
      </c>
      <c r="BH39" s="293"/>
      <c r="BI39" s="293"/>
      <c r="BJ39" s="293"/>
      <c r="BK39" s="293"/>
      <c r="BL39" s="293"/>
      <c r="BM39" s="23" t="s">
        <v>93</v>
      </c>
      <c r="BN39" s="509"/>
      <c r="BO39" s="510"/>
      <c r="BP39" s="510"/>
      <c r="BQ39" s="576"/>
      <c r="BR39" s="577"/>
      <c r="BS39" s="578"/>
      <c r="BT39" s="579" t="str">
        <f t="shared" si="5"/>
        <v>-</v>
      </c>
      <c r="BU39" s="580"/>
      <c r="BV39" s="581"/>
      <c r="BW39" s="477"/>
      <c r="BX39" s="478"/>
      <c r="BY39" s="478"/>
      <c r="BZ39" s="478"/>
      <c r="CA39" s="478"/>
      <c r="CB39" s="478"/>
      <c r="CC39" s="478"/>
      <c r="CD39" s="478"/>
      <c r="CE39" s="478"/>
      <c r="CF39" s="478"/>
      <c r="CG39" s="478"/>
      <c r="CH39" s="478"/>
      <c r="CI39" s="478"/>
      <c r="CJ39" s="478"/>
      <c r="CK39" s="478"/>
      <c r="CL39" s="478"/>
      <c r="CM39" s="478"/>
      <c r="CN39" s="478"/>
      <c r="CO39" s="478"/>
      <c r="CP39" s="478"/>
      <c r="CQ39" s="478"/>
      <c r="CR39" s="478"/>
      <c r="CS39" s="478"/>
      <c r="CT39" s="478"/>
      <c r="CU39" s="478"/>
      <c r="CV39" s="478"/>
      <c r="CW39" s="478"/>
      <c r="CX39" s="478"/>
      <c r="CY39" s="478"/>
      <c r="CZ39" s="478"/>
      <c r="DA39" s="478"/>
      <c r="DB39" s="478"/>
      <c r="DC39" s="478"/>
      <c r="DD39" s="478"/>
      <c r="DE39" s="478"/>
      <c r="DF39" s="478"/>
      <c r="DG39" s="478"/>
      <c r="DH39" s="478"/>
      <c r="DI39" s="478"/>
      <c r="DJ39" s="478"/>
      <c r="DK39" s="478"/>
      <c r="DL39" s="479"/>
    </row>
    <row r="40" spans="1:118" ht="13.5" customHeight="1" x14ac:dyDescent="0.15">
      <c r="A40" s="48"/>
      <c r="B40" s="346" t="s">
        <v>85</v>
      </c>
      <c r="C40" s="293"/>
      <c r="D40" s="293"/>
      <c r="E40" s="293"/>
      <c r="F40" s="293"/>
      <c r="G40" s="347"/>
      <c r="H40" s="528"/>
      <c r="I40" s="529"/>
      <c r="J40" s="530"/>
      <c r="K40" s="529"/>
      <c r="L40" s="529"/>
      <c r="M40" s="530"/>
      <c r="N40" s="322" t="str">
        <f t="shared" si="6"/>
        <v>-</v>
      </c>
      <c r="O40" s="323"/>
      <c r="P40" s="324"/>
      <c r="Q40" s="477"/>
      <c r="R40" s="478"/>
      <c r="S40" s="478"/>
      <c r="T40" s="478"/>
      <c r="U40" s="478"/>
      <c r="V40" s="478"/>
      <c r="W40" s="478"/>
      <c r="X40" s="478"/>
      <c r="Y40" s="478"/>
      <c r="Z40" s="478"/>
      <c r="AA40" s="478"/>
      <c r="AB40" s="478"/>
      <c r="AC40" s="478"/>
      <c r="AD40" s="478"/>
      <c r="AE40" s="478"/>
      <c r="AF40" s="478"/>
      <c r="AG40" s="478"/>
      <c r="AH40" s="478"/>
      <c r="AI40" s="478"/>
      <c r="AJ40" s="478"/>
      <c r="AK40" s="478"/>
      <c r="AL40" s="478"/>
      <c r="AM40" s="478"/>
      <c r="AN40" s="478"/>
      <c r="AO40" s="478"/>
      <c r="AP40" s="478"/>
      <c r="AQ40" s="478"/>
      <c r="AR40" s="478"/>
      <c r="AS40" s="478"/>
      <c r="AT40" s="478"/>
      <c r="AU40" s="478"/>
      <c r="AV40" s="478"/>
      <c r="AW40" s="478"/>
      <c r="AX40" s="478"/>
      <c r="AY40" s="478"/>
      <c r="AZ40" s="478"/>
      <c r="BA40" s="478"/>
      <c r="BB40" s="478"/>
      <c r="BC40" s="478"/>
      <c r="BD40" s="478"/>
      <c r="BE40" s="479"/>
    </row>
    <row r="41" spans="1:118" ht="12.95" customHeight="1" x14ac:dyDescent="0.15">
      <c r="A41" s="426" t="s">
        <v>150</v>
      </c>
      <c r="B41" s="427"/>
      <c r="C41" s="427"/>
      <c r="D41" s="427"/>
      <c r="E41" s="427"/>
      <c r="F41" s="43" t="s">
        <v>151</v>
      </c>
      <c r="G41" s="44"/>
      <c r="H41" s="525"/>
      <c r="I41" s="526"/>
      <c r="J41" s="527"/>
      <c r="K41" s="526"/>
      <c r="L41" s="526"/>
      <c r="M41" s="527"/>
      <c r="N41" s="423" t="str">
        <f>IF(H41="-", "-", IF(K41="-", "-", IF(ABS(K41)=0, "-", ROUND(100*(H41-K41)/ABS(K41),1))))</f>
        <v>-</v>
      </c>
      <c r="O41" s="424"/>
      <c r="P41" s="425"/>
      <c r="Q41" s="522"/>
      <c r="R41" s="523"/>
      <c r="S41" s="523"/>
      <c r="T41" s="523"/>
      <c r="U41" s="523"/>
      <c r="V41" s="523"/>
      <c r="W41" s="523"/>
      <c r="X41" s="523"/>
      <c r="Y41" s="523"/>
      <c r="Z41" s="523"/>
      <c r="AA41" s="523"/>
      <c r="AB41" s="523"/>
      <c r="AC41" s="523"/>
      <c r="AD41" s="523"/>
      <c r="AE41" s="523"/>
      <c r="AF41" s="523"/>
      <c r="AG41" s="523"/>
      <c r="AH41" s="523"/>
      <c r="AI41" s="523"/>
      <c r="AJ41" s="523"/>
      <c r="AK41" s="523"/>
      <c r="AL41" s="523"/>
      <c r="AM41" s="523"/>
      <c r="AN41" s="523"/>
      <c r="AO41" s="523"/>
      <c r="AP41" s="523"/>
      <c r="AQ41" s="523"/>
      <c r="AR41" s="523"/>
      <c r="AS41" s="523"/>
      <c r="AT41" s="523"/>
      <c r="AU41" s="523"/>
      <c r="AV41" s="523"/>
      <c r="AW41" s="523"/>
      <c r="AX41" s="523"/>
      <c r="AY41" s="523"/>
      <c r="AZ41" s="523"/>
      <c r="BA41" s="523"/>
      <c r="BB41" s="523"/>
      <c r="BC41" s="523"/>
      <c r="BD41" s="523"/>
      <c r="BE41" s="524"/>
      <c r="BG41" s="4" t="s">
        <v>160</v>
      </c>
      <c r="BH41" s="80"/>
      <c r="BI41" s="81"/>
      <c r="BJ41" s="81"/>
      <c r="BK41" s="8"/>
      <c r="BL41" s="8"/>
      <c r="BM41" s="8"/>
      <c r="BN41" s="80"/>
      <c r="BO41" s="81"/>
      <c r="BP41" s="81"/>
      <c r="BQ41" s="80"/>
      <c r="BR41" s="81"/>
      <c r="BS41" s="81"/>
      <c r="BT41" s="8"/>
      <c r="BU41" s="8"/>
      <c r="BV41" s="8"/>
    </row>
    <row r="42" spans="1:118" ht="12.95" customHeight="1" x14ac:dyDescent="0.15">
      <c r="BG42" s="519"/>
      <c r="BH42" s="520"/>
      <c r="BI42" s="520"/>
      <c r="BJ42" s="520"/>
      <c r="BK42" s="520"/>
      <c r="BL42" s="520"/>
      <c r="BM42" s="521"/>
      <c r="BN42" s="277">
        <f>H6</f>
        <v>0</v>
      </c>
      <c r="BO42" s="278"/>
      <c r="BP42" s="279"/>
      <c r="BQ42" s="281">
        <f>K6</f>
        <v>-1</v>
      </c>
      <c r="BR42" s="281"/>
      <c r="BS42" s="282"/>
      <c r="BT42" s="502" t="s">
        <v>2</v>
      </c>
      <c r="BU42" s="503"/>
      <c r="BV42" s="504"/>
      <c r="BW42" s="480" t="s">
        <v>159</v>
      </c>
      <c r="BX42" s="481"/>
      <c r="BY42" s="481"/>
      <c r="BZ42" s="481"/>
      <c r="CA42" s="481"/>
      <c r="CB42" s="481"/>
      <c r="CC42" s="481"/>
      <c r="CD42" s="481"/>
      <c r="CE42" s="481"/>
      <c r="CF42" s="481"/>
      <c r="CG42" s="481"/>
      <c r="CH42" s="481"/>
      <c r="CI42" s="481"/>
      <c r="CJ42" s="481"/>
      <c r="CK42" s="481"/>
      <c r="CL42" s="481"/>
      <c r="CM42" s="481"/>
      <c r="CN42" s="481"/>
      <c r="CO42" s="481"/>
      <c r="CP42" s="481"/>
      <c r="CQ42" s="481"/>
      <c r="CR42" s="481"/>
      <c r="CS42" s="481"/>
      <c r="CT42" s="481"/>
      <c r="CU42" s="481"/>
      <c r="CV42" s="481"/>
      <c r="CW42" s="481"/>
      <c r="CX42" s="481"/>
      <c r="CY42" s="481"/>
      <c r="CZ42" s="481"/>
      <c r="DA42" s="481"/>
      <c r="DB42" s="481"/>
      <c r="DC42" s="481"/>
      <c r="DD42" s="481"/>
      <c r="DE42" s="481"/>
      <c r="DF42" s="481"/>
      <c r="DG42" s="481"/>
      <c r="DH42" s="481"/>
      <c r="DI42" s="481"/>
      <c r="DJ42" s="481"/>
      <c r="DK42" s="481"/>
      <c r="DL42" s="482"/>
      <c r="DM42"/>
      <c r="DN42"/>
    </row>
    <row r="43" spans="1:118" ht="12.95" customHeight="1" x14ac:dyDescent="0.15">
      <c r="BG43" s="299" t="s">
        <v>161</v>
      </c>
      <c r="BH43" s="300"/>
      <c r="BI43" s="300"/>
      <c r="BJ43" s="300"/>
      <c r="BK43" s="300"/>
      <c r="BL43" s="300"/>
      <c r="BM43" s="16" t="s">
        <v>162</v>
      </c>
      <c r="BN43" s="497"/>
      <c r="BO43" s="498"/>
      <c r="BP43" s="499"/>
      <c r="BQ43" s="200"/>
      <c r="BR43" s="201"/>
      <c r="BS43" s="201"/>
      <c r="BT43" s="303" t="str">
        <f>IF(BN43="-", "-", IF(BQ43="-", "-", IF(ABS(BQ43)=0, "-", ROUND(100*(BN43-BQ43)/ABS(BQ43),10))))</f>
        <v>-</v>
      </c>
      <c r="BU43" s="303"/>
      <c r="BV43" s="304"/>
      <c r="BW43" s="483"/>
      <c r="BX43" s="484"/>
      <c r="BY43" s="484"/>
      <c r="BZ43" s="484"/>
      <c r="CA43" s="484"/>
      <c r="CB43" s="484"/>
      <c r="CC43" s="484"/>
      <c r="CD43" s="484"/>
      <c r="CE43" s="484"/>
      <c r="CF43" s="484"/>
      <c r="CG43" s="484"/>
      <c r="CH43" s="484"/>
      <c r="CI43" s="484"/>
      <c r="CJ43" s="484"/>
      <c r="CK43" s="484"/>
      <c r="CL43" s="484"/>
      <c r="CM43" s="484"/>
      <c r="CN43" s="484"/>
      <c r="CO43" s="484"/>
      <c r="CP43" s="484"/>
      <c r="CQ43" s="484"/>
      <c r="CR43" s="484"/>
      <c r="CS43" s="484"/>
      <c r="CT43" s="484"/>
      <c r="CU43" s="484"/>
      <c r="CV43" s="484"/>
      <c r="CW43" s="484"/>
      <c r="CX43" s="484"/>
      <c r="CY43" s="484"/>
      <c r="CZ43" s="484"/>
      <c r="DA43" s="484"/>
      <c r="DB43" s="484"/>
      <c r="DC43" s="484"/>
      <c r="DD43" s="484"/>
      <c r="DE43" s="484"/>
      <c r="DF43" s="484"/>
      <c r="DG43" s="484"/>
      <c r="DH43" s="484"/>
      <c r="DI43" s="484"/>
      <c r="DJ43" s="484"/>
      <c r="DK43" s="484"/>
      <c r="DL43" s="485"/>
      <c r="DM43"/>
      <c r="DN43"/>
    </row>
    <row r="44" spans="1:118" ht="14.1" customHeight="1" x14ac:dyDescent="0.15">
      <c r="BG44" s="325" t="s">
        <v>163</v>
      </c>
      <c r="BH44" s="125"/>
      <c r="BI44" s="125"/>
      <c r="BJ44" s="125"/>
      <c r="BK44" s="125"/>
      <c r="BL44" s="125"/>
      <c r="BM44" s="17" t="s">
        <v>92</v>
      </c>
      <c r="BN44" s="190"/>
      <c r="BO44" s="176"/>
      <c r="BP44" s="189"/>
      <c r="BQ44" s="175"/>
      <c r="BR44" s="176"/>
      <c r="BS44" s="176"/>
      <c r="BT44" s="500" t="str">
        <f>IF(BN44="-", "-", IF(BQ44="-", "-", IF(ABS(BQ44)=0, "-", ROUND(100*(BN44-BQ44)/ABS(BQ44),10))))</f>
        <v>-</v>
      </c>
      <c r="BU44" s="500"/>
      <c r="BV44" s="501"/>
      <c r="BW44" s="474"/>
      <c r="BX44" s="475"/>
      <c r="BY44" s="475"/>
      <c r="BZ44" s="475"/>
      <c r="CA44" s="475"/>
      <c r="CB44" s="475"/>
      <c r="CC44" s="475"/>
      <c r="CD44" s="475"/>
      <c r="CE44" s="475"/>
      <c r="CF44" s="475"/>
      <c r="CG44" s="475"/>
      <c r="CH44" s="475"/>
      <c r="CI44" s="475"/>
      <c r="CJ44" s="475"/>
      <c r="CK44" s="475"/>
      <c r="CL44" s="475"/>
      <c r="CM44" s="475"/>
      <c r="CN44" s="475"/>
      <c r="CO44" s="475"/>
      <c r="CP44" s="475"/>
      <c r="CQ44" s="475"/>
      <c r="CR44" s="475"/>
      <c r="CS44" s="475"/>
      <c r="CT44" s="475"/>
      <c r="CU44" s="475"/>
      <c r="CV44" s="475"/>
      <c r="CW44" s="475"/>
      <c r="CX44" s="475"/>
      <c r="CY44" s="475"/>
      <c r="CZ44" s="475"/>
      <c r="DA44" s="475"/>
      <c r="DB44" s="475"/>
      <c r="DC44" s="475"/>
      <c r="DD44" s="475"/>
      <c r="DE44" s="475"/>
      <c r="DF44" s="475"/>
      <c r="DG44" s="475"/>
      <c r="DH44" s="475"/>
      <c r="DI44" s="475"/>
      <c r="DJ44" s="475"/>
      <c r="DK44" s="475"/>
      <c r="DL44" s="476"/>
      <c r="DM44"/>
      <c r="DN44"/>
    </row>
    <row r="45" spans="1:118" ht="14.1" customHeight="1" x14ac:dyDescent="0.15">
      <c r="BG45" s="292" t="s">
        <v>164</v>
      </c>
      <c r="BH45" s="293"/>
      <c r="BI45" s="293"/>
      <c r="BJ45" s="293"/>
      <c r="BK45" s="293"/>
      <c r="BL45" s="293"/>
      <c r="BM45" s="23" t="s">
        <v>162</v>
      </c>
      <c r="BN45" s="87"/>
      <c r="BO45" s="88"/>
      <c r="BP45" s="89"/>
      <c r="BQ45" s="96"/>
      <c r="BR45" s="88"/>
      <c r="BS45" s="88"/>
      <c r="BT45" s="495" t="str">
        <f>IF(BN45="-", "-", IF(BQ45="-", "-", IF(ABS(BQ45)=0, "-", ROUND(100*(BN45-BQ45)/ABS(BQ45),10))))</f>
        <v>-</v>
      </c>
      <c r="BU45" s="495"/>
      <c r="BV45" s="496"/>
      <c r="BW45" s="477"/>
      <c r="BX45" s="478"/>
      <c r="BY45" s="478"/>
      <c r="BZ45" s="478"/>
      <c r="CA45" s="478"/>
      <c r="CB45" s="478"/>
      <c r="CC45" s="478"/>
      <c r="CD45" s="478"/>
      <c r="CE45" s="478"/>
      <c r="CF45" s="478"/>
      <c r="CG45" s="478"/>
      <c r="CH45" s="478"/>
      <c r="CI45" s="478"/>
      <c r="CJ45" s="478"/>
      <c r="CK45" s="478"/>
      <c r="CL45" s="478"/>
      <c r="CM45" s="478"/>
      <c r="CN45" s="478"/>
      <c r="CO45" s="478"/>
      <c r="CP45" s="478"/>
      <c r="CQ45" s="478"/>
      <c r="CR45" s="478"/>
      <c r="CS45" s="478"/>
      <c r="CT45" s="478"/>
      <c r="CU45" s="478"/>
      <c r="CV45" s="478"/>
      <c r="CW45" s="478"/>
      <c r="CX45" s="478"/>
      <c r="CY45" s="478"/>
      <c r="CZ45" s="478"/>
      <c r="DA45" s="478"/>
      <c r="DB45" s="478"/>
      <c r="DC45" s="478"/>
      <c r="DD45" s="478"/>
      <c r="DE45" s="478"/>
      <c r="DF45" s="478"/>
      <c r="DG45" s="478"/>
      <c r="DH45" s="478"/>
      <c r="DI45" s="478"/>
      <c r="DJ45" s="478"/>
      <c r="DK45" s="478"/>
      <c r="DL45" s="479"/>
      <c r="DM45"/>
      <c r="DN45"/>
    </row>
    <row r="46" spans="1:118" ht="14.1" customHeight="1" x14ac:dyDescent="0.15">
      <c r="DM46"/>
      <c r="DN46"/>
    </row>
  </sheetData>
  <mergeCells count="359">
    <mergeCell ref="BW42:DL42"/>
    <mergeCell ref="BW43:DL43"/>
    <mergeCell ref="BW44:DL44"/>
    <mergeCell ref="BW45:DL45"/>
    <mergeCell ref="H22:J22"/>
    <mergeCell ref="K22:M22"/>
    <mergeCell ref="H23:J23"/>
    <mergeCell ref="K23:M23"/>
    <mergeCell ref="T25:V25"/>
    <mergeCell ref="Q26:S26"/>
    <mergeCell ref="T26:V26"/>
    <mergeCell ref="Q28:S28"/>
    <mergeCell ref="T28:V28"/>
    <mergeCell ref="T24:V24"/>
    <mergeCell ref="T22:V22"/>
    <mergeCell ref="N24:P24"/>
    <mergeCell ref="Q24:S24"/>
    <mergeCell ref="CF24:DL24"/>
    <mergeCell ref="CC24:CE24"/>
    <mergeCell ref="BW24:BY24"/>
    <mergeCell ref="BZ24:CB24"/>
    <mergeCell ref="H38:J38"/>
    <mergeCell ref="K38:M38"/>
    <mergeCell ref="K35:M35"/>
    <mergeCell ref="N35:P35"/>
    <mergeCell ref="H34:J34"/>
    <mergeCell ref="H27:J27"/>
    <mergeCell ref="K27:M27"/>
    <mergeCell ref="BT38:BV38"/>
    <mergeCell ref="BT35:BV35"/>
    <mergeCell ref="BT37:BV37"/>
    <mergeCell ref="BQ33:BS33"/>
    <mergeCell ref="W24:Y24"/>
    <mergeCell ref="Q29:S29"/>
    <mergeCell ref="T29:V29"/>
    <mergeCell ref="H33:P33"/>
    <mergeCell ref="H29:J29"/>
    <mergeCell ref="K29:M29"/>
    <mergeCell ref="W31:Y31"/>
    <mergeCell ref="BT33:BV33"/>
    <mergeCell ref="W28:Y28"/>
    <mergeCell ref="Q36:BE36"/>
    <mergeCell ref="Q37:BE37"/>
    <mergeCell ref="Q38:BE38"/>
    <mergeCell ref="Q31:S31"/>
    <mergeCell ref="T31:V31"/>
    <mergeCell ref="BH26:BM26"/>
    <mergeCell ref="BT29:BV29"/>
    <mergeCell ref="CF20:DL20"/>
    <mergeCell ref="CF21:DL21"/>
    <mergeCell ref="CF22:DL22"/>
    <mergeCell ref="CF23:DL23"/>
    <mergeCell ref="BZ20:CB20"/>
    <mergeCell ref="BZ22:CB22"/>
    <mergeCell ref="CC22:CE22"/>
    <mergeCell ref="CC19:CE19"/>
    <mergeCell ref="BW18:BY18"/>
    <mergeCell ref="BZ18:CB18"/>
    <mergeCell ref="CC18:CE18"/>
    <mergeCell ref="BW22:BY22"/>
    <mergeCell ref="CC23:CE23"/>
    <mergeCell ref="BZ23:CB23"/>
    <mergeCell ref="BW19:BY19"/>
    <mergeCell ref="BZ19:CB19"/>
    <mergeCell ref="BQ39:BS39"/>
    <mergeCell ref="BT39:BV39"/>
    <mergeCell ref="BW37:DL37"/>
    <mergeCell ref="BW38:DL38"/>
    <mergeCell ref="BW39:DL39"/>
    <mergeCell ref="CC26:CE26"/>
    <mergeCell ref="BW25:BY25"/>
    <mergeCell ref="BZ25:CB25"/>
    <mergeCell ref="BT34:BV34"/>
    <mergeCell ref="BQ37:BS37"/>
    <mergeCell ref="BQ34:BS34"/>
    <mergeCell ref="BQ38:BS38"/>
    <mergeCell ref="BQ36:BS36"/>
    <mergeCell ref="BT36:BV36"/>
    <mergeCell ref="CF25:DL25"/>
    <mergeCell ref="CF26:DL26"/>
    <mergeCell ref="CC25:CE25"/>
    <mergeCell ref="BW29:DL29"/>
    <mergeCell ref="BW30:DL30"/>
    <mergeCell ref="BW34:DL34"/>
    <mergeCell ref="BW35:DL35"/>
    <mergeCell ref="BW36:DL36"/>
    <mergeCell ref="BW33:DL33"/>
    <mergeCell ref="BQ35:BS35"/>
    <mergeCell ref="BW10:DL10"/>
    <mergeCell ref="BW11:DL11"/>
    <mergeCell ref="BW12:DL12"/>
    <mergeCell ref="BQ24:BS24"/>
    <mergeCell ref="BT22:BV22"/>
    <mergeCell ref="BQ19:BS19"/>
    <mergeCell ref="BQ20:BS20"/>
    <mergeCell ref="BQ21:BS21"/>
    <mergeCell ref="BW17:BY17"/>
    <mergeCell ref="BZ17:CB17"/>
    <mergeCell ref="CC17:CE17"/>
    <mergeCell ref="BW15:CE15"/>
    <mergeCell ref="CC16:CE16"/>
    <mergeCell ref="CC20:CE20"/>
    <mergeCell ref="BW23:BY23"/>
    <mergeCell ref="BW21:BY21"/>
    <mergeCell ref="BZ21:CB21"/>
    <mergeCell ref="CC21:CE21"/>
    <mergeCell ref="BW20:BY20"/>
    <mergeCell ref="CF15:DL16"/>
    <mergeCell ref="BT24:BV24"/>
    <mergeCell ref="CF17:DL17"/>
    <mergeCell ref="CF18:DL18"/>
    <mergeCell ref="CF19:DL19"/>
    <mergeCell ref="BG35:BL35"/>
    <mergeCell ref="BN35:BP35"/>
    <mergeCell ref="BN37:BP37"/>
    <mergeCell ref="BN33:BP33"/>
    <mergeCell ref="BG34:BL34"/>
    <mergeCell ref="BG33:BM33"/>
    <mergeCell ref="BG37:BL37"/>
    <mergeCell ref="BG36:BL36"/>
    <mergeCell ref="BN36:BP36"/>
    <mergeCell ref="W22:Y22"/>
    <mergeCell ref="BT23:BV23"/>
    <mergeCell ref="BN22:BP22"/>
    <mergeCell ref="BH24:BM24"/>
    <mergeCell ref="W26:Y26"/>
    <mergeCell ref="Z22:BE22"/>
    <mergeCell ref="Z23:BE23"/>
    <mergeCell ref="Z24:BE24"/>
    <mergeCell ref="Z25:BE25"/>
    <mergeCell ref="Z26:BE26"/>
    <mergeCell ref="BH25:BM25"/>
    <mergeCell ref="BT25:BV25"/>
    <mergeCell ref="BN25:BP25"/>
    <mergeCell ref="BN26:BP26"/>
    <mergeCell ref="BQ25:BS25"/>
    <mergeCell ref="BG22:BG26"/>
    <mergeCell ref="BH22:BM22"/>
    <mergeCell ref="BN23:BP23"/>
    <mergeCell ref="BN24:BP24"/>
    <mergeCell ref="BQ22:BS22"/>
    <mergeCell ref="BQ23:BS23"/>
    <mergeCell ref="BH23:BM23"/>
    <mergeCell ref="W23:Y23"/>
    <mergeCell ref="BQ26:BS26"/>
    <mergeCell ref="BG30:BL30"/>
    <mergeCell ref="BT30:BV30"/>
    <mergeCell ref="BN29:BP29"/>
    <mergeCell ref="BQ29:BS29"/>
    <mergeCell ref="BG29:BM29"/>
    <mergeCell ref="BT26:BV26"/>
    <mergeCell ref="BN30:BP30"/>
    <mergeCell ref="BQ30:BS30"/>
    <mergeCell ref="W29:Y29"/>
    <mergeCell ref="Z27:BE27"/>
    <mergeCell ref="Z28:BE28"/>
    <mergeCell ref="Z29:BE29"/>
    <mergeCell ref="BW26:BY26"/>
    <mergeCell ref="BZ26:CB26"/>
    <mergeCell ref="H25:J25"/>
    <mergeCell ref="K25:M25"/>
    <mergeCell ref="H26:J26"/>
    <mergeCell ref="K26:M26"/>
    <mergeCell ref="A25:G25"/>
    <mergeCell ref="N25:P25"/>
    <mergeCell ref="A28:G28"/>
    <mergeCell ref="N28:P28"/>
    <mergeCell ref="A26:G26"/>
    <mergeCell ref="W27:Y27"/>
    <mergeCell ref="W25:Y25"/>
    <mergeCell ref="K28:M28"/>
    <mergeCell ref="T27:V27"/>
    <mergeCell ref="N26:P26"/>
    <mergeCell ref="H19:J19"/>
    <mergeCell ref="K19:M19"/>
    <mergeCell ref="H20:J20"/>
    <mergeCell ref="K20:M20"/>
    <mergeCell ref="H21:J21"/>
    <mergeCell ref="K21:M21"/>
    <mergeCell ref="BH20:BM20"/>
    <mergeCell ref="T20:V20"/>
    <mergeCell ref="Z17:BE17"/>
    <mergeCell ref="Z18:BE18"/>
    <mergeCell ref="Z19:BE19"/>
    <mergeCell ref="W17:Y17"/>
    <mergeCell ref="BH17:BM17"/>
    <mergeCell ref="Z20:BE20"/>
    <mergeCell ref="Z21:BE21"/>
    <mergeCell ref="W19:Y19"/>
    <mergeCell ref="W20:Y20"/>
    <mergeCell ref="W18:Y18"/>
    <mergeCell ref="W21:Y21"/>
    <mergeCell ref="N19:P19"/>
    <mergeCell ref="Q19:S19"/>
    <mergeCell ref="BT11:BV11"/>
    <mergeCell ref="BT12:BV12"/>
    <mergeCell ref="BN11:BP11"/>
    <mergeCell ref="BQ11:BS11"/>
    <mergeCell ref="BN12:BP12"/>
    <mergeCell ref="BQ12:BS12"/>
    <mergeCell ref="BQ10:BS10"/>
    <mergeCell ref="BG17:BG21"/>
    <mergeCell ref="BT19:BV19"/>
    <mergeCell ref="BH18:BM18"/>
    <mergeCell ref="BT17:BV17"/>
    <mergeCell ref="BN17:BP17"/>
    <mergeCell ref="BQ17:BS17"/>
    <mergeCell ref="BN18:BP18"/>
    <mergeCell ref="BN19:BP19"/>
    <mergeCell ref="BT21:BV21"/>
    <mergeCell ref="BH21:BM21"/>
    <mergeCell ref="BN20:BP20"/>
    <mergeCell ref="BN21:BP21"/>
    <mergeCell ref="BT18:BV18"/>
    <mergeCell ref="BQ18:BS18"/>
    <mergeCell ref="BN15:BV15"/>
    <mergeCell ref="BT20:BV20"/>
    <mergeCell ref="BQ16:BS16"/>
    <mergeCell ref="BT16:BV16"/>
    <mergeCell ref="BH19:BM19"/>
    <mergeCell ref="BW16:BY16"/>
    <mergeCell ref="BZ16:CB16"/>
    <mergeCell ref="N16:P16"/>
    <mergeCell ref="Q16:S16"/>
    <mergeCell ref="T16:V16"/>
    <mergeCell ref="BN16:BP16"/>
    <mergeCell ref="W16:Y16"/>
    <mergeCell ref="H5:P5"/>
    <mergeCell ref="Q5:Y5"/>
    <mergeCell ref="W8:Y8"/>
    <mergeCell ref="N8:P8"/>
    <mergeCell ref="H16:J16"/>
    <mergeCell ref="K16:M16"/>
    <mergeCell ref="BG10:BM10"/>
    <mergeCell ref="BG11:BL11"/>
    <mergeCell ref="BG12:BL12"/>
    <mergeCell ref="BN10:BP10"/>
    <mergeCell ref="BG15:BM16"/>
    <mergeCell ref="H15:P15"/>
    <mergeCell ref="Q15:Y15"/>
    <mergeCell ref="Z5:BE6"/>
    <mergeCell ref="Z7:BE7"/>
    <mergeCell ref="Z15:BE16"/>
    <mergeCell ref="BT10:BV10"/>
    <mergeCell ref="A21:G21"/>
    <mergeCell ref="Z8:BE8"/>
    <mergeCell ref="A1:AS2"/>
    <mergeCell ref="W6:Y6"/>
    <mergeCell ref="A7:G7"/>
    <mergeCell ref="H6:J6"/>
    <mergeCell ref="K6:M6"/>
    <mergeCell ref="N6:P6"/>
    <mergeCell ref="H8:J8"/>
    <mergeCell ref="K8:M8"/>
    <mergeCell ref="Q7:S7"/>
    <mergeCell ref="T7:V7"/>
    <mergeCell ref="Q8:S8"/>
    <mergeCell ref="T8:V8"/>
    <mergeCell ref="K7:M7"/>
    <mergeCell ref="N7:P7"/>
    <mergeCell ref="W7:Y7"/>
    <mergeCell ref="A5:G6"/>
    <mergeCell ref="Q6:S6"/>
    <mergeCell ref="T6:V6"/>
    <mergeCell ref="A8:G8"/>
    <mergeCell ref="H7:J7"/>
    <mergeCell ref="AT1:BE1"/>
    <mergeCell ref="AT2:BE2"/>
    <mergeCell ref="A22:G22"/>
    <mergeCell ref="N22:P22"/>
    <mergeCell ref="Q22:S22"/>
    <mergeCell ref="B18:G18"/>
    <mergeCell ref="N18:P18"/>
    <mergeCell ref="Q18:S18"/>
    <mergeCell ref="T18:V18"/>
    <mergeCell ref="A15:G16"/>
    <mergeCell ref="A17:G17"/>
    <mergeCell ref="N17:P17"/>
    <mergeCell ref="Q17:S17"/>
    <mergeCell ref="T17:V17"/>
    <mergeCell ref="H18:J18"/>
    <mergeCell ref="K18:M18"/>
    <mergeCell ref="H17:J17"/>
    <mergeCell ref="K17:M17"/>
    <mergeCell ref="A20:G20"/>
    <mergeCell ref="N21:P21"/>
    <mergeCell ref="Q21:S21"/>
    <mergeCell ref="T21:V21"/>
    <mergeCell ref="B19:G19"/>
    <mergeCell ref="T19:V19"/>
    <mergeCell ref="N20:P20"/>
    <mergeCell ref="Q20:S20"/>
    <mergeCell ref="A23:G23"/>
    <mergeCell ref="N23:P23"/>
    <mergeCell ref="Q23:S23"/>
    <mergeCell ref="T23:V23"/>
    <mergeCell ref="A24:G24"/>
    <mergeCell ref="H24:J24"/>
    <mergeCell ref="K24:M24"/>
    <mergeCell ref="A29:G29"/>
    <mergeCell ref="N29:P29"/>
    <mergeCell ref="Q25:S25"/>
    <mergeCell ref="A27:G27"/>
    <mergeCell ref="N27:P27"/>
    <mergeCell ref="Q27:S27"/>
    <mergeCell ref="H28:J28"/>
    <mergeCell ref="A36:G36"/>
    <mergeCell ref="BG42:BM42"/>
    <mergeCell ref="BN42:BP42"/>
    <mergeCell ref="Q41:BE41"/>
    <mergeCell ref="H41:J41"/>
    <mergeCell ref="K41:M41"/>
    <mergeCell ref="N41:P41"/>
    <mergeCell ref="H39:J39"/>
    <mergeCell ref="K39:M39"/>
    <mergeCell ref="H40:J40"/>
    <mergeCell ref="B40:G40"/>
    <mergeCell ref="B39:G39"/>
    <mergeCell ref="N39:P39"/>
    <mergeCell ref="K40:M40"/>
    <mergeCell ref="N40:P40"/>
    <mergeCell ref="Q40:BE40"/>
    <mergeCell ref="Q39:BE39"/>
    <mergeCell ref="BQ42:BS42"/>
    <mergeCell ref="BT42:BV42"/>
    <mergeCell ref="A33:G34"/>
    <mergeCell ref="A41:E41"/>
    <mergeCell ref="A35:G35"/>
    <mergeCell ref="H35:J35"/>
    <mergeCell ref="K34:M34"/>
    <mergeCell ref="N34:P34"/>
    <mergeCell ref="H36:J36"/>
    <mergeCell ref="K36:M36"/>
    <mergeCell ref="N36:P36"/>
    <mergeCell ref="BG39:BL39"/>
    <mergeCell ref="BN39:BP39"/>
    <mergeCell ref="BG38:BL38"/>
    <mergeCell ref="BN38:BP38"/>
    <mergeCell ref="BN34:BP34"/>
    <mergeCell ref="Q33:BE34"/>
    <mergeCell ref="Q35:BE35"/>
    <mergeCell ref="B38:G38"/>
    <mergeCell ref="N38:P38"/>
    <mergeCell ref="A37:G37"/>
    <mergeCell ref="H37:J37"/>
    <mergeCell ref="K37:M37"/>
    <mergeCell ref="N37:P37"/>
    <mergeCell ref="BG45:BL45"/>
    <mergeCell ref="BN45:BP45"/>
    <mergeCell ref="BQ45:BS45"/>
    <mergeCell ref="BT45:BV45"/>
    <mergeCell ref="BG43:BL43"/>
    <mergeCell ref="BN43:BP43"/>
    <mergeCell ref="BQ43:BS43"/>
    <mergeCell ref="BT43:BV43"/>
    <mergeCell ref="BG44:BL44"/>
    <mergeCell ref="BN44:BP44"/>
    <mergeCell ref="BQ44:BS44"/>
    <mergeCell ref="BT44:BV44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0" orientation="landscape" r:id="rId1"/>
  <headerFooter alignWithMargins="0"/>
  <colBreaks count="1" manualBreakCount="1">
    <brk id="58" max="4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No1</vt:lpstr>
      <vt:lpstr>No2</vt:lpstr>
      <vt:lpstr>No3</vt:lpstr>
      <vt:lpstr>'No1'!Print_Area</vt:lpstr>
      <vt:lpstr>'No2'!Print_Area</vt:lpstr>
      <vt:lpstr>'No3'!Print_Area</vt:lpstr>
    </vt:vector>
  </TitlesOfParts>
  <Company>農林水産省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owner</cp:lastModifiedBy>
  <cp:lastPrinted>2022-09-26T09:10:27Z</cp:lastPrinted>
  <dcterms:created xsi:type="dcterms:W3CDTF">2018-08-21T10:12:17Z</dcterms:created>
  <dcterms:modified xsi:type="dcterms:W3CDTF">2023-02-02T08:15:29Z</dcterms:modified>
</cp:coreProperties>
</file>