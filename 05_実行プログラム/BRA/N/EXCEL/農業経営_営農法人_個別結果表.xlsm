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filterPrivacy="1" codeName="ThisWorkbook"/>
  <xr:revisionPtr revIDLastSave="0" documentId="13_ncr:1_{9EE6083E-9C37-45F7-8BF3-F00BC2915BF8}" xr6:coauthVersionLast="47" xr6:coauthVersionMax="47" xr10:uidLastSave="{00000000-0000-0000-0000-000000000000}"/>
  <bookViews>
    <workbookView xWindow="-120" yWindow="-16320" windowWidth="29040" windowHeight="15840" tabRatio="881" xr2:uid="{00000000-000D-0000-FFFF-FFFF00000000}"/>
  </bookViews>
  <sheets>
    <sheet name="No1" sheetId="58" r:id="rId1"/>
    <sheet name="No2" sheetId="59" r:id="rId2"/>
    <sheet name="No3" sheetId="60" r:id="rId3"/>
    <sheet name="通信欄" sheetId="63" r:id="rId4"/>
    <sheet name="No4" sheetId="64" r:id="rId5"/>
    <sheet name="No5" sheetId="65" r:id="rId6"/>
    <sheet name="No6" sheetId="66" r:id="rId7"/>
  </sheets>
  <functionGroups builtInGroupCount="19"/>
  <definedNames>
    <definedName name="_xlnm.Print_Area" localSheetId="0">'No1'!$A$1:$BS$58</definedName>
    <definedName name="_xlnm.Print_Area" localSheetId="1">'No2'!$A$1:$BX$60</definedName>
    <definedName name="_xlnm.Print_Area" localSheetId="2">'No3'!$A$1:$CC$67</definedName>
    <definedName name="_xlnm.Print_Area" localSheetId="4">'No4'!$A$1:$BP$56</definedName>
    <definedName name="_xlnm.Print_Area" localSheetId="5">'No5'!$A$1:$BX$55</definedName>
    <definedName name="_xlnm.Print_Area" localSheetId="6">'No6'!$A$1:$CC$58</definedName>
    <definedName name="_xlnm.Print_Area" localSheetId="3">通信欄!$A$1:$F$61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" i="66" l="1"/>
  <c r="BO4" i="65"/>
  <c r="BG4" i="64"/>
  <c r="D3" i="63"/>
  <c r="BJ3" i="60"/>
  <c r="BE3" i="59"/>
  <c r="B1" i="66" l="1"/>
  <c r="B1" i="65"/>
  <c r="B1" i="64"/>
  <c r="F3" i="63"/>
  <c r="BY3" i="60"/>
  <c r="BT3" i="59"/>
  <c r="E3" i="63"/>
  <c r="BT3" i="60"/>
  <c r="BO3" i="59"/>
  <c r="AZ3" i="59"/>
  <c r="C3" i="63"/>
  <c r="B1" i="63" s="1"/>
  <c r="BE3" i="60"/>
  <c r="B1" i="60" s="1"/>
  <c r="B1" i="58"/>
  <c r="B1" i="59" l="1"/>
</calcChain>
</file>

<file path=xl/sharedStrings.xml><?xml version="1.0" encoding="utf-8"?>
<sst xmlns="http://schemas.openxmlformats.org/spreadsheetml/2006/main" count="1690" uniqueCount="579">
  <si>
    <t>調査年</t>
    <rPh sb="0" eb="2">
      <t>チョウサ</t>
    </rPh>
    <rPh sb="2" eb="3">
      <t>ネン</t>
    </rPh>
    <phoneticPr fontId="8"/>
  </si>
  <si>
    <t>都道府県</t>
    <rPh sb="0" eb="4">
      <t>トドウフケン</t>
    </rPh>
    <phoneticPr fontId="8"/>
  </si>
  <si>
    <t>センサス番号</t>
    <rPh sb="4" eb="6">
      <t>バンゴウ</t>
    </rPh>
    <phoneticPr fontId="8"/>
  </si>
  <si>
    <t>前回センサス番号</t>
    <rPh sb="0" eb="2">
      <t>ゼンカイ</t>
    </rPh>
    <rPh sb="6" eb="8">
      <t>バンゴウ</t>
    </rPh>
    <phoneticPr fontId="8"/>
  </si>
  <si>
    <t>経営種類</t>
    <rPh sb="0" eb="2">
      <t>ケイエイ</t>
    </rPh>
    <rPh sb="2" eb="4">
      <t>シュルイ</t>
    </rPh>
    <phoneticPr fontId="8"/>
  </si>
  <si>
    <t>営農類型</t>
    <rPh sb="0" eb="2">
      <t>エイノウ</t>
    </rPh>
    <rPh sb="2" eb="4">
      <t>ルイケイ</t>
    </rPh>
    <phoneticPr fontId="8"/>
  </si>
  <si>
    <t>農業地域区分(1次)</t>
    <rPh sb="0" eb="2">
      <t>ノウギョウ</t>
    </rPh>
    <rPh sb="2" eb="4">
      <t>チイキ</t>
    </rPh>
    <rPh sb="4" eb="6">
      <t>クブン</t>
    </rPh>
    <rPh sb="8" eb="9">
      <t>ジ</t>
    </rPh>
    <phoneticPr fontId="8"/>
  </si>
  <si>
    <t>農業地域区分(2次)</t>
    <rPh sb="0" eb="2">
      <t>ノウギョウ</t>
    </rPh>
    <rPh sb="2" eb="4">
      <t>チイキ</t>
    </rPh>
    <rPh sb="4" eb="6">
      <t>クブン</t>
    </rPh>
    <rPh sb="8" eb="9">
      <t>ジ</t>
    </rPh>
    <phoneticPr fontId="8"/>
  </si>
  <si>
    <t>集計倍率</t>
    <rPh sb="0" eb="2">
      <t>シュウケイ</t>
    </rPh>
    <rPh sb="2" eb="4">
      <t>バイリツ</t>
    </rPh>
    <phoneticPr fontId="8"/>
  </si>
  <si>
    <t>認定農業者区分</t>
    <rPh sb="0" eb="2">
      <t>ニンテイ</t>
    </rPh>
    <rPh sb="2" eb="5">
      <t>ノウギョウシャ</t>
    </rPh>
    <rPh sb="5" eb="7">
      <t>クブン</t>
    </rPh>
    <phoneticPr fontId="8"/>
  </si>
  <si>
    <t>単一・複合区分</t>
    <rPh sb="0" eb="2">
      <t>タンイツ</t>
    </rPh>
    <rPh sb="3" eb="5">
      <t>フクゴウ</t>
    </rPh>
    <rPh sb="5" eb="7">
      <t>クブン</t>
    </rPh>
    <phoneticPr fontId="8"/>
  </si>
  <si>
    <t>法人番号</t>
    <rPh sb="0" eb="2">
      <t>ホウジン</t>
    </rPh>
    <rPh sb="2" eb="4">
      <t>バンゴウ</t>
    </rPh>
    <phoneticPr fontId="8"/>
  </si>
  <si>
    <t>納屋・倉庫</t>
    <rPh sb="0" eb="2">
      <t>ナヤ</t>
    </rPh>
    <rPh sb="3" eb="5">
      <t>ソウコ</t>
    </rPh>
    <phoneticPr fontId="11"/>
  </si>
  <si>
    <t>加温ハウス</t>
    <rPh sb="0" eb="2">
      <t>カオン</t>
    </rPh>
    <phoneticPr fontId="11"/>
  </si>
  <si>
    <t>畜舎・鶏舎</t>
    <rPh sb="0" eb="2">
      <t>チクシャ</t>
    </rPh>
    <rPh sb="3" eb="5">
      <t>ケイシャ</t>
    </rPh>
    <phoneticPr fontId="11"/>
  </si>
  <si>
    <t>乗用車</t>
    <rPh sb="0" eb="3">
      <t>ジョウヨウシャ</t>
    </rPh>
    <phoneticPr fontId="11"/>
  </si>
  <si>
    <t>乗用トラクター</t>
    <rPh sb="0" eb="2">
      <t>ジョウヨウ</t>
    </rPh>
    <phoneticPr fontId="11"/>
  </si>
  <si>
    <t>耕運整地用</t>
    <rPh sb="0" eb="2">
      <t>コウウン</t>
    </rPh>
    <rPh sb="2" eb="4">
      <t>セイチ</t>
    </rPh>
    <rPh sb="4" eb="5">
      <t>ヨウ</t>
    </rPh>
    <phoneticPr fontId="11"/>
  </si>
  <si>
    <t>耕土造成改良</t>
    <rPh sb="0" eb="2">
      <t>コウド</t>
    </rPh>
    <rPh sb="2" eb="4">
      <t>ゾウセイ</t>
    </rPh>
    <rPh sb="4" eb="6">
      <t>カイリョウ</t>
    </rPh>
    <phoneticPr fontId="11"/>
  </si>
  <si>
    <t>栽培管理用</t>
    <rPh sb="0" eb="2">
      <t>サイバイ</t>
    </rPh>
    <rPh sb="2" eb="5">
      <t>カンリヨウ</t>
    </rPh>
    <phoneticPr fontId="11"/>
  </si>
  <si>
    <t>防除用機具</t>
    <rPh sb="0" eb="2">
      <t>ボウジョ</t>
    </rPh>
    <rPh sb="2" eb="3">
      <t>ヨウ</t>
    </rPh>
    <rPh sb="3" eb="5">
      <t>キグ</t>
    </rPh>
    <phoneticPr fontId="11"/>
  </si>
  <si>
    <t>穀類収穫調製</t>
    <rPh sb="0" eb="2">
      <t>コクルイ</t>
    </rPh>
    <rPh sb="2" eb="4">
      <t>シュウカク</t>
    </rPh>
    <rPh sb="4" eb="6">
      <t>チョウセイ</t>
    </rPh>
    <phoneticPr fontId="11"/>
  </si>
  <si>
    <t>飼料作物調製</t>
    <rPh sb="0" eb="2">
      <t>シリョウ</t>
    </rPh>
    <rPh sb="2" eb="4">
      <t>サクモツ</t>
    </rPh>
    <phoneticPr fontId="11"/>
  </si>
  <si>
    <t>果樹野菜花き調製</t>
    <rPh sb="0" eb="2">
      <t>カジュ</t>
    </rPh>
    <rPh sb="2" eb="4">
      <t>ヤサイ</t>
    </rPh>
    <rPh sb="4" eb="5">
      <t>カ</t>
    </rPh>
    <rPh sb="6" eb="8">
      <t>チョウセイ</t>
    </rPh>
    <phoneticPr fontId="11"/>
  </si>
  <si>
    <t>その他調製</t>
    <rPh sb="2" eb="3">
      <t>タ</t>
    </rPh>
    <phoneticPr fontId="11"/>
  </si>
  <si>
    <t>処理加工用</t>
    <rPh sb="0" eb="2">
      <t>ショリ</t>
    </rPh>
    <rPh sb="2" eb="5">
      <t>カコウヨウ</t>
    </rPh>
    <phoneticPr fontId="11"/>
  </si>
  <si>
    <t>家畜飼養管理</t>
    <rPh sb="0" eb="2">
      <t>カチク</t>
    </rPh>
    <rPh sb="2" eb="4">
      <t>シヨウ</t>
    </rPh>
    <rPh sb="4" eb="6">
      <t>カンリ</t>
    </rPh>
    <phoneticPr fontId="11"/>
  </si>
  <si>
    <t>トラック</t>
    <phoneticPr fontId="11"/>
  </si>
  <si>
    <t>総資本経常利益率</t>
    <rPh sb="0" eb="3">
      <t>ソウシホン</t>
    </rPh>
    <rPh sb="3" eb="5">
      <t>ケイジョウ</t>
    </rPh>
    <rPh sb="5" eb="8">
      <t>リエキリツ</t>
    </rPh>
    <phoneticPr fontId="8"/>
  </si>
  <si>
    <t>売上高営業利益率</t>
    <rPh sb="0" eb="1">
      <t>ウ</t>
    </rPh>
    <rPh sb="1" eb="2">
      <t>ア</t>
    </rPh>
    <rPh sb="2" eb="3">
      <t>タカ</t>
    </rPh>
    <rPh sb="3" eb="5">
      <t>エイギョウ</t>
    </rPh>
    <rPh sb="5" eb="8">
      <t>リエキリツ</t>
    </rPh>
    <phoneticPr fontId="8"/>
  </si>
  <si>
    <t>売上高経常利益率</t>
    <rPh sb="0" eb="3">
      <t>ウリアゲダカ</t>
    </rPh>
    <rPh sb="3" eb="5">
      <t>ケイジョウ</t>
    </rPh>
    <rPh sb="5" eb="8">
      <t>リエキリツ</t>
    </rPh>
    <phoneticPr fontId="8"/>
  </si>
  <si>
    <t>売上高当期純利益率</t>
    <rPh sb="0" eb="3">
      <t>ウリアゲダカ</t>
    </rPh>
    <rPh sb="3" eb="5">
      <t>トウキ</t>
    </rPh>
    <rPh sb="5" eb="8">
      <t>ジュンリエキ</t>
    </rPh>
    <rPh sb="8" eb="9">
      <t>リツ</t>
    </rPh>
    <phoneticPr fontId="8"/>
  </si>
  <si>
    <t>自己資本当期純利益率</t>
    <rPh sb="0" eb="2">
      <t>ジコ</t>
    </rPh>
    <rPh sb="2" eb="4">
      <t>シホン</t>
    </rPh>
    <rPh sb="4" eb="6">
      <t>トウキ</t>
    </rPh>
    <rPh sb="6" eb="9">
      <t>ジュンリエキ</t>
    </rPh>
    <rPh sb="9" eb="10">
      <t>リツ</t>
    </rPh>
    <phoneticPr fontId="8"/>
  </si>
  <si>
    <t>売上高費用比率</t>
    <rPh sb="0" eb="3">
      <t>ウリアゲダカ</t>
    </rPh>
    <rPh sb="3" eb="5">
      <t>ヒヨウ</t>
    </rPh>
    <rPh sb="5" eb="7">
      <t>ヒリツ</t>
    </rPh>
    <phoneticPr fontId="8"/>
  </si>
  <si>
    <t>売上高原価比率</t>
    <rPh sb="0" eb="3">
      <t>ウリアゲダカ</t>
    </rPh>
    <rPh sb="3" eb="5">
      <t>ゲンカ</t>
    </rPh>
    <rPh sb="5" eb="7">
      <t>ヒリツ</t>
    </rPh>
    <phoneticPr fontId="8"/>
  </si>
  <si>
    <t>売上高販売管理費比率</t>
    <rPh sb="0" eb="3">
      <t>ウリアゲダカ</t>
    </rPh>
    <rPh sb="3" eb="5">
      <t>ハンバイ</t>
    </rPh>
    <rPh sb="5" eb="8">
      <t>カンリヒ</t>
    </rPh>
    <rPh sb="8" eb="10">
      <t>ヒリツ</t>
    </rPh>
    <phoneticPr fontId="8"/>
  </si>
  <si>
    <t>付加価値額</t>
    <rPh sb="0" eb="2">
      <t>フカ</t>
    </rPh>
    <rPh sb="2" eb="5">
      <t>カチガク</t>
    </rPh>
    <phoneticPr fontId="8"/>
  </si>
  <si>
    <t>売上高付加価値率</t>
    <rPh sb="0" eb="3">
      <t>ウリアゲダカ</t>
    </rPh>
    <rPh sb="3" eb="5">
      <t>フカ</t>
    </rPh>
    <rPh sb="5" eb="8">
      <t>カチリツ</t>
    </rPh>
    <phoneticPr fontId="8"/>
  </si>
  <si>
    <t>事業従事者1人当給与総額</t>
    <rPh sb="0" eb="2">
      <t>ジギョウ</t>
    </rPh>
    <rPh sb="2" eb="5">
      <t>ジュウジシャ</t>
    </rPh>
    <rPh sb="6" eb="7">
      <t>ニン</t>
    </rPh>
    <rPh sb="8" eb="10">
      <t>キュウヨ</t>
    </rPh>
    <rPh sb="10" eb="12">
      <t>ソウガク</t>
    </rPh>
    <phoneticPr fontId="8"/>
  </si>
  <si>
    <t>付加価値額給与総額率</t>
    <rPh sb="0" eb="2">
      <t>フカ</t>
    </rPh>
    <rPh sb="2" eb="4">
      <t>カチ</t>
    </rPh>
    <rPh sb="4" eb="5">
      <t>ガク</t>
    </rPh>
    <rPh sb="5" eb="7">
      <t>キュウヨ</t>
    </rPh>
    <rPh sb="7" eb="9">
      <t>ソウガク</t>
    </rPh>
    <rPh sb="9" eb="10">
      <t>リツ</t>
    </rPh>
    <phoneticPr fontId="8"/>
  </si>
  <si>
    <t>事業従事者1人当付加価値額</t>
    <rPh sb="0" eb="2">
      <t>ジギョウ</t>
    </rPh>
    <rPh sb="2" eb="5">
      <t>ジュウジシャ</t>
    </rPh>
    <rPh sb="6" eb="7">
      <t>ニン</t>
    </rPh>
    <rPh sb="8" eb="10">
      <t>フカ</t>
    </rPh>
    <rPh sb="10" eb="13">
      <t>カチガク</t>
    </rPh>
    <phoneticPr fontId="8"/>
  </si>
  <si>
    <t>事業従事者1人当売上高</t>
    <rPh sb="0" eb="2">
      <t>ジギョウ</t>
    </rPh>
    <rPh sb="2" eb="5">
      <t>ジュウジシャ</t>
    </rPh>
    <rPh sb="6" eb="7">
      <t>ニン</t>
    </rPh>
    <rPh sb="8" eb="11">
      <t>ウリアゲダカ</t>
    </rPh>
    <phoneticPr fontId="8"/>
  </si>
  <si>
    <t>総資本回転率</t>
    <rPh sb="0" eb="3">
      <t>ソウシホン</t>
    </rPh>
    <rPh sb="3" eb="6">
      <t>カイテンリツ</t>
    </rPh>
    <phoneticPr fontId="8"/>
  </si>
  <si>
    <t>自己資本比率</t>
    <rPh sb="0" eb="2">
      <t>ジコ</t>
    </rPh>
    <rPh sb="2" eb="4">
      <t>シホン</t>
    </rPh>
    <rPh sb="4" eb="6">
      <t>ヒリツ</t>
    </rPh>
    <phoneticPr fontId="8"/>
  </si>
  <si>
    <t>流動比率</t>
    <rPh sb="0" eb="2">
      <t>リュウドウ</t>
    </rPh>
    <rPh sb="2" eb="4">
      <t>ヒリツ</t>
    </rPh>
    <phoneticPr fontId="8"/>
  </si>
  <si>
    <t>農業依存度</t>
    <rPh sb="0" eb="2">
      <t>ノウギョウ</t>
    </rPh>
    <rPh sb="2" eb="5">
      <t>イゾンド</t>
    </rPh>
    <phoneticPr fontId="8"/>
  </si>
  <si>
    <t>農業所得率</t>
    <rPh sb="0" eb="2">
      <t>ノウギョウ</t>
    </rPh>
    <rPh sb="2" eb="5">
      <t>ショトクリツ</t>
    </rPh>
    <phoneticPr fontId="8"/>
  </si>
  <si>
    <t>農業粗収益付加価値率</t>
    <rPh sb="0" eb="2">
      <t>ノウギョウ</t>
    </rPh>
    <rPh sb="2" eb="3">
      <t>ソ</t>
    </rPh>
    <rPh sb="3" eb="5">
      <t>シュウエキ</t>
    </rPh>
    <rPh sb="5" eb="7">
      <t>フカ</t>
    </rPh>
    <rPh sb="7" eb="10">
      <t>カチリツ</t>
    </rPh>
    <phoneticPr fontId="8"/>
  </si>
  <si>
    <t>農業固定資産装備率</t>
    <rPh sb="0" eb="2">
      <t>ノウギョウ</t>
    </rPh>
    <rPh sb="2" eb="6">
      <t>コテイシサン</t>
    </rPh>
    <rPh sb="6" eb="9">
      <t>ソウビリツ</t>
    </rPh>
    <phoneticPr fontId="8"/>
  </si>
  <si>
    <t>農業固定資産回転率</t>
    <rPh sb="0" eb="2">
      <t>ノウギョウ</t>
    </rPh>
    <rPh sb="2" eb="6">
      <t>コテイシサン</t>
    </rPh>
    <rPh sb="6" eb="9">
      <t>カイテンリツ</t>
    </rPh>
    <phoneticPr fontId="8"/>
  </si>
  <si>
    <t>関連事業所得率</t>
    <rPh sb="0" eb="4">
      <t>カンレンジギョウ</t>
    </rPh>
    <rPh sb="4" eb="7">
      <t>ショトクリツ</t>
    </rPh>
    <phoneticPr fontId="8"/>
  </si>
  <si>
    <t>関連事業1時間当関連事業所得</t>
    <rPh sb="0" eb="4">
      <t>カンレンジギョウ</t>
    </rPh>
    <rPh sb="5" eb="7">
      <t>ジカン</t>
    </rPh>
    <rPh sb="7" eb="8">
      <t>ア</t>
    </rPh>
    <rPh sb="8" eb="10">
      <t>カンレン</t>
    </rPh>
    <rPh sb="10" eb="12">
      <t>ジギョウ</t>
    </rPh>
    <rPh sb="12" eb="14">
      <t>ショトク</t>
    </rPh>
    <phoneticPr fontId="8"/>
  </si>
  <si>
    <t>関連事業従事者1人当関連事業所得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ショトク</t>
    </rPh>
    <phoneticPr fontId="8"/>
  </si>
  <si>
    <t>関連事業従事者1人当関連事業労働時間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ロウドウ</t>
    </rPh>
    <rPh sb="16" eb="18">
      <t>ジカン</t>
    </rPh>
    <phoneticPr fontId="8"/>
  </si>
  <si>
    <t>付加価値率</t>
    <rPh sb="0" eb="2">
      <t>フカ</t>
    </rPh>
    <rPh sb="2" eb="5">
      <t>カチリツ</t>
    </rPh>
    <phoneticPr fontId="8"/>
  </si>
  <si>
    <t>関連事業1時間当付加価値額</t>
    <rPh sb="0" eb="2">
      <t>カンレン</t>
    </rPh>
    <rPh sb="2" eb="4">
      <t>ジギョウ</t>
    </rPh>
    <rPh sb="5" eb="7">
      <t>ジカン</t>
    </rPh>
    <rPh sb="7" eb="8">
      <t>トウ</t>
    </rPh>
    <rPh sb="8" eb="10">
      <t>フカ</t>
    </rPh>
    <rPh sb="10" eb="12">
      <t>カチ</t>
    </rPh>
    <rPh sb="12" eb="13">
      <t>ガク</t>
    </rPh>
    <phoneticPr fontId="8"/>
  </si>
  <si>
    <t>関連事業従事者1人当付加価値額</t>
    <rPh sb="0" eb="2">
      <t>カンレン</t>
    </rPh>
    <rPh sb="2" eb="4">
      <t>ジギョウ</t>
    </rPh>
    <rPh sb="4" eb="7">
      <t>ジュウジシャ</t>
    </rPh>
    <rPh sb="8" eb="9">
      <t>ニン</t>
    </rPh>
    <rPh sb="9" eb="10">
      <t>トウ</t>
    </rPh>
    <rPh sb="10" eb="12">
      <t>フカ</t>
    </rPh>
    <rPh sb="12" eb="14">
      <t>カチ</t>
    </rPh>
    <rPh sb="14" eb="15">
      <t>ガク</t>
    </rPh>
    <phoneticPr fontId="8"/>
  </si>
  <si>
    <t>農業及び関連事業所得率</t>
    <rPh sb="0" eb="2">
      <t>ノウギョウ</t>
    </rPh>
    <rPh sb="2" eb="3">
      <t>オヨ</t>
    </rPh>
    <rPh sb="4" eb="6">
      <t>カンレン</t>
    </rPh>
    <rPh sb="6" eb="8">
      <t>ジギョウ</t>
    </rPh>
    <rPh sb="8" eb="11">
      <t>ショトクリツ</t>
    </rPh>
    <phoneticPr fontId="8"/>
  </si>
  <si>
    <t>農業及び関連事業付加価値額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カチガク</t>
    </rPh>
    <phoneticPr fontId="8"/>
  </si>
  <si>
    <t>農業及び関連事業付加価値率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カチリツ</t>
    </rPh>
    <phoneticPr fontId="8"/>
  </si>
  <si>
    <t>○　指標部</t>
    <rPh sb="2" eb="4">
      <t>シヒョウ</t>
    </rPh>
    <rPh sb="4" eb="5">
      <t>ブ</t>
    </rPh>
    <phoneticPr fontId="11"/>
  </si>
  <si>
    <t>１　収支総括（円）</t>
    <rPh sb="2" eb="4">
      <t>シュウシ</t>
    </rPh>
    <rPh sb="4" eb="6">
      <t>ソウカツ</t>
    </rPh>
    <rPh sb="7" eb="8">
      <t>エン</t>
    </rPh>
    <phoneticPr fontId="11"/>
  </si>
  <si>
    <t>６　分析指標</t>
    <rPh sb="2" eb="4">
      <t>ブンセキ</t>
    </rPh>
    <rPh sb="4" eb="6">
      <t>シヒョウ</t>
    </rPh>
    <phoneticPr fontId="11"/>
  </si>
  <si>
    <t>７　貸借対照表（円）</t>
    <rPh sb="2" eb="4">
      <t>タイシャク</t>
    </rPh>
    <rPh sb="4" eb="7">
      <t>タイショウヒョウ</t>
    </rPh>
    <rPh sb="8" eb="9">
      <t>エン</t>
    </rPh>
    <phoneticPr fontId="8"/>
  </si>
  <si>
    <t>11　給与の状況（円）</t>
    <rPh sb="3" eb="5">
      <t>キュウヨ</t>
    </rPh>
    <rPh sb="6" eb="8">
      <t>ジョウキョウ</t>
    </rPh>
    <rPh sb="9" eb="10">
      <t>エン</t>
    </rPh>
    <phoneticPr fontId="8"/>
  </si>
  <si>
    <t>12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8"/>
  </si>
  <si>
    <t>事業収支の概要</t>
    <rPh sb="0" eb="2">
      <t>ジギョウ</t>
    </rPh>
    <rPh sb="2" eb="4">
      <t>シュウシ</t>
    </rPh>
    <rPh sb="5" eb="7">
      <t>ガイヨウ</t>
    </rPh>
    <phoneticPr fontId="8"/>
  </si>
  <si>
    <t>分析指標(事業)</t>
    <rPh sb="0" eb="2">
      <t>ブンセキ</t>
    </rPh>
    <rPh sb="2" eb="4">
      <t>シヒョウ</t>
    </rPh>
    <rPh sb="5" eb="7">
      <t>ジギョウ</t>
    </rPh>
    <phoneticPr fontId="8"/>
  </si>
  <si>
    <t>区　分</t>
    <rPh sb="0" eb="1">
      <t>ク</t>
    </rPh>
    <rPh sb="2" eb="3">
      <t>ブン</t>
    </rPh>
    <phoneticPr fontId="11"/>
  </si>
  <si>
    <t>資　産　の　部</t>
    <rPh sb="0" eb="1">
      <t>シ</t>
    </rPh>
    <rPh sb="2" eb="3">
      <t>サン</t>
    </rPh>
    <rPh sb="6" eb="7">
      <t>ブ</t>
    </rPh>
    <phoneticPr fontId="8"/>
  </si>
  <si>
    <t>負債及び純資産の部</t>
    <rPh sb="0" eb="2">
      <t>フサイ</t>
    </rPh>
    <rPh sb="2" eb="3">
      <t>オヨ</t>
    </rPh>
    <rPh sb="4" eb="7">
      <t>ジュンシサン</t>
    </rPh>
    <rPh sb="8" eb="9">
      <t>ブ</t>
    </rPh>
    <phoneticPr fontId="8"/>
  </si>
  <si>
    <t>計</t>
    <rPh sb="0" eb="1">
      <t>ケイ</t>
    </rPh>
    <phoneticPr fontId="8"/>
  </si>
  <si>
    <t>関連事業収入</t>
    <rPh sb="0" eb="2">
      <t>カンレン</t>
    </rPh>
    <rPh sb="2" eb="4">
      <t>ジギョウ</t>
    </rPh>
    <rPh sb="4" eb="6">
      <t>シュウニュウ</t>
    </rPh>
    <phoneticPr fontId="8"/>
  </si>
  <si>
    <t>事業収入</t>
    <rPh sb="0" eb="2">
      <t>ジギョウ</t>
    </rPh>
    <rPh sb="2" eb="4">
      <t>シュウニュウ</t>
    </rPh>
    <phoneticPr fontId="8"/>
  </si>
  <si>
    <t>収　益　性</t>
    <rPh sb="0" eb="1">
      <t>オサム</t>
    </rPh>
    <rPh sb="2" eb="3">
      <t>エキ</t>
    </rPh>
    <rPh sb="4" eb="5">
      <t>セイ</t>
    </rPh>
    <phoneticPr fontId="8"/>
  </si>
  <si>
    <t>％</t>
    <phoneticPr fontId="8"/>
  </si>
  <si>
    <t>農　業</t>
    <rPh sb="0" eb="1">
      <t>ノウ</t>
    </rPh>
    <rPh sb="2" eb="3">
      <t>ギョウ</t>
    </rPh>
    <phoneticPr fontId="8"/>
  </si>
  <si>
    <t>有給役員</t>
    <rPh sb="0" eb="2">
      <t>ユウキュウ</t>
    </rPh>
    <rPh sb="2" eb="4">
      <t>ヤクイン</t>
    </rPh>
    <phoneticPr fontId="8"/>
  </si>
  <si>
    <t>農産加工</t>
    <rPh sb="0" eb="2">
      <t>ノウサン</t>
    </rPh>
    <rPh sb="2" eb="4">
      <t>カコウ</t>
    </rPh>
    <phoneticPr fontId="8"/>
  </si>
  <si>
    <t>事業支出</t>
    <rPh sb="0" eb="2">
      <t>ジギョウ</t>
    </rPh>
    <rPh sb="2" eb="4">
      <t>シシュツ</t>
    </rPh>
    <phoneticPr fontId="8"/>
  </si>
  <si>
    <t>〃</t>
    <phoneticPr fontId="8"/>
  </si>
  <si>
    <t>資産計</t>
    <rPh sb="0" eb="2">
      <t>シサン</t>
    </rPh>
    <rPh sb="2" eb="3">
      <t>ケイ</t>
    </rPh>
    <phoneticPr fontId="8"/>
  </si>
  <si>
    <t>負債計</t>
    <rPh sb="0" eb="2">
      <t>フサイ</t>
    </rPh>
    <rPh sb="2" eb="3">
      <t>ケイ</t>
    </rPh>
    <phoneticPr fontId="8"/>
  </si>
  <si>
    <t>雇用者</t>
    <rPh sb="0" eb="3">
      <t>コヨウシャ</t>
    </rPh>
    <phoneticPr fontId="8"/>
  </si>
  <si>
    <t>観光農園</t>
    <rPh sb="0" eb="2">
      <t>カンコウ</t>
    </rPh>
    <rPh sb="2" eb="4">
      <t>ノウエン</t>
    </rPh>
    <phoneticPr fontId="8"/>
  </si>
  <si>
    <t>営業利益</t>
    <rPh sb="0" eb="2">
      <t>エイギョウ</t>
    </rPh>
    <rPh sb="2" eb="4">
      <t>リエキ</t>
    </rPh>
    <phoneticPr fontId="8"/>
  </si>
  <si>
    <t>流動資産</t>
    <rPh sb="0" eb="2">
      <t>リュウドウ</t>
    </rPh>
    <rPh sb="2" eb="4">
      <t>シサン</t>
    </rPh>
    <phoneticPr fontId="8"/>
  </si>
  <si>
    <t>流動負債</t>
    <rPh sb="0" eb="2">
      <t>リュウドウ</t>
    </rPh>
    <rPh sb="2" eb="4">
      <t>フサイ</t>
    </rPh>
    <phoneticPr fontId="8"/>
  </si>
  <si>
    <t>常用雇用者</t>
    <rPh sb="0" eb="2">
      <t>ジョウヨウ</t>
    </rPh>
    <rPh sb="2" eb="5">
      <t>コヨウシャ</t>
    </rPh>
    <phoneticPr fontId="8"/>
  </si>
  <si>
    <t>貸し農園</t>
    <rPh sb="0" eb="1">
      <t>カ</t>
    </rPh>
    <rPh sb="2" eb="4">
      <t>ノウエン</t>
    </rPh>
    <phoneticPr fontId="8"/>
  </si>
  <si>
    <t>営業外収益</t>
    <rPh sb="0" eb="3">
      <t>エイギョウガイ</t>
    </rPh>
    <rPh sb="3" eb="5">
      <t>シュウエキ</t>
    </rPh>
    <phoneticPr fontId="8"/>
  </si>
  <si>
    <t>当座資産</t>
    <rPh sb="0" eb="2">
      <t>トウザ</t>
    </rPh>
    <rPh sb="2" eb="4">
      <t>シサン</t>
    </rPh>
    <phoneticPr fontId="8"/>
  </si>
  <si>
    <t>買掛未払金</t>
    <rPh sb="0" eb="2">
      <t>カイカケ</t>
    </rPh>
    <rPh sb="2" eb="4">
      <t>ミバライ</t>
    </rPh>
    <rPh sb="4" eb="5">
      <t>キン</t>
    </rPh>
    <phoneticPr fontId="8"/>
  </si>
  <si>
    <t>正社員・正職員</t>
    <rPh sb="0" eb="3">
      <t>セイシャイン</t>
    </rPh>
    <rPh sb="4" eb="7">
      <t>セイショクイン</t>
    </rPh>
    <phoneticPr fontId="8"/>
  </si>
  <si>
    <t>農家民宿</t>
    <rPh sb="0" eb="2">
      <t>ノウカ</t>
    </rPh>
    <rPh sb="2" eb="4">
      <t>ミンシュク</t>
    </rPh>
    <phoneticPr fontId="8"/>
  </si>
  <si>
    <t>営業外費用</t>
    <rPh sb="0" eb="3">
      <t>エイギョウガイ</t>
    </rPh>
    <rPh sb="3" eb="5">
      <t>ヒヨウ</t>
    </rPh>
    <phoneticPr fontId="8"/>
  </si>
  <si>
    <t>現金・預金等</t>
    <rPh sb="0" eb="2">
      <t>ゲンキン</t>
    </rPh>
    <rPh sb="3" eb="5">
      <t>ヨキン</t>
    </rPh>
    <rPh sb="5" eb="6">
      <t>トウ</t>
    </rPh>
    <phoneticPr fontId="8"/>
  </si>
  <si>
    <t>短期借入金</t>
    <rPh sb="0" eb="2">
      <t>タンキ</t>
    </rPh>
    <rPh sb="2" eb="5">
      <t>カリイレキン</t>
    </rPh>
    <phoneticPr fontId="8"/>
  </si>
  <si>
    <t>正社員・正職員以外</t>
    <rPh sb="0" eb="3">
      <t>セイシャイン</t>
    </rPh>
    <rPh sb="4" eb="7">
      <t>セイショクイン</t>
    </rPh>
    <rPh sb="7" eb="9">
      <t>イガイ</t>
    </rPh>
    <phoneticPr fontId="8"/>
  </si>
  <si>
    <t>農家レストラン</t>
    <rPh sb="0" eb="2">
      <t>ノウカ</t>
    </rPh>
    <phoneticPr fontId="8"/>
  </si>
  <si>
    <t>経常利益</t>
    <rPh sb="0" eb="2">
      <t>ケイジョウ</t>
    </rPh>
    <rPh sb="2" eb="4">
      <t>リエキ</t>
    </rPh>
    <phoneticPr fontId="8"/>
  </si>
  <si>
    <t>その他</t>
    <rPh sb="2" eb="3">
      <t>タ</t>
    </rPh>
    <phoneticPr fontId="8"/>
  </si>
  <si>
    <t>臨時雇用者</t>
    <rPh sb="0" eb="2">
      <t>リンジ</t>
    </rPh>
    <rPh sb="2" eb="5">
      <t>コヨウシャ</t>
    </rPh>
    <phoneticPr fontId="8"/>
  </si>
  <si>
    <t>農業経営収支の概要</t>
    <rPh sb="0" eb="2">
      <t>ノウギョウ</t>
    </rPh>
    <rPh sb="2" eb="4">
      <t>ケイエイ</t>
    </rPh>
    <rPh sb="4" eb="6">
      <t>シュウシ</t>
    </rPh>
    <rPh sb="7" eb="9">
      <t>ガイヨウ</t>
    </rPh>
    <phoneticPr fontId="8"/>
  </si>
  <si>
    <t>固定負債</t>
    <rPh sb="0" eb="2">
      <t>コテイ</t>
    </rPh>
    <rPh sb="2" eb="4">
      <t>フサイ</t>
    </rPh>
    <phoneticPr fontId="8"/>
  </si>
  <si>
    <t>うち男</t>
    <rPh sb="2" eb="3">
      <t>オトコ</t>
    </rPh>
    <phoneticPr fontId="8"/>
  </si>
  <si>
    <t>関連事業支出</t>
    <phoneticPr fontId="8"/>
  </si>
  <si>
    <t>農業所得</t>
    <rPh sb="0" eb="2">
      <t>ノウギョウ</t>
    </rPh>
    <rPh sb="2" eb="4">
      <t>ショトク</t>
    </rPh>
    <phoneticPr fontId="8"/>
  </si>
  <si>
    <t>売掛金</t>
    <rPh sb="0" eb="2">
      <t>ウリカケ</t>
    </rPh>
    <rPh sb="2" eb="3">
      <t>キン</t>
    </rPh>
    <phoneticPr fontId="8"/>
  </si>
  <si>
    <t>長期借入金</t>
    <rPh sb="0" eb="2">
      <t>チョウキ</t>
    </rPh>
    <rPh sb="2" eb="5">
      <t>カリイレキン</t>
    </rPh>
    <phoneticPr fontId="8"/>
  </si>
  <si>
    <t>売上原価</t>
    <rPh sb="0" eb="2">
      <t>ウリアゲ</t>
    </rPh>
    <rPh sb="2" eb="4">
      <t>ゲンカ</t>
    </rPh>
    <phoneticPr fontId="8"/>
  </si>
  <si>
    <t>農業粗収益</t>
    <rPh sb="0" eb="2">
      <t>ノウギョウ</t>
    </rPh>
    <rPh sb="2" eb="5">
      <t>ソシュウエキ</t>
    </rPh>
    <phoneticPr fontId="8"/>
  </si>
  <si>
    <t>生 産 性</t>
    <rPh sb="0" eb="1">
      <t>ショウ</t>
    </rPh>
    <rPh sb="2" eb="3">
      <t>サン</t>
    </rPh>
    <rPh sb="4" eb="5">
      <t>セイ</t>
    </rPh>
    <phoneticPr fontId="8"/>
  </si>
  <si>
    <t>棚卸資産</t>
    <rPh sb="0" eb="2">
      <t>タナオロシ</t>
    </rPh>
    <rPh sb="2" eb="4">
      <t>シサン</t>
    </rPh>
    <phoneticPr fontId="8"/>
  </si>
  <si>
    <t>商品仕入</t>
    <rPh sb="0" eb="2">
      <t>ショウヒン</t>
    </rPh>
    <rPh sb="2" eb="4">
      <t>シイ</t>
    </rPh>
    <phoneticPr fontId="8"/>
  </si>
  <si>
    <t>共済･補助金等</t>
    <rPh sb="0" eb="2">
      <t>キョウサイ</t>
    </rPh>
    <rPh sb="3" eb="6">
      <t>ホジョキン</t>
    </rPh>
    <rPh sb="6" eb="7">
      <t>トウ</t>
    </rPh>
    <phoneticPr fontId="8"/>
  </si>
  <si>
    <t>農産物</t>
    <rPh sb="0" eb="3">
      <t>ノウサンブツ</t>
    </rPh>
    <phoneticPr fontId="8"/>
  </si>
  <si>
    <t>材料費</t>
    <rPh sb="0" eb="3">
      <t>ザイリョウヒ</t>
    </rPh>
    <phoneticPr fontId="8"/>
  </si>
  <si>
    <t>農業経営費</t>
    <rPh sb="0" eb="2">
      <t>ノウギョウ</t>
    </rPh>
    <rPh sb="2" eb="5">
      <t>ケイエイヒ</t>
    </rPh>
    <phoneticPr fontId="8"/>
  </si>
  <si>
    <t>純資産計</t>
    <rPh sb="0" eb="3">
      <t>ジュンシサン</t>
    </rPh>
    <rPh sb="3" eb="4">
      <t>ケイ</t>
    </rPh>
    <phoneticPr fontId="8"/>
  </si>
  <si>
    <t>自家農畜産物</t>
    <rPh sb="0" eb="2">
      <t>ジカ</t>
    </rPh>
    <rPh sb="2" eb="6">
      <t>ノウチクサンブツ</t>
    </rPh>
    <phoneticPr fontId="8"/>
  </si>
  <si>
    <t>共済等掛金</t>
    <rPh sb="0" eb="2">
      <t>キョウサイ</t>
    </rPh>
    <rPh sb="2" eb="3">
      <t>トウ</t>
    </rPh>
    <rPh sb="3" eb="5">
      <t>カケキン</t>
    </rPh>
    <phoneticPr fontId="8"/>
  </si>
  <si>
    <t>資本金・出資金</t>
    <rPh sb="0" eb="3">
      <t>シホンキン</t>
    </rPh>
    <rPh sb="4" eb="7">
      <t>シュッシキン</t>
    </rPh>
    <phoneticPr fontId="8"/>
  </si>
  <si>
    <t>雇人費</t>
    <rPh sb="0" eb="2">
      <t>コジン</t>
    </rPh>
    <rPh sb="2" eb="3">
      <t>ヒ</t>
    </rPh>
    <phoneticPr fontId="8"/>
  </si>
  <si>
    <t>農業生産関連事業収支の概要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シュウシ</t>
    </rPh>
    <rPh sb="11" eb="13">
      <t>ガイヨウ</t>
    </rPh>
    <phoneticPr fontId="8"/>
  </si>
  <si>
    <t>円</t>
    <rPh sb="0" eb="1">
      <t>エン</t>
    </rPh>
    <phoneticPr fontId="8"/>
  </si>
  <si>
    <t>固定資産</t>
    <rPh sb="0" eb="4">
      <t>コテイシサン</t>
    </rPh>
    <phoneticPr fontId="8"/>
  </si>
  <si>
    <t>資本剰余金</t>
    <rPh sb="0" eb="2">
      <t>シホン</t>
    </rPh>
    <rPh sb="2" eb="5">
      <t>ジョウヨキン</t>
    </rPh>
    <phoneticPr fontId="8"/>
  </si>
  <si>
    <t>外注費</t>
    <rPh sb="0" eb="3">
      <t>ガイチュウヒ</t>
    </rPh>
    <phoneticPr fontId="8"/>
  </si>
  <si>
    <t>関連事業所得</t>
    <rPh sb="0" eb="2">
      <t>カンレン</t>
    </rPh>
    <rPh sb="2" eb="4">
      <t>ジギョウ</t>
    </rPh>
    <rPh sb="4" eb="6">
      <t>ショトク</t>
    </rPh>
    <phoneticPr fontId="8"/>
  </si>
  <si>
    <t>有形固定資産</t>
    <rPh sb="0" eb="2">
      <t>ユウケイ</t>
    </rPh>
    <rPh sb="2" eb="6">
      <t>コテイシサン</t>
    </rPh>
    <phoneticPr fontId="8"/>
  </si>
  <si>
    <t>利益剰余金</t>
    <rPh sb="0" eb="2">
      <t>リエキ</t>
    </rPh>
    <rPh sb="2" eb="4">
      <t>ジョウヨ</t>
    </rPh>
    <rPh sb="4" eb="5">
      <t>キン</t>
    </rPh>
    <phoneticPr fontId="8"/>
  </si>
  <si>
    <t>うち女</t>
    <rPh sb="2" eb="3">
      <t>オンナ</t>
    </rPh>
    <phoneticPr fontId="8"/>
  </si>
  <si>
    <t>減価償却費</t>
    <rPh sb="0" eb="2">
      <t>ゲンカ</t>
    </rPh>
    <rPh sb="2" eb="5">
      <t>ショウキャクヒ</t>
    </rPh>
    <phoneticPr fontId="8"/>
  </si>
  <si>
    <t>効率性</t>
    <rPh sb="0" eb="3">
      <t>コウリツセイ</t>
    </rPh>
    <phoneticPr fontId="8"/>
  </si>
  <si>
    <t>回</t>
    <rPh sb="0" eb="1">
      <t>カイ</t>
    </rPh>
    <phoneticPr fontId="8"/>
  </si>
  <si>
    <t>自動車・農機具</t>
    <rPh sb="0" eb="3">
      <t>ジドウシャ</t>
    </rPh>
    <rPh sb="4" eb="7">
      <t>ノウキグ</t>
    </rPh>
    <phoneticPr fontId="8"/>
  </si>
  <si>
    <t>関連事業支出</t>
    <rPh sb="0" eb="2">
      <t>カンレン</t>
    </rPh>
    <rPh sb="2" eb="4">
      <t>ジギョウ</t>
    </rPh>
    <rPh sb="4" eb="6">
      <t>シシュツ</t>
    </rPh>
    <phoneticPr fontId="8"/>
  </si>
  <si>
    <t>安全性</t>
    <rPh sb="0" eb="2">
      <t>アンゼン</t>
    </rPh>
    <rPh sb="2" eb="3">
      <t>セイ</t>
    </rPh>
    <phoneticPr fontId="8"/>
  </si>
  <si>
    <t>建物・構築物</t>
    <rPh sb="0" eb="2">
      <t>タテモノ</t>
    </rPh>
    <rPh sb="3" eb="6">
      <t>コウチクブツ</t>
    </rPh>
    <phoneticPr fontId="8"/>
  </si>
  <si>
    <t>販売・一般管理費</t>
    <rPh sb="0" eb="2">
      <t>ハンバイ</t>
    </rPh>
    <rPh sb="3" eb="5">
      <t>イッパン</t>
    </rPh>
    <rPh sb="5" eb="8">
      <t>カンリヒ</t>
    </rPh>
    <phoneticPr fontId="8"/>
  </si>
  <si>
    <t>２　労働時間（時間）</t>
    <rPh sb="2" eb="4">
      <t>ロウドウ</t>
    </rPh>
    <rPh sb="4" eb="6">
      <t>ジカン</t>
    </rPh>
    <rPh sb="7" eb="9">
      <t>ジカン</t>
    </rPh>
    <phoneticPr fontId="8"/>
  </si>
  <si>
    <t>土地</t>
    <rPh sb="0" eb="2">
      <t>トチ</t>
    </rPh>
    <phoneticPr fontId="8"/>
  </si>
  <si>
    <t>人件費</t>
    <rPh sb="0" eb="3">
      <t>ジンケンヒ</t>
    </rPh>
    <phoneticPr fontId="8"/>
  </si>
  <si>
    <t>事業労働時間</t>
    <rPh sb="0" eb="2">
      <t>ジギョウ</t>
    </rPh>
    <rPh sb="2" eb="4">
      <t>ロウドウ</t>
    </rPh>
    <rPh sb="4" eb="6">
      <t>ジカン</t>
    </rPh>
    <phoneticPr fontId="8"/>
  </si>
  <si>
    <t>分析指標(農業)</t>
    <rPh sb="0" eb="2">
      <t>ブンセキ</t>
    </rPh>
    <rPh sb="2" eb="4">
      <t>シヒョウ</t>
    </rPh>
    <rPh sb="5" eb="7">
      <t>ノウギョウ</t>
    </rPh>
    <phoneticPr fontId="8"/>
  </si>
  <si>
    <t>植物・牛馬</t>
    <rPh sb="0" eb="2">
      <t>ショクブツ</t>
    </rPh>
    <rPh sb="3" eb="5">
      <t>ギュウバ</t>
    </rPh>
    <phoneticPr fontId="8"/>
  </si>
  <si>
    <t>農業労働時間</t>
    <rPh sb="0" eb="2">
      <t>ノウギョウ</t>
    </rPh>
    <rPh sb="2" eb="4">
      <t>ロウドウ</t>
    </rPh>
    <rPh sb="4" eb="6">
      <t>ジカン</t>
    </rPh>
    <phoneticPr fontId="8"/>
  </si>
  <si>
    <t>収益性</t>
    <rPh sb="0" eb="3">
      <t>シュウエキセイ</t>
    </rPh>
    <phoneticPr fontId="8"/>
  </si>
  <si>
    <t>無形固定資産</t>
    <rPh sb="0" eb="2">
      <t>ムケイ</t>
    </rPh>
    <rPh sb="2" eb="6">
      <t>コテイシサン</t>
    </rPh>
    <phoneticPr fontId="8"/>
  </si>
  <si>
    <t>関連事業労働時間</t>
    <rPh sb="0" eb="2">
      <t>カンレン</t>
    </rPh>
    <rPh sb="2" eb="4">
      <t>ジギョウ</t>
    </rPh>
    <rPh sb="4" eb="6">
      <t>ロウドウ</t>
    </rPh>
    <rPh sb="6" eb="8">
      <t>ジカン</t>
    </rPh>
    <phoneticPr fontId="8"/>
  </si>
  <si>
    <t>投資･外部出資</t>
    <rPh sb="0" eb="2">
      <t>トウシ</t>
    </rPh>
    <rPh sb="3" eb="5">
      <t>ガイブ</t>
    </rPh>
    <rPh sb="5" eb="7">
      <t>シュッシ</t>
    </rPh>
    <phoneticPr fontId="8"/>
  </si>
  <si>
    <t>農産
加工</t>
    <rPh sb="0" eb="2">
      <t>ノウサン</t>
    </rPh>
    <rPh sb="3" eb="5">
      <t>カコウ</t>
    </rPh>
    <phoneticPr fontId="8"/>
  </si>
  <si>
    <t>稼働日数</t>
    <rPh sb="0" eb="2">
      <t>カドウ</t>
    </rPh>
    <rPh sb="2" eb="4">
      <t>ニッスウ</t>
    </rPh>
    <phoneticPr fontId="8"/>
  </si>
  <si>
    <t>日</t>
    <rPh sb="0" eb="1">
      <t>ニチ</t>
    </rPh>
    <phoneticPr fontId="8"/>
  </si>
  <si>
    <t>３　従事者数（人）</t>
    <rPh sb="2" eb="5">
      <t>ジュウジシャ</t>
    </rPh>
    <rPh sb="5" eb="6">
      <t>スウ</t>
    </rPh>
    <rPh sb="7" eb="8">
      <t>ニン</t>
    </rPh>
    <phoneticPr fontId="8"/>
  </si>
  <si>
    <t>生　　産　　性</t>
    <rPh sb="0" eb="1">
      <t>ショウ</t>
    </rPh>
    <rPh sb="3" eb="4">
      <t>サン</t>
    </rPh>
    <rPh sb="6" eb="7">
      <t>セイ</t>
    </rPh>
    <phoneticPr fontId="8"/>
  </si>
  <si>
    <t>繰延資産</t>
    <rPh sb="0" eb="2">
      <t>クリノベ</t>
    </rPh>
    <rPh sb="2" eb="4">
      <t>シサン</t>
    </rPh>
    <phoneticPr fontId="8"/>
  </si>
  <si>
    <t>農産加工１位</t>
    <rPh sb="0" eb="2">
      <t>ノウサン</t>
    </rPh>
    <rPh sb="2" eb="4">
      <t>カコウ</t>
    </rPh>
    <rPh sb="5" eb="6">
      <t>イ</t>
    </rPh>
    <phoneticPr fontId="8"/>
  </si>
  <si>
    <t>事業従事者数</t>
    <rPh sb="0" eb="2">
      <t>ジギョウ</t>
    </rPh>
    <rPh sb="2" eb="5">
      <t>ジュウジシャ</t>
    </rPh>
    <rPh sb="5" eb="6">
      <t>スウ</t>
    </rPh>
    <phoneticPr fontId="8"/>
  </si>
  <si>
    <t>８　損益計算書（円）</t>
    <rPh sb="2" eb="4">
      <t>ソンエキ</t>
    </rPh>
    <rPh sb="4" eb="7">
      <t>ケイサンショ</t>
    </rPh>
    <rPh sb="8" eb="9">
      <t>エン</t>
    </rPh>
    <phoneticPr fontId="8"/>
  </si>
  <si>
    <t>農産加工２位</t>
    <rPh sb="0" eb="2">
      <t>ノウサン</t>
    </rPh>
    <rPh sb="2" eb="4">
      <t>カコウ</t>
    </rPh>
    <rPh sb="5" eb="6">
      <t>イ</t>
    </rPh>
    <phoneticPr fontId="8"/>
  </si>
  <si>
    <t>農業従事者数</t>
    <rPh sb="0" eb="2">
      <t>ノウギョウ</t>
    </rPh>
    <rPh sb="2" eb="5">
      <t>ジュウジシャ</t>
    </rPh>
    <rPh sb="5" eb="6">
      <t>スウ</t>
    </rPh>
    <phoneticPr fontId="8"/>
  </si>
  <si>
    <t>農業従事者
1人当たり</t>
    <rPh sb="0" eb="2">
      <t>ノウギョウ</t>
    </rPh>
    <rPh sb="2" eb="5">
      <t>ジュウジシャ</t>
    </rPh>
    <rPh sb="7" eb="8">
      <t>ニン</t>
    </rPh>
    <rPh sb="8" eb="9">
      <t>ア</t>
    </rPh>
    <phoneticPr fontId="8"/>
  </si>
  <si>
    <t>観光
農園</t>
    <rPh sb="0" eb="2">
      <t>カンコウ</t>
    </rPh>
    <rPh sb="3" eb="5">
      <t>ノウエン</t>
    </rPh>
    <phoneticPr fontId="8"/>
  </si>
  <si>
    <t>営業日数</t>
    <rPh sb="0" eb="2">
      <t>エイギョウ</t>
    </rPh>
    <rPh sb="2" eb="4">
      <t>ニッスウ</t>
    </rPh>
    <phoneticPr fontId="8"/>
  </si>
  <si>
    <t>関連事業従事者数</t>
    <rPh sb="0" eb="2">
      <t>カンレン</t>
    </rPh>
    <rPh sb="2" eb="4">
      <t>ジギョウ</t>
    </rPh>
    <rPh sb="4" eb="7">
      <t>ジュウジシャ</t>
    </rPh>
    <rPh sb="7" eb="8">
      <t>スウ</t>
    </rPh>
    <phoneticPr fontId="8"/>
  </si>
  <si>
    <t>農業粗収益</t>
    <rPh sb="0" eb="2">
      <t>ノウギョウ</t>
    </rPh>
    <rPh sb="2" eb="3">
      <t>ソ</t>
    </rPh>
    <rPh sb="3" eb="5">
      <t>シュウエキ</t>
    </rPh>
    <phoneticPr fontId="8"/>
  </si>
  <si>
    <t>農業生産
関連事業</t>
    <rPh sb="0" eb="2">
      <t>ノウギョウ</t>
    </rPh>
    <rPh sb="2" eb="4">
      <t>セイサン</t>
    </rPh>
    <rPh sb="5" eb="7">
      <t>カンレン</t>
    </rPh>
    <rPh sb="7" eb="9">
      <t>ジギョウ</t>
    </rPh>
    <phoneticPr fontId="8"/>
  </si>
  <si>
    <t>農外事業</t>
    <rPh sb="0" eb="2">
      <t>ノウガイ</t>
    </rPh>
    <rPh sb="2" eb="4">
      <t>ジギョウ</t>
    </rPh>
    <phoneticPr fontId="8"/>
  </si>
  <si>
    <t>利用者数</t>
    <rPh sb="0" eb="3">
      <t>リヨウシャ</t>
    </rPh>
    <rPh sb="3" eb="4">
      <t>スウ</t>
    </rPh>
    <phoneticPr fontId="8"/>
  </si>
  <si>
    <t>人</t>
    <rPh sb="0" eb="1">
      <t>ニン</t>
    </rPh>
    <phoneticPr fontId="8"/>
  </si>
  <si>
    <t>農家
民宿</t>
    <rPh sb="0" eb="2">
      <t>ノウカ</t>
    </rPh>
    <rPh sb="3" eb="5">
      <t>ミンシュク</t>
    </rPh>
    <phoneticPr fontId="8"/>
  </si>
  <si>
    <t>事業収入(売上高)</t>
    <rPh sb="0" eb="2">
      <t>ジギョウ</t>
    </rPh>
    <rPh sb="2" eb="4">
      <t>シュウニュウ</t>
    </rPh>
    <rPh sb="5" eb="7">
      <t>ウリアゲ</t>
    </rPh>
    <rPh sb="7" eb="8">
      <t>ダカ</t>
    </rPh>
    <phoneticPr fontId="8"/>
  </si>
  <si>
    <t>13　法人概況</t>
    <rPh sb="3" eb="5">
      <t>ホウジン</t>
    </rPh>
    <rPh sb="5" eb="7">
      <t>ガイキョウ</t>
    </rPh>
    <phoneticPr fontId="8"/>
  </si>
  <si>
    <t>宿泊者数</t>
    <rPh sb="0" eb="3">
      <t>シュクハクシャ</t>
    </rPh>
    <rPh sb="3" eb="4">
      <t>スウ</t>
    </rPh>
    <phoneticPr fontId="8"/>
  </si>
  <si>
    <t>５　主要固定資産の状況</t>
    <rPh sb="2" eb="4">
      <t>シュヨウ</t>
    </rPh>
    <rPh sb="4" eb="8">
      <t>コテイシサン</t>
    </rPh>
    <rPh sb="9" eb="11">
      <t>ジョウキョウ</t>
    </rPh>
    <phoneticPr fontId="11"/>
  </si>
  <si>
    <t>決算期末月(月)</t>
    <rPh sb="6" eb="7">
      <t>ツキ</t>
    </rPh>
    <phoneticPr fontId="8"/>
  </si>
  <si>
    <t>農家
レスト
ラン</t>
    <rPh sb="0" eb="2">
      <t>ノウカ</t>
    </rPh>
    <phoneticPr fontId="8"/>
  </si>
  <si>
    <t>営業日数</t>
    <rPh sb="0" eb="3">
      <t>エイギョウビ</t>
    </rPh>
    <rPh sb="3" eb="4">
      <t>スウ</t>
    </rPh>
    <phoneticPr fontId="8"/>
  </si>
  <si>
    <t>区　分</t>
    <rPh sb="0" eb="1">
      <t>ク</t>
    </rPh>
    <rPh sb="2" eb="3">
      <t>ブン</t>
    </rPh>
    <phoneticPr fontId="8"/>
  </si>
  <si>
    <t>面積・台数</t>
    <rPh sb="0" eb="2">
      <t>メンセキ</t>
    </rPh>
    <rPh sb="3" eb="5">
      <t>ダイスウ</t>
    </rPh>
    <phoneticPr fontId="8"/>
  </si>
  <si>
    <t>法人化年次(年)</t>
    <rPh sb="6" eb="7">
      <t>ネン</t>
    </rPh>
    <phoneticPr fontId="8"/>
  </si>
  <si>
    <t>利用者数</t>
    <rPh sb="0" eb="3">
      <t>リヨウシャ</t>
    </rPh>
    <rPh sb="3" eb="4">
      <t>カズ</t>
    </rPh>
    <phoneticPr fontId="8"/>
  </si>
  <si>
    <t>㎡</t>
    <phoneticPr fontId="11"/>
  </si>
  <si>
    <t>製造原価</t>
    <rPh sb="0" eb="2">
      <t>セイゾウ</t>
    </rPh>
    <rPh sb="2" eb="4">
      <t>ゲンカ</t>
    </rPh>
    <phoneticPr fontId="8"/>
  </si>
  <si>
    <t>14　経営耕地面積等（ａ）</t>
    <rPh sb="3" eb="5">
      <t>ケイエイ</t>
    </rPh>
    <rPh sb="5" eb="7">
      <t>コウチ</t>
    </rPh>
    <rPh sb="7" eb="9">
      <t>メンセキ</t>
    </rPh>
    <rPh sb="9" eb="10">
      <t>トウ</t>
    </rPh>
    <phoneticPr fontId="8"/>
  </si>
  <si>
    <t>〃</t>
    <phoneticPr fontId="11"/>
  </si>
  <si>
    <t>販売・一般管理</t>
    <rPh sb="0" eb="2">
      <t>ハンバイ</t>
    </rPh>
    <rPh sb="3" eb="5">
      <t>イッパン</t>
    </rPh>
    <rPh sb="5" eb="7">
      <t>カンリ</t>
    </rPh>
    <phoneticPr fontId="8"/>
  </si>
  <si>
    <t>区    分</t>
    <rPh sb="0" eb="1">
      <t>ク</t>
    </rPh>
    <rPh sb="5" eb="6">
      <t>ブン</t>
    </rPh>
    <phoneticPr fontId="8"/>
  </si>
  <si>
    <t>パイプハウス</t>
    <phoneticPr fontId="11"/>
  </si>
  <si>
    <t>売上総利益</t>
    <rPh sb="0" eb="2">
      <t>ウリアゲ</t>
    </rPh>
    <rPh sb="2" eb="5">
      <t>ソウリエキ</t>
    </rPh>
    <phoneticPr fontId="8"/>
  </si>
  <si>
    <t>自作地</t>
    <rPh sb="0" eb="3">
      <t>ジサクチ</t>
    </rPh>
    <phoneticPr fontId="8"/>
  </si>
  <si>
    <t>借入地</t>
    <rPh sb="0" eb="2">
      <t>カリイレ</t>
    </rPh>
    <rPh sb="2" eb="3">
      <t>チ</t>
    </rPh>
    <phoneticPr fontId="8"/>
  </si>
  <si>
    <t>営農類型
規模当たり</t>
    <rPh sb="0" eb="2">
      <t>エイノウ</t>
    </rPh>
    <rPh sb="2" eb="4">
      <t>ルイケイ</t>
    </rPh>
    <rPh sb="5" eb="7">
      <t>キボ</t>
    </rPh>
    <phoneticPr fontId="8"/>
  </si>
  <si>
    <t>経営耕地面積計</t>
    <rPh sb="0" eb="2">
      <t>ケイエイ</t>
    </rPh>
    <rPh sb="2" eb="4">
      <t>コウチ</t>
    </rPh>
    <rPh sb="4" eb="6">
      <t>メンセキ</t>
    </rPh>
    <rPh sb="6" eb="7">
      <t>ケイ</t>
    </rPh>
    <phoneticPr fontId="8"/>
  </si>
  <si>
    <t>台</t>
    <rPh sb="0" eb="1">
      <t>ダイ</t>
    </rPh>
    <phoneticPr fontId="11"/>
  </si>
  <si>
    <t>営業外収益</t>
    <rPh sb="0" eb="2">
      <t>エイギョウ</t>
    </rPh>
    <rPh sb="2" eb="3">
      <t>ガイ</t>
    </rPh>
    <rPh sb="3" eb="5">
      <t>シュウエキ</t>
    </rPh>
    <phoneticPr fontId="8"/>
  </si>
  <si>
    <t>９　出資構成</t>
    <rPh sb="2" eb="4">
      <t>シュッシ</t>
    </rPh>
    <rPh sb="4" eb="6">
      <t>コウセイ</t>
    </rPh>
    <phoneticPr fontId="8"/>
  </si>
  <si>
    <t>田</t>
    <rPh sb="0" eb="1">
      <t>タ</t>
    </rPh>
    <phoneticPr fontId="8"/>
  </si>
  <si>
    <t>出資者数</t>
    <rPh sb="0" eb="3">
      <t>シュッシシャ</t>
    </rPh>
    <rPh sb="3" eb="4">
      <t>スウ</t>
    </rPh>
    <phoneticPr fontId="8"/>
  </si>
  <si>
    <t>出資金額(円)</t>
    <rPh sb="0" eb="2">
      <t>シュッシ</t>
    </rPh>
    <rPh sb="2" eb="4">
      <t>キンガク</t>
    </rPh>
    <rPh sb="5" eb="6">
      <t>エン</t>
    </rPh>
    <phoneticPr fontId="8"/>
  </si>
  <si>
    <t>普通畑</t>
    <rPh sb="0" eb="2">
      <t>フツウ</t>
    </rPh>
    <rPh sb="2" eb="3">
      <t>ハタケ</t>
    </rPh>
    <phoneticPr fontId="8"/>
  </si>
  <si>
    <t>分析指標（農業生産関連事業）</t>
    <rPh sb="5" eb="7">
      <t>ノウギョウ</t>
    </rPh>
    <rPh sb="7" eb="9">
      <t>セイサン</t>
    </rPh>
    <rPh sb="9" eb="11">
      <t>カンレン</t>
    </rPh>
    <rPh sb="11" eb="13">
      <t>ジギョウ</t>
    </rPh>
    <phoneticPr fontId="8"/>
  </si>
  <si>
    <t>樹園地</t>
    <rPh sb="0" eb="1">
      <t>ジュ</t>
    </rPh>
    <rPh sb="1" eb="3">
      <t>エンチ</t>
    </rPh>
    <phoneticPr fontId="8"/>
  </si>
  <si>
    <t>50馬力以上</t>
    <rPh sb="2" eb="4">
      <t>バリキ</t>
    </rPh>
    <rPh sb="4" eb="6">
      <t>イジョウ</t>
    </rPh>
    <phoneticPr fontId="11"/>
  </si>
  <si>
    <t>特別利益</t>
    <rPh sb="0" eb="2">
      <t>トクベツ</t>
    </rPh>
    <rPh sb="2" eb="4">
      <t>リエキ</t>
    </rPh>
    <phoneticPr fontId="8"/>
  </si>
  <si>
    <t>個人</t>
    <rPh sb="0" eb="2">
      <t>コジン</t>
    </rPh>
    <phoneticPr fontId="8"/>
  </si>
  <si>
    <t>牧草地</t>
    <rPh sb="0" eb="3">
      <t>ボクソウチ</t>
    </rPh>
    <phoneticPr fontId="8"/>
  </si>
  <si>
    <t>特別損失</t>
    <rPh sb="0" eb="2">
      <t>トクベツ</t>
    </rPh>
    <rPh sb="2" eb="4">
      <t>ソンシツ</t>
    </rPh>
    <phoneticPr fontId="8"/>
  </si>
  <si>
    <t>非従事出資者</t>
    <rPh sb="0" eb="1">
      <t>ヒ</t>
    </rPh>
    <rPh sb="1" eb="3">
      <t>ジュウジ</t>
    </rPh>
    <rPh sb="3" eb="6">
      <t>シュッシシャ</t>
    </rPh>
    <phoneticPr fontId="8"/>
  </si>
  <si>
    <t>採草放牧地</t>
    <rPh sb="0" eb="2">
      <t>サイソウ</t>
    </rPh>
    <rPh sb="2" eb="5">
      <t>ホウボクチ</t>
    </rPh>
    <phoneticPr fontId="8"/>
  </si>
  <si>
    <t>税引前当期純利益</t>
    <rPh sb="0" eb="2">
      <t>ゼイビキ</t>
    </rPh>
    <rPh sb="2" eb="3">
      <t>マエ</t>
    </rPh>
    <rPh sb="3" eb="5">
      <t>トウキ</t>
    </rPh>
    <rPh sb="5" eb="8">
      <t>ジュンリエキ</t>
    </rPh>
    <phoneticPr fontId="8"/>
  </si>
  <si>
    <t>農協・農協連合会</t>
    <rPh sb="0" eb="2">
      <t>ノウキョウ</t>
    </rPh>
    <rPh sb="3" eb="5">
      <t>ノウキョウ</t>
    </rPh>
    <rPh sb="5" eb="8">
      <t>レンゴウカイ</t>
    </rPh>
    <phoneticPr fontId="8"/>
  </si>
  <si>
    <t>貸付地（耕地）</t>
    <rPh sb="0" eb="3">
      <t>カシツケチ</t>
    </rPh>
    <rPh sb="4" eb="6">
      <t>コウチ</t>
    </rPh>
    <phoneticPr fontId="8"/>
  </si>
  <si>
    <t>時間</t>
    <rPh sb="0" eb="2">
      <t>ジカン</t>
    </rPh>
    <phoneticPr fontId="8"/>
  </si>
  <si>
    <t>法人税等引当金</t>
    <rPh sb="0" eb="3">
      <t>ホウジンゼイ</t>
    </rPh>
    <rPh sb="3" eb="4">
      <t>トウ</t>
    </rPh>
    <rPh sb="4" eb="6">
      <t>ヒキアテ</t>
    </rPh>
    <rPh sb="6" eb="7">
      <t>キン</t>
    </rPh>
    <phoneticPr fontId="8"/>
  </si>
  <si>
    <t>関連会社</t>
    <rPh sb="0" eb="2">
      <t>カンレン</t>
    </rPh>
    <rPh sb="2" eb="4">
      <t>ガイシャ</t>
    </rPh>
    <phoneticPr fontId="8"/>
  </si>
  <si>
    <t>生産性</t>
    <rPh sb="0" eb="3">
      <t>セイサンセイ</t>
    </rPh>
    <phoneticPr fontId="8"/>
  </si>
  <si>
    <t>当期純利益</t>
    <rPh sb="0" eb="2">
      <t>トウキ</t>
    </rPh>
    <rPh sb="2" eb="5">
      <t>ジュンリエキ</t>
    </rPh>
    <phoneticPr fontId="8"/>
  </si>
  <si>
    <t>その他の団体</t>
    <rPh sb="2" eb="3">
      <t>タ</t>
    </rPh>
    <rPh sb="4" eb="6">
      <t>ダンタイ</t>
    </rPh>
    <phoneticPr fontId="8"/>
  </si>
  <si>
    <t>10　投資と資金（円）</t>
    <rPh sb="3" eb="5">
      <t>トウシ</t>
    </rPh>
    <rPh sb="6" eb="8">
      <t>シキン</t>
    </rPh>
    <rPh sb="9" eb="10">
      <t>エン</t>
    </rPh>
    <phoneticPr fontId="8"/>
  </si>
  <si>
    <t>分析指標(農業及び農業生産関連事業)</t>
    <rPh sb="0" eb="2">
      <t>ブンセキ</t>
    </rPh>
    <rPh sb="2" eb="4">
      <t>シヒョウ</t>
    </rPh>
    <rPh sb="5" eb="7">
      <t>ノウギョウ</t>
    </rPh>
    <rPh sb="7" eb="8">
      <t>オヨ</t>
    </rPh>
    <rPh sb="9" eb="11">
      <t>ノウギョウ</t>
    </rPh>
    <rPh sb="11" eb="13">
      <t>セイサン</t>
    </rPh>
    <rPh sb="13" eb="15">
      <t>カンレン</t>
    </rPh>
    <rPh sb="15" eb="17">
      <t>ジギョウ</t>
    </rPh>
    <phoneticPr fontId="8"/>
  </si>
  <si>
    <t>期中投資額</t>
    <rPh sb="0" eb="2">
      <t>キチュウ</t>
    </rPh>
    <rPh sb="2" eb="5">
      <t>トウシガク</t>
    </rPh>
    <phoneticPr fontId="8"/>
  </si>
  <si>
    <t>期中借入額</t>
    <rPh sb="0" eb="2">
      <t>キチュウ</t>
    </rPh>
    <rPh sb="2" eb="5">
      <t>カリイレガク</t>
    </rPh>
    <phoneticPr fontId="8"/>
  </si>
  <si>
    <t>１　主要農畜産物の生産概況</t>
    <phoneticPr fontId="8"/>
  </si>
  <si>
    <t>２　販売数量・金額</t>
    <rPh sb="2" eb="4">
      <t>ハンバイ</t>
    </rPh>
    <rPh sb="4" eb="6">
      <t>スウリョウ</t>
    </rPh>
    <rPh sb="7" eb="9">
      <t>キンガク</t>
    </rPh>
    <phoneticPr fontId="8"/>
  </si>
  <si>
    <t>３　制度受取金・積立金等（円）</t>
    <rPh sb="2" eb="4">
      <t>セイド</t>
    </rPh>
    <rPh sb="4" eb="7">
      <t>ウケトリキン</t>
    </rPh>
    <rPh sb="8" eb="11">
      <t>ツミタテキン</t>
    </rPh>
    <rPh sb="11" eb="12">
      <t>トウ</t>
    </rPh>
    <rPh sb="13" eb="14">
      <t>エン</t>
    </rPh>
    <phoneticPr fontId="8"/>
  </si>
  <si>
    <t>稲　　作</t>
    <rPh sb="0" eb="1">
      <t>イネ</t>
    </rPh>
    <rPh sb="3" eb="4">
      <t>サク</t>
    </rPh>
    <phoneticPr fontId="8"/>
  </si>
  <si>
    <t>作付面積</t>
    <rPh sb="0" eb="2">
      <t>サクツケ</t>
    </rPh>
    <rPh sb="2" eb="4">
      <t>メンセキ</t>
    </rPh>
    <phoneticPr fontId="8"/>
  </si>
  <si>
    <t>a</t>
    <phoneticPr fontId="8"/>
  </si>
  <si>
    <t>いも
類</t>
    <rPh sb="3" eb="4">
      <t>ルイ</t>
    </rPh>
    <phoneticPr fontId="8"/>
  </si>
  <si>
    <t>生産量</t>
    <rPh sb="0" eb="3">
      <t>セイサンリョウ</t>
    </rPh>
    <phoneticPr fontId="8"/>
  </si>
  <si>
    <t>かんしょ</t>
    <phoneticPr fontId="8"/>
  </si>
  <si>
    <t>kg</t>
    <phoneticPr fontId="8"/>
  </si>
  <si>
    <t>販売数量（kg）</t>
    <rPh sb="0" eb="2">
      <t>ハンバイ</t>
    </rPh>
    <rPh sb="2" eb="4">
      <t>スウリョウ</t>
    </rPh>
    <phoneticPr fontId="8"/>
  </si>
  <si>
    <t>収入金額（円）</t>
    <rPh sb="0" eb="3">
      <t>シュウニュウキン</t>
    </rPh>
    <rPh sb="3" eb="4">
      <t>ガク</t>
    </rPh>
    <rPh sb="5" eb="6">
      <t>エン</t>
    </rPh>
    <phoneticPr fontId="8"/>
  </si>
  <si>
    <t>販売数量（頭・羽）</t>
    <rPh sb="0" eb="2">
      <t>ハンバイ</t>
    </rPh>
    <rPh sb="2" eb="4">
      <t>スウリョウ</t>
    </rPh>
    <rPh sb="5" eb="6">
      <t>トウ</t>
    </rPh>
    <rPh sb="7" eb="8">
      <t>ハ</t>
    </rPh>
    <phoneticPr fontId="8"/>
  </si>
  <si>
    <t>区　　分</t>
    <rPh sb="0" eb="1">
      <t>ク</t>
    </rPh>
    <rPh sb="3" eb="4">
      <t>ブン</t>
    </rPh>
    <phoneticPr fontId="8"/>
  </si>
  <si>
    <t>受取金等</t>
    <rPh sb="0" eb="3">
      <t>ウケトリキン</t>
    </rPh>
    <rPh sb="3" eb="4">
      <t>トウ</t>
    </rPh>
    <phoneticPr fontId="8"/>
  </si>
  <si>
    <t>積立金等</t>
    <rPh sb="0" eb="3">
      <t>ツミタテキン</t>
    </rPh>
    <rPh sb="3" eb="4">
      <t>トウ</t>
    </rPh>
    <phoneticPr fontId="8"/>
  </si>
  <si>
    <t>　うち田</t>
    <rPh sb="3" eb="4">
      <t>タ</t>
    </rPh>
    <phoneticPr fontId="8"/>
  </si>
  <si>
    <t>ばれいしょ</t>
    <phoneticPr fontId="8"/>
  </si>
  <si>
    <t>作物収入計</t>
    <rPh sb="0" eb="2">
      <t>サクモツ</t>
    </rPh>
    <rPh sb="2" eb="4">
      <t>シュウニュウ</t>
    </rPh>
    <rPh sb="4" eb="5">
      <t>ケイ</t>
    </rPh>
    <phoneticPr fontId="8"/>
  </si>
  <si>
    <t>畜産収入計</t>
    <rPh sb="0" eb="2">
      <t>チクサン</t>
    </rPh>
    <rPh sb="2" eb="4">
      <t>シュウニュウ</t>
    </rPh>
    <rPh sb="4" eb="5">
      <t>ケイ</t>
    </rPh>
    <phoneticPr fontId="8"/>
  </si>
  <si>
    <t>加工用米計</t>
    <rPh sb="0" eb="3">
      <t>カコウヨウ</t>
    </rPh>
    <rPh sb="3" eb="4">
      <t>マイ</t>
    </rPh>
    <rPh sb="4" eb="5">
      <t>ケイ</t>
    </rPh>
    <phoneticPr fontId="8"/>
  </si>
  <si>
    <t>工 芸 農 作 物</t>
    <rPh sb="0" eb="1">
      <t>コウ</t>
    </rPh>
    <rPh sb="2" eb="3">
      <t>ゲイ</t>
    </rPh>
    <rPh sb="4" eb="5">
      <t>ノウ</t>
    </rPh>
    <rPh sb="6" eb="7">
      <t>サク</t>
    </rPh>
    <rPh sb="8" eb="9">
      <t>ブツ</t>
    </rPh>
    <phoneticPr fontId="8"/>
  </si>
  <si>
    <t>作付面積
(茶除く)</t>
    <rPh sb="0" eb="2">
      <t>サクツケ</t>
    </rPh>
    <rPh sb="2" eb="4">
      <t>メンセキ</t>
    </rPh>
    <rPh sb="6" eb="7">
      <t>チャ</t>
    </rPh>
    <rPh sb="7" eb="8">
      <t>ノゾ</t>
    </rPh>
    <phoneticPr fontId="8"/>
  </si>
  <si>
    <t>てんさい計</t>
    <rPh sb="4" eb="5">
      <t>ケイ</t>
    </rPh>
    <phoneticPr fontId="8"/>
  </si>
  <si>
    <t>稲作</t>
    <rPh sb="0" eb="2">
      <t>イナサク</t>
    </rPh>
    <phoneticPr fontId="8"/>
  </si>
  <si>
    <t>食用
米</t>
    <rPh sb="0" eb="2">
      <t>ショクヨウ</t>
    </rPh>
    <rPh sb="3" eb="4">
      <t>マイ</t>
    </rPh>
    <phoneticPr fontId="8"/>
  </si>
  <si>
    <t>主食用米</t>
    <rPh sb="0" eb="3">
      <t>シュショクヨウ</t>
    </rPh>
    <rPh sb="3" eb="4">
      <t>マイ</t>
    </rPh>
    <phoneticPr fontId="8"/>
  </si>
  <si>
    <t>酪農</t>
    <rPh sb="0" eb="2">
      <t>ラクノウ</t>
    </rPh>
    <phoneticPr fontId="8"/>
  </si>
  <si>
    <t>生乳</t>
    <rPh sb="0" eb="2">
      <t>セイニュウ</t>
    </rPh>
    <phoneticPr fontId="8"/>
  </si>
  <si>
    <t>〃</t>
  </si>
  <si>
    <t>加工用米</t>
    <rPh sb="0" eb="3">
      <t>カコウヨウ</t>
    </rPh>
    <rPh sb="3" eb="4">
      <t>マイ</t>
    </rPh>
    <phoneticPr fontId="8"/>
  </si>
  <si>
    <t>自家生産乳牛等</t>
    <rPh sb="0" eb="2">
      <t>ジカ</t>
    </rPh>
    <rPh sb="2" eb="4">
      <t>セイサン</t>
    </rPh>
    <rPh sb="4" eb="6">
      <t>ニュウギュウ</t>
    </rPh>
    <rPh sb="6" eb="7">
      <t>トウ</t>
    </rPh>
    <phoneticPr fontId="8"/>
  </si>
  <si>
    <t>稲作計</t>
    <rPh sb="0" eb="2">
      <t>イナサク</t>
    </rPh>
    <rPh sb="2" eb="3">
      <t>ケイ</t>
    </rPh>
    <phoneticPr fontId="8"/>
  </si>
  <si>
    <t>さとうきび計</t>
    <rPh sb="5" eb="6">
      <t>ケイ</t>
    </rPh>
    <phoneticPr fontId="8"/>
  </si>
  <si>
    <t>稲わら等</t>
    <rPh sb="0" eb="1">
      <t>イナ</t>
    </rPh>
    <rPh sb="3" eb="4">
      <t>トウ</t>
    </rPh>
    <phoneticPr fontId="8"/>
  </si>
  <si>
    <t>酪農計</t>
    <rPh sb="0" eb="2">
      <t>ラクノウ</t>
    </rPh>
    <rPh sb="2" eb="3">
      <t>ケイ</t>
    </rPh>
    <phoneticPr fontId="8"/>
  </si>
  <si>
    <t>繁殖牛(自家生産和牛等)</t>
    <rPh sb="0" eb="2">
      <t>ハンショク</t>
    </rPh>
    <rPh sb="2" eb="3">
      <t>ギュウ</t>
    </rPh>
    <rPh sb="4" eb="6">
      <t>ジカ</t>
    </rPh>
    <rPh sb="6" eb="8">
      <t>セイサン</t>
    </rPh>
    <rPh sb="8" eb="10">
      <t>ワギュウ</t>
    </rPh>
    <rPh sb="10" eb="11">
      <t>トウ</t>
    </rPh>
    <phoneticPr fontId="8"/>
  </si>
  <si>
    <t>その他計</t>
    <rPh sb="2" eb="3">
      <t>タ</t>
    </rPh>
    <rPh sb="3" eb="4">
      <t>ケイ</t>
    </rPh>
    <phoneticPr fontId="8"/>
  </si>
  <si>
    <t>麦類</t>
    <rPh sb="0" eb="2">
      <t>ムギルイ</t>
    </rPh>
    <phoneticPr fontId="8"/>
  </si>
  <si>
    <t>小麦</t>
    <rPh sb="0" eb="2">
      <t>コムギ</t>
    </rPh>
    <phoneticPr fontId="8"/>
  </si>
  <si>
    <t>肥育
牛</t>
    <rPh sb="0" eb="2">
      <t>ヒイク</t>
    </rPh>
    <rPh sb="3" eb="4">
      <t>ウシ</t>
    </rPh>
    <phoneticPr fontId="8"/>
  </si>
  <si>
    <t>肉専用種</t>
    <rPh sb="0" eb="3">
      <t>ニクセンヨウ</t>
    </rPh>
    <rPh sb="3" eb="4">
      <t>タネ</t>
    </rPh>
    <phoneticPr fontId="8"/>
  </si>
  <si>
    <t>麦　　　　　　　　類</t>
    <phoneticPr fontId="8"/>
  </si>
  <si>
    <t>作　付　面　積</t>
    <rPh sb="0" eb="1">
      <t>サク</t>
    </rPh>
    <rPh sb="2" eb="3">
      <t>ヅケ</t>
    </rPh>
    <rPh sb="4" eb="5">
      <t>メン</t>
    </rPh>
    <rPh sb="6" eb="7">
      <t>セキ</t>
    </rPh>
    <phoneticPr fontId="8"/>
  </si>
  <si>
    <t>小麦計</t>
    <rPh sb="0" eb="2">
      <t>コムギ</t>
    </rPh>
    <rPh sb="2" eb="3">
      <t>ケイ</t>
    </rPh>
    <phoneticPr fontId="8"/>
  </si>
  <si>
    <t>a</t>
  </si>
  <si>
    <t>二条大麦</t>
    <rPh sb="0" eb="2">
      <t>ニジョウ</t>
    </rPh>
    <rPh sb="2" eb="4">
      <t>オオムギ</t>
    </rPh>
    <phoneticPr fontId="8"/>
  </si>
  <si>
    <t>乳用種</t>
    <rPh sb="0" eb="1">
      <t>ニュウ</t>
    </rPh>
    <rPh sb="1" eb="2">
      <t>ヨウ</t>
    </rPh>
    <rPh sb="2" eb="3">
      <t>タネ</t>
    </rPh>
    <phoneticPr fontId="8"/>
  </si>
  <si>
    <t>工芸農作物計</t>
    <rPh sb="0" eb="2">
      <t>コウゲイ</t>
    </rPh>
    <rPh sb="2" eb="5">
      <t>ノウサクモツ</t>
    </rPh>
    <rPh sb="5" eb="6">
      <t>ケイ</t>
    </rPh>
    <phoneticPr fontId="8"/>
  </si>
  <si>
    <t>六条大麦</t>
    <rPh sb="0" eb="2">
      <t>ロクジョウ</t>
    </rPh>
    <rPh sb="2" eb="4">
      <t>オオムギ</t>
    </rPh>
    <phoneticPr fontId="8"/>
  </si>
  <si>
    <t>肥育牛計</t>
    <rPh sb="0" eb="3">
      <t>ヒイクギュウ</t>
    </rPh>
    <rPh sb="3" eb="4">
      <t>ケイ</t>
    </rPh>
    <phoneticPr fontId="8"/>
  </si>
  <si>
    <t>二条大麦計</t>
    <rPh sb="0" eb="2">
      <t>ニジョウ</t>
    </rPh>
    <rPh sb="2" eb="4">
      <t>オオムギ</t>
    </rPh>
    <rPh sb="4" eb="5">
      <t>ケイ</t>
    </rPh>
    <phoneticPr fontId="8"/>
  </si>
  <si>
    <t>茶植栽面積</t>
    <rPh sb="0" eb="1">
      <t>チャ</t>
    </rPh>
    <rPh sb="1" eb="3">
      <t>ショクサイ</t>
    </rPh>
    <rPh sb="3" eb="5">
      <t>メンセキ</t>
    </rPh>
    <phoneticPr fontId="8"/>
  </si>
  <si>
    <t>はだか麦</t>
    <rPh sb="3" eb="4">
      <t>ムギ</t>
    </rPh>
    <phoneticPr fontId="8"/>
  </si>
  <si>
    <t>養豚</t>
    <rPh sb="0" eb="2">
      <t>ヨウトン</t>
    </rPh>
    <phoneticPr fontId="8"/>
  </si>
  <si>
    <t>肉豚</t>
    <rPh sb="0" eb="1">
      <t>ニク</t>
    </rPh>
    <rPh sb="1" eb="2">
      <t>ブタ</t>
    </rPh>
    <phoneticPr fontId="8"/>
  </si>
  <si>
    <t>子豚</t>
    <rPh sb="0" eb="2">
      <t>コブタ</t>
    </rPh>
    <phoneticPr fontId="8"/>
  </si>
  <si>
    <t>六条大麦計</t>
    <rPh sb="0" eb="2">
      <t>ロクジョウ</t>
    </rPh>
    <rPh sb="2" eb="4">
      <t>オオムギ</t>
    </rPh>
    <rPh sb="4" eb="5">
      <t>ケイ</t>
    </rPh>
    <phoneticPr fontId="8"/>
  </si>
  <si>
    <t>てんさい</t>
    <phoneticPr fontId="8"/>
  </si>
  <si>
    <t>kg</t>
  </si>
  <si>
    <t>麦類計</t>
    <rPh sb="0" eb="2">
      <t>ムギルイ</t>
    </rPh>
    <rPh sb="2" eb="3">
      <t>ケイ</t>
    </rPh>
    <phoneticPr fontId="8"/>
  </si>
  <si>
    <t>養豚計</t>
    <rPh sb="0" eb="2">
      <t>ヨウトン</t>
    </rPh>
    <rPh sb="2" eb="3">
      <t>ケイ</t>
    </rPh>
    <phoneticPr fontId="8"/>
  </si>
  <si>
    <t>さとうきび</t>
    <phoneticPr fontId="8"/>
  </si>
  <si>
    <t>雑穀</t>
    <rPh sb="0" eb="2">
      <t>ザッコク</t>
    </rPh>
    <phoneticPr fontId="8"/>
  </si>
  <si>
    <t>そば</t>
    <phoneticPr fontId="8"/>
  </si>
  <si>
    <t>鶏卵</t>
    <rPh sb="0" eb="2">
      <t>ケイラン</t>
    </rPh>
    <phoneticPr fontId="8"/>
  </si>
  <si>
    <t>はだか麦計</t>
    <rPh sb="3" eb="4">
      <t>ムギ</t>
    </rPh>
    <rPh sb="4" eb="5">
      <t>ケイ</t>
    </rPh>
    <phoneticPr fontId="8"/>
  </si>
  <si>
    <t>茶(荒茶)</t>
    <rPh sb="0" eb="1">
      <t>チャ</t>
    </rPh>
    <rPh sb="2" eb="4">
      <t>アラチャ</t>
    </rPh>
    <phoneticPr fontId="8"/>
  </si>
  <si>
    <t>ブロイラー養鶏</t>
    <rPh sb="5" eb="7">
      <t>ヨウケイ</t>
    </rPh>
    <phoneticPr fontId="8"/>
  </si>
  <si>
    <t>野菜</t>
    <rPh sb="0" eb="2">
      <t>ヤサイ</t>
    </rPh>
    <phoneticPr fontId="8"/>
  </si>
  <si>
    <t>作付
面積</t>
    <rPh sb="0" eb="2">
      <t>サクツケ</t>
    </rPh>
    <rPh sb="3" eb="5">
      <t>メンセキ</t>
    </rPh>
    <phoneticPr fontId="8"/>
  </si>
  <si>
    <t>露地野菜</t>
    <rPh sb="0" eb="2">
      <t>ロジ</t>
    </rPh>
    <rPh sb="2" eb="4">
      <t>ヤサイ</t>
    </rPh>
    <phoneticPr fontId="8"/>
  </si>
  <si>
    <t>雑穀計</t>
    <rPh sb="0" eb="2">
      <t>ザッコク</t>
    </rPh>
    <rPh sb="2" eb="3">
      <t>ケイ</t>
    </rPh>
    <phoneticPr fontId="8"/>
  </si>
  <si>
    <t>その他
畜産物</t>
    <rPh sb="2" eb="3">
      <t>タ</t>
    </rPh>
    <rPh sb="4" eb="7">
      <t>チクサンブツ</t>
    </rPh>
    <phoneticPr fontId="8"/>
  </si>
  <si>
    <t>きゅう肥(ふん尿)</t>
    <rPh sb="3" eb="4">
      <t>ヒ</t>
    </rPh>
    <rPh sb="7" eb="8">
      <t>ニョウ</t>
    </rPh>
    <phoneticPr fontId="8"/>
  </si>
  <si>
    <t>施設野菜</t>
    <rPh sb="0" eb="2">
      <t>シセツ</t>
    </rPh>
    <rPh sb="2" eb="4">
      <t>ヤサイ</t>
    </rPh>
    <phoneticPr fontId="8"/>
  </si>
  <si>
    <t>㎡</t>
    <phoneticPr fontId="8"/>
  </si>
  <si>
    <t>豆類</t>
    <rPh sb="0" eb="1">
      <t>マメ</t>
    </rPh>
    <rPh sb="1" eb="2">
      <t>ルイ</t>
    </rPh>
    <phoneticPr fontId="8"/>
  </si>
  <si>
    <t>大豆</t>
    <rPh sb="0" eb="2">
      <t>ダイズ</t>
    </rPh>
    <phoneticPr fontId="8"/>
  </si>
  <si>
    <t>野菜計</t>
    <rPh sb="0" eb="2">
      <t>ヤサイ</t>
    </rPh>
    <rPh sb="2" eb="3">
      <t>ケイ</t>
    </rPh>
    <phoneticPr fontId="8"/>
  </si>
  <si>
    <t>麦類計</t>
    <rPh sb="0" eb="1">
      <t>ムギ</t>
    </rPh>
    <rPh sb="1" eb="2">
      <t>ルイ</t>
    </rPh>
    <rPh sb="2" eb="3">
      <t>ケイ</t>
    </rPh>
    <phoneticPr fontId="8"/>
  </si>
  <si>
    <t>果樹</t>
    <rPh sb="0" eb="2">
      <t>カジュ</t>
    </rPh>
    <phoneticPr fontId="8"/>
  </si>
  <si>
    <t>植栽面積</t>
    <rPh sb="0" eb="2">
      <t>ショクサイ</t>
    </rPh>
    <rPh sb="2" eb="4">
      <t>メンセキ</t>
    </rPh>
    <phoneticPr fontId="8"/>
  </si>
  <si>
    <t>豆類計</t>
    <rPh sb="0" eb="2">
      <t>マメルイ</t>
    </rPh>
    <rPh sb="2" eb="3">
      <t>ケイ</t>
    </rPh>
    <phoneticPr fontId="8"/>
  </si>
  <si>
    <t>農作業受託収入</t>
    <rPh sb="0" eb="1">
      <t>ノウ</t>
    </rPh>
    <rPh sb="1" eb="3">
      <t>サギョウ</t>
    </rPh>
    <rPh sb="3" eb="5">
      <t>ジュタク</t>
    </rPh>
    <rPh sb="5" eb="7">
      <t>シュウニュウ</t>
    </rPh>
    <phoneticPr fontId="8"/>
  </si>
  <si>
    <t>いも類</t>
    <rPh sb="2" eb="3">
      <t>ルイ</t>
    </rPh>
    <phoneticPr fontId="8"/>
  </si>
  <si>
    <t>農業雑収入</t>
    <rPh sb="0" eb="2">
      <t>ノウギョウ</t>
    </rPh>
    <rPh sb="2" eb="3">
      <t>ザツ</t>
    </rPh>
    <rPh sb="3" eb="5">
      <t>シュウニュウ</t>
    </rPh>
    <phoneticPr fontId="8"/>
  </si>
  <si>
    <t>花　き</t>
    <rPh sb="0" eb="1">
      <t>ハナ</t>
    </rPh>
    <phoneticPr fontId="8"/>
  </si>
  <si>
    <t>露地切り花</t>
    <rPh sb="0" eb="2">
      <t>ロジ</t>
    </rPh>
    <rPh sb="2" eb="3">
      <t>キ</t>
    </rPh>
    <rPh sb="4" eb="5">
      <t>ハナ</t>
    </rPh>
    <phoneticPr fontId="8"/>
  </si>
  <si>
    <t>共済・補助金等</t>
    <rPh sb="0" eb="2">
      <t>キョウサイ</t>
    </rPh>
    <rPh sb="3" eb="6">
      <t>ホジョキン</t>
    </rPh>
    <rPh sb="6" eb="7">
      <t>トウ</t>
    </rPh>
    <phoneticPr fontId="8"/>
  </si>
  <si>
    <t>露地鉢物</t>
    <rPh sb="0" eb="2">
      <t>ロジ</t>
    </rPh>
    <rPh sb="2" eb="4">
      <t>ハチモノ</t>
    </rPh>
    <phoneticPr fontId="8"/>
  </si>
  <si>
    <t>いも類計</t>
    <rPh sb="2" eb="3">
      <t>ルイ</t>
    </rPh>
    <rPh sb="3" eb="4">
      <t>ケイ</t>
    </rPh>
    <phoneticPr fontId="8"/>
  </si>
  <si>
    <t>露地計</t>
    <rPh sb="0" eb="2">
      <t>ロジ</t>
    </rPh>
    <rPh sb="2" eb="3">
      <t>ケイ</t>
    </rPh>
    <phoneticPr fontId="8"/>
  </si>
  <si>
    <t>工芸農作物</t>
    <rPh sb="0" eb="2">
      <t>コウゲイ</t>
    </rPh>
    <rPh sb="2" eb="5">
      <t>ノウサクモツ</t>
    </rPh>
    <phoneticPr fontId="8"/>
  </si>
  <si>
    <t>農産物在庫増減</t>
    <rPh sb="0" eb="3">
      <t>ノウサンブツ</t>
    </rPh>
    <rPh sb="3" eb="5">
      <t>ザイコ</t>
    </rPh>
    <rPh sb="5" eb="7">
      <t>ゾウゲン</t>
    </rPh>
    <phoneticPr fontId="8"/>
  </si>
  <si>
    <t>施設切り花</t>
    <rPh sb="0" eb="2">
      <t>シセツ</t>
    </rPh>
    <rPh sb="2" eb="3">
      <t>キ</t>
    </rPh>
    <rPh sb="4" eb="5">
      <t>ハナ</t>
    </rPh>
    <phoneticPr fontId="8"/>
  </si>
  <si>
    <t>合　　　計</t>
    <rPh sb="0" eb="1">
      <t>ゴウ</t>
    </rPh>
    <rPh sb="4" eb="5">
      <t>ケイ</t>
    </rPh>
    <phoneticPr fontId="8"/>
  </si>
  <si>
    <t>その他麦</t>
    <rPh sb="2" eb="3">
      <t>タ</t>
    </rPh>
    <rPh sb="3" eb="4">
      <t>ムギ</t>
    </rPh>
    <phoneticPr fontId="8"/>
  </si>
  <si>
    <t>施設鉢物</t>
    <rPh sb="0" eb="2">
      <t>シセツ</t>
    </rPh>
    <rPh sb="2" eb="4">
      <t>ハチモノ</t>
    </rPh>
    <phoneticPr fontId="8"/>
  </si>
  <si>
    <t>茶</t>
    <rPh sb="0" eb="1">
      <t>チャ</t>
    </rPh>
    <phoneticPr fontId="8"/>
  </si>
  <si>
    <t>施設計</t>
    <rPh sb="0" eb="2">
      <t>シセツ</t>
    </rPh>
    <rPh sb="2" eb="3">
      <t>ケイ</t>
    </rPh>
    <phoneticPr fontId="8"/>
  </si>
  <si>
    <t>雑　穀</t>
    <rPh sb="0" eb="1">
      <t>ザツ</t>
    </rPh>
    <rPh sb="2" eb="3">
      <t>コク</t>
    </rPh>
    <phoneticPr fontId="8"/>
  </si>
  <si>
    <t>そば計</t>
    <rPh sb="2" eb="3">
      <t>ケイ</t>
    </rPh>
    <phoneticPr fontId="8"/>
  </si>
  <si>
    <t>花き計</t>
    <rPh sb="0" eb="1">
      <t>ハナ</t>
    </rPh>
    <rPh sb="2" eb="3">
      <t>ケイ</t>
    </rPh>
    <phoneticPr fontId="8"/>
  </si>
  <si>
    <t>飼料作物</t>
    <rPh sb="0" eb="2">
      <t>シリョウ</t>
    </rPh>
    <rPh sb="2" eb="4">
      <t>サクモツ</t>
    </rPh>
    <phoneticPr fontId="8"/>
  </si>
  <si>
    <t>飼料用米</t>
    <rPh sb="0" eb="3">
      <t>シリョウヨウ</t>
    </rPh>
    <rPh sb="3" eb="4">
      <t>マイ</t>
    </rPh>
    <phoneticPr fontId="8"/>
  </si>
  <si>
    <t>WCS用米</t>
    <rPh sb="3" eb="4">
      <t>ヨウ</t>
    </rPh>
    <rPh sb="4" eb="5">
      <t>コメ</t>
    </rPh>
    <phoneticPr fontId="8"/>
  </si>
  <si>
    <t>５　農業経営費（円）</t>
    <rPh sb="2" eb="4">
      <t>ノウギョウ</t>
    </rPh>
    <rPh sb="4" eb="7">
      <t>ケイエイヒ</t>
    </rPh>
    <rPh sb="8" eb="9">
      <t>エン</t>
    </rPh>
    <phoneticPr fontId="8"/>
  </si>
  <si>
    <t>飼料作物計</t>
    <rPh sb="0" eb="2">
      <t>シリョウ</t>
    </rPh>
    <rPh sb="2" eb="4">
      <t>サクモツ</t>
    </rPh>
    <rPh sb="4" eb="5">
      <t>ケイ</t>
    </rPh>
    <phoneticPr fontId="8"/>
  </si>
  <si>
    <t>花き</t>
    <rPh sb="0" eb="1">
      <t>ハナ</t>
    </rPh>
    <phoneticPr fontId="8"/>
  </si>
  <si>
    <t>露地
花き</t>
    <rPh sb="0" eb="2">
      <t>ロジ</t>
    </rPh>
    <rPh sb="3" eb="4">
      <t>カ</t>
    </rPh>
    <phoneticPr fontId="8"/>
  </si>
  <si>
    <t>切り花</t>
    <rPh sb="0" eb="1">
      <t>キ</t>
    </rPh>
    <rPh sb="2" eb="3">
      <t>バナ</t>
    </rPh>
    <phoneticPr fontId="8"/>
  </si>
  <si>
    <t>豆　類</t>
    <rPh sb="0" eb="1">
      <t>マメ</t>
    </rPh>
    <rPh sb="2" eb="3">
      <t>タグイ</t>
    </rPh>
    <phoneticPr fontId="8"/>
  </si>
  <si>
    <t>大豆計</t>
    <rPh sb="0" eb="2">
      <t>ダイズ</t>
    </rPh>
    <rPh sb="2" eb="3">
      <t>ケイ</t>
    </rPh>
    <phoneticPr fontId="8"/>
  </si>
  <si>
    <t>飼料用米生産量</t>
    <rPh sb="0" eb="3">
      <t>シリョウヨウ</t>
    </rPh>
    <rPh sb="3" eb="4">
      <t>マイ</t>
    </rPh>
    <rPh sb="4" eb="7">
      <t>セイサンリョウ</t>
    </rPh>
    <phoneticPr fontId="8"/>
  </si>
  <si>
    <t>鉢物</t>
    <rPh sb="0" eb="2">
      <t>ハチモノ</t>
    </rPh>
    <phoneticPr fontId="8"/>
  </si>
  <si>
    <t>種苗費</t>
    <rPh sb="0" eb="2">
      <t>シュビョウ</t>
    </rPh>
    <rPh sb="2" eb="3">
      <t>ヒ</t>
    </rPh>
    <phoneticPr fontId="8"/>
  </si>
  <si>
    <t>頭</t>
    <rPh sb="0" eb="1">
      <t>トウ</t>
    </rPh>
    <phoneticPr fontId="8"/>
  </si>
  <si>
    <t>露地花き計</t>
    <rPh sb="0" eb="2">
      <t>ロジ</t>
    </rPh>
    <rPh sb="2" eb="3">
      <t>ハナ</t>
    </rPh>
    <rPh sb="4" eb="5">
      <t>ケイ</t>
    </rPh>
    <phoneticPr fontId="8"/>
  </si>
  <si>
    <t>素畜費</t>
    <rPh sb="0" eb="1">
      <t>モト</t>
    </rPh>
    <rPh sb="1" eb="3">
      <t>チクヒ</t>
    </rPh>
    <phoneticPr fontId="8"/>
  </si>
  <si>
    <t>生乳生産量</t>
    <rPh sb="0" eb="2">
      <t>セイニュウ</t>
    </rPh>
    <rPh sb="2" eb="5">
      <t>セイサンリョウ</t>
    </rPh>
    <phoneticPr fontId="8"/>
  </si>
  <si>
    <t>施設
花き</t>
    <rPh sb="0" eb="2">
      <t>シセツ</t>
    </rPh>
    <rPh sb="3" eb="4">
      <t>カ</t>
    </rPh>
    <phoneticPr fontId="8"/>
  </si>
  <si>
    <t>肥料費</t>
    <rPh sb="0" eb="3">
      <t>ヒリョウヒ</t>
    </rPh>
    <phoneticPr fontId="8"/>
  </si>
  <si>
    <t>肉用牛</t>
    <rPh sb="0" eb="3">
      <t>ニクヨウギュウ</t>
    </rPh>
    <phoneticPr fontId="8"/>
  </si>
  <si>
    <t>繁殖雌牛月平均頭数</t>
    <rPh sb="0" eb="2">
      <t>ハンショク</t>
    </rPh>
    <rPh sb="2" eb="3">
      <t>メス</t>
    </rPh>
    <rPh sb="3" eb="4">
      <t>ウシ</t>
    </rPh>
    <rPh sb="4" eb="7">
      <t>ツキヘイキン</t>
    </rPh>
    <rPh sb="7" eb="9">
      <t>トウスウ</t>
    </rPh>
    <phoneticPr fontId="8"/>
  </si>
  <si>
    <t>頭</t>
    <rPh sb="0" eb="1">
      <t>アタマ</t>
    </rPh>
    <phoneticPr fontId="8"/>
  </si>
  <si>
    <t>飼料費</t>
    <rPh sb="0" eb="3">
      <t>シリョウヒ</t>
    </rPh>
    <phoneticPr fontId="8"/>
  </si>
  <si>
    <t>肉専用種</t>
    <rPh sb="0" eb="3">
      <t>ニクセンヨウ</t>
    </rPh>
    <rPh sb="3" eb="4">
      <t>シュ</t>
    </rPh>
    <phoneticPr fontId="8"/>
  </si>
  <si>
    <t>施設花き計</t>
    <rPh sb="0" eb="2">
      <t>シセツ</t>
    </rPh>
    <rPh sb="2" eb="3">
      <t>ハナ</t>
    </rPh>
    <rPh sb="4" eb="5">
      <t>ケイ</t>
    </rPh>
    <phoneticPr fontId="8"/>
  </si>
  <si>
    <t>農薬衛生費</t>
    <rPh sb="0" eb="2">
      <t>ノウヤク</t>
    </rPh>
    <rPh sb="2" eb="5">
      <t>エイセイヒ</t>
    </rPh>
    <phoneticPr fontId="8"/>
  </si>
  <si>
    <t>大豆以外</t>
    <rPh sb="0" eb="2">
      <t>ダイズ</t>
    </rPh>
    <rPh sb="2" eb="4">
      <t>イガイ</t>
    </rPh>
    <phoneticPr fontId="8"/>
  </si>
  <si>
    <t>諸材料費</t>
    <rPh sb="0" eb="1">
      <t>ショ</t>
    </rPh>
    <rPh sb="1" eb="4">
      <t>ザイリョウヒ</t>
    </rPh>
    <phoneticPr fontId="8"/>
  </si>
  <si>
    <t>６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8"/>
  </si>
  <si>
    <t>いも類</t>
    <rPh sb="2" eb="3">
      <t>タグイ</t>
    </rPh>
    <phoneticPr fontId="8"/>
  </si>
  <si>
    <t>かんしょ計</t>
    <rPh sb="4" eb="5">
      <t>ケイ</t>
    </rPh>
    <phoneticPr fontId="8"/>
  </si>
  <si>
    <t>繁殖雌豚</t>
    <rPh sb="0" eb="2">
      <t>ハンショク</t>
    </rPh>
    <rPh sb="2" eb="3">
      <t>メス</t>
    </rPh>
    <rPh sb="3" eb="4">
      <t>ブタ</t>
    </rPh>
    <phoneticPr fontId="8"/>
  </si>
  <si>
    <t>飼料
作物</t>
    <rPh sb="0" eb="2">
      <t>シリョウ</t>
    </rPh>
    <rPh sb="3" eb="5">
      <t>サクモツ</t>
    </rPh>
    <phoneticPr fontId="8"/>
  </si>
  <si>
    <t>動力光熱費</t>
    <rPh sb="0" eb="2">
      <t>ドウリョク</t>
    </rPh>
    <rPh sb="2" eb="5">
      <t>コウネツヒ</t>
    </rPh>
    <phoneticPr fontId="8"/>
  </si>
  <si>
    <t>直接販売計</t>
    <rPh sb="0" eb="2">
      <t>チョクセツ</t>
    </rPh>
    <rPh sb="2" eb="4">
      <t>ハンバイ</t>
    </rPh>
    <rPh sb="4" eb="5">
      <t>ケイ</t>
    </rPh>
    <phoneticPr fontId="8"/>
  </si>
  <si>
    <t>肥育豚</t>
    <rPh sb="0" eb="2">
      <t>ヒイク</t>
    </rPh>
    <rPh sb="2" eb="3">
      <t>ブタ</t>
    </rPh>
    <phoneticPr fontId="8"/>
  </si>
  <si>
    <t>WCS用稲</t>
    <rPh sb="3" eb="4">
      <t>ヨウ</t>
    </rPh>
    <rPh sb="4" eb="5">
      <t>イネ</t>
    </rPh>
    <phoneticPr fontId="8"/>
  </si>
  <si>
    <t>修繕費</t>
    <rPh sb="0" eb="3">
      <t>シュウゼンヒ</t>
    </rPh>
    <phoneticPr fontId="8"/>
  </si>
  <si>
    <t>小売業者</t>
    <rPh sb="0" eb="2">
      <t>コウ</t>
    </rPh>
    <rPh sb="2" eb="4">
      <t>ギョウシャ</t>
    </rPh>
    <phoneticPr fontId="8"/>
  </si>
  <si>
    <t>ばれいしょ計</t>
    <rPh sb="5" eb="6">
      <t>ケイ</t>
    </rPh>
    <phoneticPr fontId="8"/>
  </si>
  <si>
    <t>養鶏</t>
    <rPh sb="0" eb="2">
      <t>ヨウケイ</t>
    </rPh>
    <phoneticPr fontId="8"/>
  </si>
  <si>
    <t>月平均採卵鶏羽数</t>
    <rPh sb="0" eb="3">
      <t>ツキヘイキン</t>
    </rPh>
    <rPh sb="3" eb="6">
      <t>サイランケイ</t>
    </rPh>
    <rPh sb="6" eb="8">
      <t>ハスウ</t>
    </rPh>
    <phoneticPr fontId="8"/>
  </si>
  <si>
    <t>羽</t>
    <rPh sb="0" eb="1">
      <t>ハ</t>
    </rPh>
    <phoneticPr fontId="8"/>
  </si>
  <si>
    <t>農具費</t>
    <rPh sb="0" eb="2">
      <t>ノウグ</t>
    </rPh>
    <rPh sb="2" eb="3">
      <t>ヒ</t>
    </rPh>
    <phoneticPr fontId="8"/>
  </si>
  <si>
    <t>食品製造業･外食産業</t>
    <rPh sb="0" eb="2">
      <t>ショクヒン</t>
    </rPh>
    <rPh sb="2" eb="5">
      <t>セイゾウギョウ</t>
    </rPh>
    <rPh sb="6" eb="8">
      <t>ガイショク</t>
    </rPh>
    <rPh sb="8" eb="10">
      <t>サンギョウ</t>
    </rPh>
    <phoneticPr fontId="8"/>
  </si>
  <si>
    <t>鶏卵生産量</t>
    <rPh sb="0" eb="2">
      <t>ケイラン</t>
    </rPh>
    <rPh sb="2" eb="5">
      <t>セイサンリョウ</t>
    </rPh>
    <phoneticPr fontId="8"/>
  </si>
  <si>
    <t>作業用衣料費</t>
    <rPh sb="0" eb="3">
      <t>サギョウヨウ</t>
    </rPh>
    <rPh sb="3" eb="6">
      <t>イリョウヒ</t>
    </rPh>
    <phoneticPr fontId="8"/>
  </si>
  <si>
    <t>消費者に直接販売</t>
    <rPh sb="0" eb="3">
      <t>ショウヒシャ</t>
    </rPh>
    <rPh sb="4" eb="6">
      <t>チョクセツ</t>
    </rPh>
    <rPh sb="6" eb="8">
      <t>ハンバイ</t>
    </rPh>
    <phoneticPr fontId="8"/>
  </si>
  <si>
    <t>ブロイラー販売羽数</t>
    <rPh sb="5" eb="7">
      <t>ハンバイ</t>
    </rPh>
    <rPh sb="7" eb="8">
      <t>ハ</t>
    </rPh>
    <rPh sb="8" eb="9">
      <t>スウ</t>
    </rPh>
    <phoneticPr fontId="8"/>
  </si>
  <si>
    <t>その他の作物</t>
    <rPh sb="2" eb="3">
      <t>タ</t>
    </rPh>
    <rPh sb="4" eb="6">
      <t>サクモツ</t>
    </rPh>
    <phoneticPr fontId="8"/>
  </si>
  <si>
    <t>地代・賃借料</t>
    <rPh sb="0" eb="2">
      <t>チダイ</t>
    </rPh>
    <rPh sb="3" eb="6">
      <t>チンシャクリョウ</t>
    </rPh>
    <phoneticPr fontId="8"/>
  </si>
  <si>
    <t>自営直売所</t>
    <rPh sb="0" eb="2">
      <t>ジエイ</t>
    </rPh>
    <rPh sb="2" eb="5">
      <t>チョクバイジョ</t>
    </rPh>
    <phoneticPr fontId="8"/>
  </si>
  <si>
    <t>土地改良費</t>
    <rPh sb="0" eb="2">
      <t>トチ</t>
    </rPh>
    <rPh sb="2" eb="5">
      <t>カイリョウヒ</t>
    </rPh>
    <phoneticPr fontId="8"/>
  </si>
  <si>
    <t>その他の直売所</t>
    <rPh sb="2" eb="3">
      <t>タ</t>
    </rPh>
    <rPh sb="4" eb="7">
      <t>チョクバイジョ</t>
    </rPh>
    <phoneticPr fontId="8"/>
  </si>
  <si>
    <t>４　農作業受託</t>
    <rPh sb="2" eb="5">
      <t>ノウサギョウ</t>
    </rPh>
    <rPh sb="5" eb="7">
      <t>ジュタク</t>
    </rPh>
    <phoneticPr fontId="8"/>
  </si>
  <si>
    <t>租税公課</t>
    <rPh sb="0" eb="2">
      <t>ソゼイ</t>
    </rPh>
    <rPh sb="2" eb="4">
      <t>コウカ</t>
    </rPh>
    <phoneticPr fontId="8"/>
  </si>
  <si>
    <t>インターネット</t>
    <phoneticPr fontId="8"/>
  </si>
  <si>
    <t>全　作　業
受　　　託</t>
    <rPh sb="0" eb="1">
      <t>ゼン</t>
    </rPh>
    <rPh sb="2" eb="3">
      <t>サク</t>
    </rPh>
    <rPh sb="4" eb="5">
      <t>ギョウ</t>
    </rPh>
    <rPh sb="6" eb="7">
      <t>ウケ</t>
    </rPh>
    <rPh sb="10" eb="11">
      <t>コトヅケ</t>
    </rPh>
    <phoneticPr fontId="8"/>
  </si>
  <si>
    <t>部分作業
受　　託</t>
    <rPh sb="0" eb="2">
      <t>ブブン</t>
    </rPh>
    <rPh sb="2" eb="4">
      <t>サギョウ</t>
    </rPh>
    <rPh sb="5" eb="6">
      <t>ウケ</t>
    </rPh>
    <rPh sb="8" eb="9">
      <t>コトヅケ</t>
    </rPh>
    <phoneticPr fontId="8"/>
  </si>
  <si>
    <t>利子割引料</t>
    <rPh sb="0" eb="2">
      <t>リシ</t>
    </rPh>
    <rPh sb="2" eb="5">
      <t>ワリビキリョウ</t>
    </rPh>
    <phoneticPr fontId="8"/>
  </si>
  <si>
    <t>他の方法</t>
    <rPh sb="0" eb="1">
      <t>ホカ</t>
    </rPh>
    <rPh sb="2" eb="4">
      <t>ホウホウ</t>
    </rPh>
    <phoneticPr fontId="8"/>
  </si>
  <si>
    <t>育　　　　苗</t>
    <rPh sb="0" eb="1">
      <t>イク</t>
    </rPh>
    <rPh sb="5" eb="6">
      <t>ナエ</t>
    </rPh>
    <phoneticPr fontId="8"/>
  </si>
  <si>
    <t>耕うん・整地</t>
    <rPh sb="0" eb="1">
      <t>コウ</t>
    </rPh>
    <rPh sb="4" eb="6">
      <t>セイチ</t>
    </rPh>
    <phoneticPr fontId="8"/>
  </si>
  <si>
    <t>田植・は種</t>
    <rPh sb="0" eb="1">
      <t>タ</t>
    </rPh>
    <rPh sb="1" eb="2">
      <t>ウエ</t>
    </rPh>
    <rPh sb="4" eb="5">
      <t>タネ</t>
    </rPh>
    <phoneticPr fontId="8"/>
  </si>
  <si>
    <t>防　　　除</t>
    <rPh sb="0" eb="1">
      <t>ボウ</t>
    </rPh>
    <rPh sb="4" eb="5">
      <t>ジョ</t>
    </rPh>
    <phoneticPr fontId="8"/>
  </si>
  <si>
    <t>刈取・脱穀</t>
    <rPh sb="0" eb="1">
      <t>カ</t>
    </rPh>
    <rPh sb="1" eb="2">
      <t>ト</t>
    </rPh>
    <rPh sb="3" eb="5">
      <t>ダッコク</t>
    </rPh>
    <phoneticPr fontId="8"/>
  </si>
  <si>
    <t>乾燥・調製</t>
    <rPh sb="0" eb="2">
      <t>カンソウ</t>
    </rPh>
    <rPh sb="3" eb="5">
      <t>チョウセイ</t>
    </rPh>
    <phoneticPr fontId="8"/>
  </si>
  <si>
    <t>そ　の　他</t>
    <rPh sb="4" eb="5">
      <t>タ</t>
    </rPh>
    <phoneticPr fontId="8"/>
  </si>
  <si>
    <t>荷造運賃手数料</t>
    <rPh sb="0" eb="2">
      <t>ニヅク</t>
    </rPh>
    <rPh sb="2" eb="4">
      <t>ウンチン</t>
    </rPh>
    <rPh sb="4" eb="7">
      <t>テスウリョウ</t>
    </rPh>
    <phoneticPr fontId="8"/>
  </si>
  <si>
    <t>水稲</t>
    <rPh sb="0" eb="2">
      <t>スイトウ</t>
    </rPh>
    <phoneticPr fontId="8"/>
  </si>
  <si>
    <t>農業雑支出</t>
    <rPh sb="0" eb="2">
      <t>ノウギョウ</t>
    </rPh>
    <rPh sb="2" eb="3">
      <t>ザツ</t>
    </rPh>
    <rPh sb="3" eb="5">
      <t>シシュツ</t>
    </rPh>
    <phoneticPr fontId="8"/>
  </si>
  <si>
    <t>豆類</t>
    <rPh sb="0" eb="2">
      <t>マメルイ</t>
    </rPh>
    <phoneticPr fontId="8"/>
  </si>
  <si>
    <t>受 託
収 入
(円)</t>
    <rPh sb="0" eb="1">
      <t>ウケ</t>
    </rPh>
    <rPh sb="2" eb="3">
      <t>コトヅケ</t>
    </rPh>
    <rPh sb="4" eb="5">
      <t>オサム</t>
    </rPh>
    <rPh sb="6" eb="7">
      <t>イリ</t>
    </rPh>
    <rPh sb="9" eb="10">
      <t>エン</t>
    </rPh>
    <phoneticPr fontId="8"/>
  </si>
  <si>
    <t>棚卸高(農産物以外)</t>
    <rPh sb="0" eb="2">
      <t>タナオロシ</t>
    </rPh>
    <rPh sb="2" eb="3">
      <t>タカ</t>
    </rPh>
    <rPh sb="4" eb="6">
      <t>ノウサン</t>
    </rPh>
    <rPh sb="6" eb="7">
      <t>ブツ</t>
    </rPh>
    <rPh sb="7" eb="9">
      <t>イガイ</t>
    </rPh>
    <phoneticPr fontId="8"/>
  </si>
  <si>
    <t>牛馬等育成費用</t>
    <rPh sb="0" eb="2">
      <t>ギュウバ</t>
    </rPh>
    <rPh sb="2" eb="3">
      <t>トウ</t>
    </rPh>
    <rPh sb="3" eb="5">
      <t>イクセイ</t>
    </rPh>
    <rPh sb="5" eb="7">
      <t>ヒヨウ</t>
    </rPh>
    <phoneticPr fontId="8"/>
  </si>
  <si>
    <t>１　事業従事者数（人）</t>
    <rPh sb="2" eb="4">
      <t>ジギョウ</t>
    </rPh>
    <rPh sb="4" eb="7">
      <t>ジュウジシャ</t>
    </rPh>
    <rPh sb="7" eb="8">
      <t>スウ</t>
    </rPh>
    <rPh sb="9" eb="10">
      <t>ヒト</t>
    </rPh>
    <phoneticPr fontId="8"/>
  </si>
  <si>
    <t>４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8"/>
  </si>
  <si>
    <t>５　年齢別農業労働時間（時間）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8"/>
  </si>
  <si>
    <t>構成員</t>
    <rPh sb="0" eb="3">
      <t>コウセイイン</t>
    </rPh>
    <phoneticPr fontId="8"/>
  </si>
  <si>
    <t>男</t>
    <rPh sb="0" eb="1">
      <t>オトコ</t>
    </rPh>
    <phoneticPr fontId="11"/>
  </si>
  <si>
    <t>女</t>
    <rPh sb="0" eb="1">
      <t>オンナ</t>
    </rPh>
    <phoneticPr fontId="8"/>
  </si>
  <si>
    <t>経営主</t>
    <rPh sb="0" eb="2">
      <t>ケイエイ</t>
    </rPh>
    <rPh sb="2" eb="3">
      <t>ヌシ</t>
    </rPh>
    <phoneticPr fontId="11"/>
  </si>
  <si>
    <t>経営主以外</t>
    <rPh sb="0" eb="2">
      <t>ケイエイ</t>
    </rPh>
    <rPh sb="2" eb="3">
      <t>ヌシ</t>
    </rPh>
    <rPh sb="3" eb="5">
      <t>イガイ</t>
    </rPh>
    <phoneticPr fontId="8"/>
  </si>
  <si>
    <t>７か月以上雇用</t>
    <rPh sb="2" eb="3">
      <t>ゲツ</t>
    </rPh>
    <rPh sb="3" eb="5">
      <t>イジョウ</t>
    </rPh>
    <rPh sb="5" eb="7">
      <t>コヨウ</t>
    </rPh>
    <phoneticPr fontId="8"/>
  </si>
  <si>
    <t>事業従事者計</t>
    <rPh sb="0" eb="2">
      <t>ジギョウ</t>
    </rPh>
    <rPh sb="2" eb="5">
      <t>ジュウジシャ</t>
    </rPh>
    <rPh sb="5" eb="6">
      <t>ケイ</t>
    </rPh>
    <phoneticPr fontId="8"/>
  </si>
  <si>
    <t>事業労働時間計</t>
    <rPh sb="0" eb="2">
      <t>ジギョウ</t>
    </rPh>
    <rPh sb="2" eb="4">
      <t>ロウドウ</t>
    </rPh>
    <rPh sb="4" eb="6">
      <t>ジカン</t>
    </rPh>
    <rPh sb="6" eb="7">
      <t>ケイ</t>
    </rPh>
    <phoneticPr fontId="8"/>
  </si>
  <si>
    <t>男</t>
    <rPh sb="0" eb="1">
      <t>オトコ</t>
    </rPh>
    <phoneticPr fontId="8"/>
  </si>
  <si>
    <t>35歳未満</t>
    <rPh sb="2" eb="3">
      <t>サイ</t>
    </rPh>
    <rPh sb="3" eb="5">
      <t>ミマン</t>
    </rPh>
    <phoneticPr fontId="8"/>
  </si>
  <si>
    <t>35～44</t>
    <phoneticPr fontId="8"/>
  </si>
  <si>
    <t>45～49</t>
    <phoneticPr fontId="8"/>
  </si>
  <si>
    <t>50～59</t>
    <phoneticPr fontId="8"/>
  </si>
  <si>
    <t>60～64</t>
    <phoneticPr fontId="8"/>
  </si>
  <si>
    <t>7ヶ月以上雇用</t>
    <rPh sb="2" eb="5">
      <t>ゲツイジョウ</t>
    </rPh>
    <rPh sb="5" eb="7">
      <t>コヨウ</t>
    </rPh>
    <phoneticPr fontId="8"/>
  </si>
  <si>
    <t>65～69</t>
    <phoneticPr fontId="8"/>
  </si>
  <si>
    <t>70歳以上</t>
    <rPh sb="2" eb="3">
      <t>サイ</t>
    </rPh>
    <rPh sb="3" eb="5">
      <t>イジョウ</t>
    </rPh>
    <phoneticPr fontId="8"/>
  </si>
  <si>
    <t>経営主</t>
    <rPh sb="0" eb="2">
      <t>ケイエイ</t>
    </rPh>
    <rPh sb="2" eb="3">
      <t>ヌシ</t>
    </rPh>
    <phoneticPr fontId="8"/>
  </si>
  <si>
    <t>うち農業従事者計</t>
    <rPh sb="2" eb="4">
      <t>ノウギョウ</t>
    </rPh>
    <rPh sb="4" eb="7">
      <t>ジュウジシャ</t>
    </rPh>
    <rPh sb="7" eb="8">
      <t>ケイ</t>
    </rPh>
    <phoneticPr fontId="8"/>
  </si>
  <si>
    <t>農業労働計</t>
    <rPh sb="0" eb="2">
      <t>ノウギョウ</t>
    </rPh>
    <rPh sb="2" eb="4">
      <t>ロウドウ</t>
    </rPh>
    <rPh sb="4" eb="5">
      <t>ケイ</t>
    </rPh>
    <phoneticPr fontId="8"/>
  </si>
  <si>
    <t>35～44</t>
  </si>
  <si>
    <t>45～49</t>
  </si>
  <si>
    <t>うち関連事業従事者計</t>
    <rPh sb="2" eb="4">
      <t>カンレン</t>
    </rPh>
    <rPh sb="4" eb="6">
      <t>ジギョウ</t>
    </rPh>
    <rPh sb="6" eb="9">
      <t>ジュウジシャ</t>
    </rPh>
    <rPh sb="9" eb="10">
      <t>ケイ</t>
    </rPh>
    <phoneticPr fontId="8"/>
  </si>
  <si>
    <t>うち生産部門計</t>
    <rPh sb="2" eb="4">
      <t>セイサン</t>
    </rPh>
    <rPh sb="4" eb="6">
      <t>ブモン</t>
    </rPh>
    <rPh sb="6" eb="7">
      <t>ケイ</t>
    </rPh>
    <phoneticPr fontId="8"/>
  </si>
  <si>
    <t>50～59</t>
  </si>
  <si>
    <t>60～64</t>
  </si>
  <si>
    <t>65～69</t>
  </si>
  <si>
    <t>２　年齢別農業従事者数（人）</t>
    <rPh sb="2" eb="4">
      <t>ネンレイ</t>
    </rPh>
    <rPh sb="4" eb="5">
      <t>ベツ</t>
    </rPh>
    <rPh sb="5" eb="7">
      <t>ノウギョウ</t>
    </rPh>
    <rPh sb="7" eb="9">
      <t>ジュウジ</t>
    </rPh>
    <rPh sb="9" eb="10">
      <t>シャ</t>
    </rPh>
    <rPh sb="10" eb="11">
      <t>カズ</t>
    </rPh>
    <rPh sb="12" eb="13">
      <t>ニン</t>
    </rPh>
    <phoneticPr fontId="8"/>
  </si>
  <si>
    <t>うち販売管理部門計</t>
    <rPh sb="2" eb="4">
      <t>ハンバイ</t>
    </rPh>
    <rPh sb="4" eb="6">
      <t>カンリ</t>
    </rPh>
    <rPh sb="6" eb="8">
      <t>ブモン</t>
    </rPh>
    <rPh sb="8" eb="9">
      <t>ケイ</t>
    </rPh>
    <phoneticPr fontId="8"/>
  </si>
  <si>
    <t>60日以上</t>
    <rPh sb="2" eb="3">
      <t>ニチ</t>
    </rPh>
    <rPh sb="3" eb="5">
      <t>イジョウ</t>
    </rPh>
    <phoneticPr fontId="8"/>
  </si>
  <si>
    <t>150日以上</t>
    <rPh sb="3" eb="4">
      <t>ニチ</t>
    </rPh>
    <rPh sb="4" eb="6">
      <t>イジョウ</t>
    </rPh>
    <phoneticPr fontId="8"/>
  </si>
  <si>
    <t>うち農作業受託労働計</t>
    <rPh sb="2" eb="5">
      <t>ノウサギョウ</t>
    </rPh>
    <rPh sb="5" eb="7">
      <t>ジュタク</t>
    </rPh>
    <rPh sb="7" eb="9">
      <t>ロウドウ</t>
    </rPh>
    <rPh sb="9" eb="10">
      <t>ケイ</t>
    </rPh>
    <phoneticPr fontId="8"/>
  </si>
  <si>
    <t>３　経営主等の平均年齢、研修生の数</t>
    <rPh sb="2" eb="4">
      <t>ケイエイ</t>
    </rPh>
    <rPh sb="4" eb="5">
      <t>ヌシ</t>
    </rPh>
    <rPh sb="5" eb="6">
      <t>トウ</t>
    </rPh>
    <rPh sb="7" eb="9">
      <t>ヘイキン</t>
    </rPh>
    <rPh sb="9" eb="11">
      <t>ネンレイ</t>
    </rPh>
    <phoneticPr fontId="8"/>
  </si>
  <si>
    <t>人数(人)</t>
    <rPh sb="0" eb="2">
      <t>ニンズウ</t>
    </rPh>
    <rPh sb="3" eb="4">
      <t>ニン</t>
    </rPh>
    <phoneticPr fontId="8"/>
  </si>
  <si>
    <t>平均年齢(歳)</t>
    <rPh sb="0" eb="2">
      <t>ヘイキン</t>
    </rPh>
    <rPh sb="2" eb="4">
      <t>ネンレイ</t>
    </rPh>
    <rPh sb="5" eb="6">
      <t>サイ</t>
    </rPh>
    <phoneticPr fontId="8"/>
  </si>
  <si>
    <t>関連事業労働計</t>
    <rPh sb="0" eb="2">
      <t>カンレン</t>
    </rPh>
    <rPh sb="2" eb="4">
      <t>ジギョウ</t>
    </rPh>
    <rPh sb="4" eb="6">
      <t>ロウドウ</t>
    </rPh>
    <rPh sb="6" eb="7">
      <t>ケイ</t>
    </rPh>
    <phoneticPr fontId="8"/>
  </si>
  <si>
    <t>農業研修生計</t>
    <rPh sb="0" eb="2">
      <t>ノウギョウ</t>
    </rPh>
    <rPh sb="2" eb="5">
      <t>ケンシュウセイ</t>
    </rPh>
    <rPh sb="5" eb="6">
      <t>ケイ</t>
    </rPh>
    <phoneticPr fontId="8"/>
  </si>
  <si>
    <t>外国人技能実習生</t>
    <rPh sb="0" eb="3">
      <t>ガイコクジン</t>
    </rPh>
    <rPh sb="3" eb="5">
      <t>ギノウ</t>
    </rPh>
    <rPh sb="5" eb="8">
      <t>ジッシュウセイ</t>
    </rPh>
    <phoneticPr fontId="8"/>
  </si>
  <si>
    <t>有給役員（男）</t>
    <rPh sb="0" eb="2">
      <t>ユウキュウ</t>
    </rPh>
    <rPh sb="2" eb="4">
      <t>ヤクイン</t>
    </rPh>
    <rPh sb="5" eb="6">
      <t>オトコ</t>
    </rPh>
    <phoneticPr fontId="8"/>
  </si>
  <si>
    <t>日本人研修生</t>
    <rPh sb="0" eb="3">
      <t>ニホンジン</t>
    </rPh>
    <rPh sb="3" eb="6">
      <t>ケンシュウセイ</t>
    </rPh>
    <phoneticPr fontId="8"/>
  </si>
  <si>
    <t>有給役員（女）</t>
    <rPh sb="0" eb="2">
      <t>ユウキュウ</t>
    </rPh>
    <rPh sb="2" eb="4">
      <t>ヤクイン</t>
    </rPh>
    <rPh sb="5" eb="6">
      <t>オンナ</t>
    </rPh>
    <phoneticPr fontId="8"/>
  </si>
  <si>
    <t>有給役員（計）</t>
    <rPh sb="0" eb="2">
      <t>ユウキュウ</t>
    </rPh>
    <rPh sb="2" eb="4">
      <t>ヤクイン</t>
    </rPh>
    <rPh sb="5" eb="6">
      <t>ケイ</t>
    </rPh>
    <phoneticPr fontId="8"/>
  </si>
  <si>
    <t>農業以外の事業無し</t>
    <rPh sb="0" eb="2">
      <t>ノウギョウ</t>
    </rPh>
    <rPh sb="2" eb="4">
      <t>イガイ</t>
    </rPh>
    <rPh sb="5" eb="7">
      <t>ジギョウ</t>
    </rPh>
    <rPh sb="7" eb="8">
      <t>ナ</t>
    </rPh>
    <phoneticPr fontId="8"/>
  </si>
  <si>
    <t>飼料費補填金処理</t>
    <rPh sb="0" eb="3">
      <t>シリョウヒ</t>
    </rPh>
    <rPh sb="3" eb="5">
      <t>ホテン</t>
    </rPh>
    <rPh sb="5" eb="6">
      <t>キン</t>
    </rPh>
    <rPh sb="6" eb="8">
      <t>ショリ</t>
    </rPh>
    <phoneticPr fontId="8"/>
  </si>
  <si>
    <t>農業生産関連事業集計対象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シュウケイ</t>
    </rPh>
    <rPh sb="10" eb="12">
      <t>タイショウ</t>
    </rPh>
    <phoneticPr fontId="8"/>
  </si>
  <si>
    <t>有価証券</t>
    <rPh sb="0" eb="2">
      <t>ユウカ</t>
    </rPh>
    <rPh sb="2" eb="4">
      <t>ショウケン</t>
    </rPh>
    <phoneticPr fontId="8"/>
  </si>
  <si>
    <t>うち農業負債</t>
    <rPh sb="2" eb="4">
      <t>ノウギョウ</t>
    </rPh>
    <rPh sb="4" eb="6">
      <t>フサイ</t>
    </rPh>
    <phoneticPr fontId="8"/>
  </si>
  <si>
    <t>労務費</t>
    <rPh sb="0" eb="2">
      <t>ロウム</t>
    </rPh>
    <rPh sb="2" eb="3">
      <t>ヒ</t>
    </rPh>
    <phoneticPr fontId="8"/>
  </si>
  <si>
    <t>その他</t>
    <rPh sb="2" eb="3">
      <t>タ</t>
    </rPh>
    <phoneticPr fontId="8"/>
  </si>
  <si>
    <t>12 農業生産関連事業の概要</t>
    <rPh sb="3" eb="5">
      <t>ノウギョウ</t>
    </rPh>
    <rPh sb="5" eb="7">
      <t>セイサン</t>
    </rPh>
    <rPh sb="7" eb="11">
      <t>カンレンジギョウ</t>
    </rPh>
    <rPh sb="12" eb="14">
      <t>ガイヨウ</t>
    </rPh>
    <phoneticPr fontId="8"/>
  </si>
  <si>
    <t>期首棚卸高</t>
    <rPh sb="0" eb="2">
      <t>キシュ</t>
    </rPh>
    <rPh sb="2" eb="4">
      <t>タナオロ</t>
    </rPh>
    <rPh sb="4" eb="5">
      <t>ダカ</t>
    </rPh>
    <phoneticPr fontId="8"/>
  </si>
  <si>
    <t>商品仕入高</t>
    <rPh sb="0" eb="2">
      <t>ショウヒン</t>
    </rPh>
    <rPh sb="2" eb="4">
      <t>シイ</t>
    </rPh>
    <rPh sb="4" eb="5">
      <t>ダカ</t>
    </rPh>
    <phoneticPr fontId="8"/>
  </si>
  <si>
    <t>生物売却原価</t>
    <rPh sb="0" eb="2">
      <t>セイブツ</t>
    </rPh>
    <rPh sb="2" eb="4">
      <t>バイキャク</t>
    </rPh>
    <rPh sb="4" eb="6">
      <t>ゲンカ</t>
    </rPh>
    <phoneticPr fontId="8"/>
  </si>
  <si>
    <t>期末棚卸高</t>
    <rPh sb="0" eb="2">
      <t>キマツ</t>
    </rPh>
    <rPh sb="2" eb="4">
      <t>タナオロ</t>
    </rPh>
    <rPh sb="4" eb="5">
      <t>ダカ</t>
    </rPh>
    <phoneticPr fontId="8"/>
  </si>
  <si>
    <t>支払利子等</t>
    <rPh sb="0" eb="2">
      <t>シハライ</t>
    </rPh>
    <rPh sb="2" eb="4">
      <t>リシ</t>
    </rPh>
    <rPh sb="4" eb="5">
      <t>トウ</t>
    </rPh>
    <phoneticPr fontId="8"/>
  </si>
  <si>
    <t>農業負債利子</t>
    <rPh sb="0" eb="2">
      <t>ノウギョウ</t>
    </rPh>
    <rPh sb="2" eb="4">
      <t>フサイ</t>
    </rPh>
    <rPh sb="4" eb="6">
      <t>リシ</t>
    </rPh>
    <phoneticPr fontId="8"/>
  </si>
  <si>
    <t>交雑種</t>
    <rPh sb="0" eb="3">
      <t>コウザツシュ</t>
    </rPh>
    <phoneticPr fontId="8"/>
  </si>
  <si>
    <t>茶成園面積</t>
    <rPh sb="0" eb="1">
      <t>チャ</t>
    </rPh>
    <rPh sb="1" eb="2">
      <t>シゲル</t>
    </rPh>
    <rPh sb="2" eb="3">
      <t>エン</t>
    </rPh>
    <rPh sb="3" eb="5">
      <t>メンセキ</t>
    </rPh>
    <phoneticPr fontId="8"/>
  </si>
  <si>
    <t>　うち小豆</t>
    <rPh sb="3" eb="5">
      <t>アズキ</t>
    </rPh>
    <phoneticPr fontId="8"/>
  </si>
  <si>
    <t>結果樹面積</t>
    <rPh sb="0" eb="2">
      <t>ケッカ</t>
    </rPh>
    <rPh sb="2" eb="3">
      <t>ジュ</t>
    </rPh>
    <rPh sb="3" eb="5">
      <t>メンセキ</t>
    </rPh>
    <phoneticPr fontId="8"/>
  </si>
  <si>
    <t>その他作物</t>
    <rPh sb="2" eb="3">
      <t>タ</t>
    </rPh>
    <rPh sb="3" eb="5">
      <t>サクモツ</t>
    </rPh>
    <phoneticPr fontId="8"/>
  </si>
  <si>
    <t>交雑種</t>
    <rPh sb="0" eb="2">
      <t>コウザツ</t>
    </rPh>
    <rPh sb="2" eb="3">
      <t>タネ</t>
    </rPh>
    <phoneticPr fontId="8"/>
  </si>
  <si>
    <t xml:space="preserve"> うち田</t>
    <rPh sb="3" eb="4">
      <t>タ</t>
    </rPh>
    <phoneticPr fontId="8"/>
  </si>
  <si>
    <t>経営主</t>
    <rPh sb="0" eb="2">
      <t>ケイエイ</t>
    </rPh>
    <rPh sb="2" eb="3">
      <t>シュ</t>
    </rPh>
    <phoneticPr fontId="8"/>
  </si>
  <si>
    <t>60日未満</t>
    <rPh sb="2" eb="3">
      <t>ニチ</t>
    </rPh>
    <rPh sb="3" eb="5">
      <t>ミマン</t>
    </rPh>
    <phoneticPr fontId="8"/>
  </si>
  <si>
    <t>６　製造原価報告書（農業）</t>
    <rPh sb="2" eb="4">
      <t>セイゾウ</t>
    </rPh>
    <rPh sb="4" eb="6">
      <t>ゲンカ</t>
    </rPh>
    <rPh sb="6" eb="9">
      <t>ホウコクショ</t>
    </rPh>
    <rPh sb="10" eb="12">
      <t>ノウギョウ</t>
    </rPh>
    <phoneticPr fontId="8"/>
  </si>
  <si>
    <t>７　販売費及び一般管理費（農業）</t>
    <rPh sb="2" eb="5">
      <t>ハンバイヒ</t>
    </rPh>
    <rPh sb="5" eb="6">
      <t>オヨ</t>
    </rPh>
    <rPh sb="7" eb="9">
      <t>イッパン</t>
    </rPh>
    <rPh sb="9" eb="12">
      <t>カンリヒ</t>
    </rPh>
    <rPh sb="13" eb="15">
      <t>ノウギョウ</t>
    </rPh>
    <phoneticPr fontId="8"/>
  </si>
  <si>
    <t>期首材料棚卸高</t>
    <rPh sb="0" eb="2">
      <t>キシュ</t>
    </rPh>
    <rPh sb="2" eb="4">
      <t>ザイリョウ</t>
    </rPh>
    <rPh sb="4" eb="6">
      <t>タナオロ</t>
    </rPh>
    <rPh sb="6" eb="7">
      <t>タカ</t>
    </rPh>
    <phoneticPr fontId="8"/>
  </si>
  <si>
    <t>荷造運賃・販売手数料</t>
    <rPh sb="0" eb="2">
      <t>ニヅク</t>
    </rPh>
    <rPh sb="2" eb="4">
      <t>ウンチン</t>
    </rPh>
    <rPh sb="5" eb="7">
      <t>ハンバイ</t>
    </rPh>
    <rPh sb="7" eb="10">
      <t>テスウリョウ</t>
    </rPh>
    <phoneticPr fontId="8"/>
  </si>
  <si>
    <t>うち市場手数料</t>
    <phoneticPr fontId="8"/>
  </si>
  <si>
    <t>交際費</t>
    <rPh sb="0" eb="3">
      <t>コウサイヒ</t>
    </rPh>
    <phoneticPr fontId="8"/>
  </si>
  <si>
    <t>車両費・修繕費</t>
    <rPh sb="0" eb="2">
      <t>シャリョウ</t>
    </rPh>
    <rPh sb="2" eb="3">
      <t>ヒ</t>
    </rPh>
    <rPh sb="4" eb="7">
      <t>シュウゼンヒ</t>
    </rPh>
    <phoneticPr fontId="8"/>
  </si>
  <si>
    <t>農薬費</t>
    <rPh sb="0" eb="2">
      <t>ノウヤク</t>
    </rPh>
    <rPh sb="2" eb="3">
      <t>ヒ</t>
    </rPh>
    <phoneticPr fontId="8"/>
  </si>
  <si>
    <t>うち燃料費</t>
    <rPh sb="2" eb="4">
      <t>ネンリョウ</t>
    </rPh>
    <rPh sb="4" eb="5">
      <t>ヒ</t>
    </rPh>
    <phoneticPr fontId="8"/>
  </si>
  <si>
    <t>敷料費</t>
    <rPh sb="0" eb="2">
      <t>シキリョウ</t>
    </rPh>
    <rPh sb="2" eb="3">
      <t>ヒ</t>
    </rPh>
    <phoneticPr fontId="8"/>
  </si>
  <si>
    <t>60日以上～150日未満</t>
    <rPh sb="2" eb="3">
      <t>ニチ</t>
    </rPh>
    <rPh sb="3" eb="5">
      <t>イジョウ</t>
    </rPh>
    <rPh sb="9" eb="10">
      <t>ニチ</t>
    </rPh>
    <rPh sb="10" eb="12">
      <t>ミマン</t>
    </rPh>
    <phoneticPr fontId="8"/>
  </si>
  <si>
    <t>燃油費</t>
    <rPh sb="0" eb="2">
      <t>ネンユ</t>
    </rPh>
    <rPh sb="2" eb="3">
      <t>ヒ</t>
    </rPh>
    <phoneticPr fontId="8"/>
  </si>
  <si>
    <t>地代家賃</t>
    <rPh sb="0" eb="2">
      <t>チダイ</t>
    </rPh>
    <rPh sb="2" eb="4">
      <t>ヤチン</t>
    </rPh>
    <phoneticPr fontId="8"/>
  </si>
  <si>
    <t>諸材料費</t>
    <rPh sb="0" eb="3">
      <t>ショザイリョウ</t>
    </rPh>
    <rPh sb="3" eb="4">
      <t>ヒ</t>
    </rPh>
    <phoneticPr fontId="8"/>
  </si>
  <si>
    <t>支払保険料</t>
    <rPh sb="0" eb="2">
      <t>シハラ</t>
    </rPh>
    <rPh sb="2" eb="5">
      <t>ホケンリョウ</t>
    </rPh>
    <phoneticPr fontId="8"/>
  </si>
  <si>
    <t>期末材料棚卸高</t>
    <rPh sb="0" eb="2">
      <t>キマツ</t>
    </rPh>
    <rPh sb="2" eb="4">
      <t>ザイリョウ</t>
    </rPh>
    <rPh sb="4" eb="6">
      <t>タナオロ</t>
    </rPh>
    <rPh sb="6" eb="7">
      <t>タカ</t>
    </rPh>
    <phoneticPr fontId="8"/>
  </si>
  <si>
    <t>租税公課・諸会費</t>
    <rPh sb="0" eb="2">
      <t>ソゼイ</t>
    </rPh>
    <rPh sb="2" eb="4">
      <t>コウカ</t>
    </rPh>
    <rPh sb="5" eb="8">
      <t>ショカイヒ</t>
    </rPh>
    <phoneticPr fontId="8"/>
  </si>
  <si>
    <t>労務費</t>
    <rPh sb="0" eb="3">
      <t>ロウムヒ</t>
    </rPh>
    <phoneticPr fontId="8"/>
  </si>
  <si>
    <t>貸倒引当金繰入額</t>
    <rPh sb="0" eb="2">
      <t>カシダオレ</t>
    </rPh>
    <rPh sb="2" eb="5">
      <t>ヒキアテキン</t>
    </rPh>
    <rPh sb="5" eb="8">
      <t>クリイレガク</t>
    </rPh>
    <phoneticPr fontId="8"/>
  </si>
  <si>
    <t>うち作業用衣料費</t>
    <phoneticPr fontId="8"/>
  </si>
  <si>
    <t>外注費</t>
    <rPh sb="0" eb="2">
      <t>ガイチュウ</t>
    </rPh>
    <rPh sb="2" eb="3">
      <t>ヒ</t>
    </rPh>
    <phoneticPr fontId="8"/>
  </si>
  <si>
    <t>作業委託費</t>
    <rPh sb="0" eb="2">
      <t>サギョウ</t>
    </rPh>
    <rPh sb="2" eb="5">
      <t>イタクヒ</t>
    </rPh>
    <phoneticPr fontId="8"/>
  </si>
  <si>
    <t>診療衛生費</t>
    <rPh sb="0" eb="2">
      <t>シンリョウ</t>
    </rPh>
    <rPh sb="2" eb="5">
      <t>エイセイヒ</t>
    </rPh>
    <phoneticPr fontId="8"/>
  </si>
  <si>
    <t>預託費</t>
    <rPh sb="0" eb="2">
      <t>ヨタク</t>
    </rPh>
    <rPh sb="2" eb="3">
      <t>ヒ</t>
    </rPh>
    <phoneticPr fontId="8"/>
  </si>
  <si>
    <t>ヘルパー利用費</t>
    <rPh sb="4" eb="6">
      <t>リヨウ</t>
    </rPh>
    <rPh sb="6" eb="7">
      <t>ヒ</t>
    </rPh>
    <phoneticPr fontId="8"/>
  </si>
  <si>
    <t>ほ場管理費</t>
    <rPh sb="1" eb="2">
      <t>ジョウ</t>
    </rPh>
    <rPh sb="2" eb="5">
      <t>カンリヒ</t>
    </rPh>
    <phoneticPr fontId="8"/>
  </si>
  <si>
    <t>製造経費</t>
    <rPh sb="0" eb="2">
      <t>セイゾウ</t>
    </rPh>
    <rPh sb="2" eb="4">
      <t>ケイヒ</t>
    </rPh>
    <phoneticPr fontId="8"/>
  </si>
  <si>
    <t>共済掛金</t>
    <rPh sb="0" eb="2">
      <t>キョウサイ</t>
    </rPh>
    <rPh sb="2" eb="3">
      <t>カ</t>
    </rPh>
    <rPh sb="3" eb="4">
      <t>キン</t>
    </rPh>
    <phoneticPr fontId="8"/>
  </si>
  <si>
    <t>賃借料・地代</t>
    <rPh sb="0" eb="3">
      <t>チンシャクリョウ</t>
    </rPh>
    <rPh sb="4" eb="6">
      <t>チダイ</t>
    </rPh>
    <phoneticPr fontId="8"/>
  </si>
  <si>
    <t>仕掛品棚卸高増減</t>
    <rPh sb="0" eb="3">
      <t>シカケヒン</t>
    </rPh>
    <rPh sb="3" eb="5">
      <t>タナオロ</t>
    </rPh>
    <rPh sb="5" eb="6">
      <t>ダカ</t>
    </rPh>
    <rPh sb="6" eb="8">
      <t>ゾウゲン</t>
    </rPh>
    <phoneticPr fontId="8"/>
  </si>
  <si>
    <t>育成費振替高</t>
    <rPh sb="0" eb="3">
      <t>イクセイヒ</t>
    </rPh>
    <rPh sb="3" eb="6">
      <t>フリカエダカ</t>
    </rPh>
    <phoneticPr fontId="8"/>
  </si>
  <si>
    <t>肥育牛
月平均
頭　数</t>
    <rPh sb="0" eb="3">
      <t>ヒイクギュウ</t>
    </rPh>
    <rPh sb="4" eb="5">
      <t>ツキ</t>
    </rPh>
    <rPh sb="5" eb="7">
      <t>ヘイキン</t>
    </rPh>
    <rPh sb="8" eb="9">
      <t>トウ</t>
    </rPh>
    <rPh sb="10" eb="11">
      <t>スウ</t>
    </rPh>
    <phoneticPr fontId="8"/>
  </si>
  <si>
    <t>月平均
頭　数</t>
    <rPh sb="0" eb="3">
      <t>ツキヘイキン</t>
    </rPh>
    <rPh sb="4" eb="5">
      <t>トウ</t>
    </rPh>
    <rPh sb="6" eb="7">
      <t>スウ</t>
    </rPh>
    <phoneticPr fontId="8"/>
  </si>
  <si>
    <t>区　　分</t>
    <rPh sb="0" eb="1">
      <t>ク</t>
    </rPh>
    <rPh sb="3" eb="4">
      <t>ブン</t>
    </rPh>
    <phoneticPr fontId="4"/>
  </si>
  <si>
    <t>受 託
面 積
(ａ,kg)</t>
    <rPh sb="0" eb="1">
      <t>ウケ</t>
    </rPh>
    <rPh sb="2" eb="3">
      <t>コトヅケ</t>
    </rPh>
    <rPh sb="4" eb="5">
      <t>メン</t>
    </rPh>
    <rPh sb="6" eb="7">
      <t>セキ</t>
    </rPh>
    <phoneticPr fontId="8"/>
  </si>
  <si>
    <t>主食用米計</t>
    <rPh sb="0" eb="1">
      <t>シュ</t>
    </rPh>
    <rPh sb="1" eb="4">
      <t>ショクヨウマイ</t>
    </rPh>
    <rPh sb="4" eb="5">
      <t>ケイ</t>
    </rPh>
    <phoneticPr fontId="8"/>
  </si>
  <si>
    <t>主食用米</t>
    <rPh sb="0" eb="1">
      <t>シュ</t>
    </rPh>
    <rPh sb="1" eb="4">
      <t>ショクヨウマイ</t>
    </rPh>
    <phoneticPr fontId="8"/>
  </si>
  <si>
    <t>大豆以外計</t>
    <rPh sb="0" eb="2">
      <t>ダイズ</t>
    </rPh>
    <rPh sb="2" eb="4">
      <t>イガイ</t>
    </rPh>
    <rPh sb="4" eb="5">
      <t>ケイ</t>
    </rPh>
    <phoneticPr fontId="8"/>
  </si>
  <si>
    <t>家事･事業消費等</t>
    <phoneticPr fontId="4"/>
  </si>
  <si>
    <t>１位作目</t>
    <rPh sb="1" eb="2">
      <t>イ</t>
    </rPh>
    <rPh sb="2" eb="4">
      <t>サクモク</t>
    </rPh>
    <phoneticPr fontId="4"/>
  </si>
  <si>
    <t>２位作目</t>
    <rPh sb="1" eb="2">
      <t>イ</t>
    </rPh>
    <rPh sb="2" eb="4">
      <t>サクモク</t>
    </rPh>
    <phoneticPr fontId="4"/>
  </si>
  <si>
    <t>有給役員
農業労働
１時間当たり</t>
    <rPh sb="0" eb="2">
      <t>ユウキュウ</t>
    </rPh>
    <rPh sb="2" eb="4">
      <t>ヤクイン</t>
    </rPh>
    <rPh sb="5" eb="7">
      <t>ノウギョウ</t>
    </rPh>
    <rPh sb="7" eb="9">
      <t>ロウドウ</t>
    </rPh>
    <rPh sb="11" eb="13">
      <t>ジカン</t>
    </rPh>
    <rPh sb="13" eb="14">
      <t>ア</t>
    </rPh>
    <phoneticPr fontId="8"/>
  </si>
  <si>
    <t>営農類型規模区分</t>
    <rPh sb="6" eb="8">
      <t>クブン</t>
    </rPh>
    <phoneticPr fontId="8"/>
  </si>
  <si>
    <t>１　通信欄</t>
    <rPh sb="2" eb="5">
      <t>ツウシンラン</t>
    </rPh>
    <phoneticPr fontId="8"/>
  </si>
  <si>
    <t>29体系経営体番号</t>
    <rPh sb="2" eb="4">
      <t>タイケイ</t>
    </rPh>
    <rPh sb="4" eb="7">
      <t>ケイエイタイ</t>
    </rPh>
    <rPh sb="7" eb="9">
      <t>バンゴウ</t>
    </rPh>
    <phoneticPr fontId="4"/>
  </si>
  <si>
    <t>営農類型規模</t>
    <phoneticPr fontId="8"/>
  </si>
  <si>
    <t>４　営農類型規模（ａ､㎡､頭､羽）</t>
    <rPh sb="13" eb="14">
      <t>トウ</t>
    </rPh>
    <rPh sb="15" eb="16">
      <t>ハ</t>
    </rPh>
    <phoneticPr fontId="8"/>
  </si>
  <si>
    <t>５　分析指標</t>
    <rPh sb="2" eb="4">
      <t>ブンセキ</t>
    </rPh>
    <rPh sb="4" eb="6">
      <t>シヒョウ</t>
    </rPh>
    <phoneticPr fontId="11"/>
  </si>
  <si>
    <t>６　貸借対照表（円）</t>
    <rPh sb="2" eb="4">
      <t>タイシャク</t>
    </rPh>
    <rPh sb="4" eb="7">
      <t>タイショウヒョウ</t>
    </rPh>
    <rPh sb="8" eb="9">
      <t>エン</t>
    </rPh>
    <phoneticPr fontId="8"/>
  </si>
  <si>
    <t>７　農業経営費（円）</t>
    <rPh sb="2" eb="4">
      <t>ノウギョウ</t>
    </rPh>
    <rPh sb="4" eb="7">
      <t>ケイエイヒ</t>
    </rPh>
    <rPh sb="8" eb="9">
      <t>エン</t>
    </rPh>
    <phoneticPr fontId="8"/>
  </si>
  <si>
    <t>10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8"/>
  </si>
  <si>
    <t>資　産　</t>
    <rPh sb="0" eb="1">
      <t>シ</t>
    </rPh>
    <rPh sb="2" eb="3">
      <t>サン</t>
    </rPh>
    <phoneticPr fontId="8"/>
  </si>
  <si>
    <t>負債・資本</t>
    <rPh sb="0" eb="2">
      <t>フサイ</t>
    </rPh>
    <rPh sb="3" eb="5">
      <t>シホン</t>
    </rPh>
    <phoneticPr fontId="8"/>
  </si>
  <si>
    <t>農業収入</t>
    <rPh sb="0" eb="2">
      <t>ノウギョウ</t>
    </rPh>
    <rPh sb="2" eb="4">
      <t>シュウニュウ</t>
    </rPh>
    <phoneticPr fontId="8"/>
  </si>
  <si>
    <t>農業生産関連事業収入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シュウニュウ</t>
    </rPh>
    <phoneticPr fontId="8"/>
  </si>
  <si>
    <t>農外事業収入</t>
    <rPh sb="0" eb="1">
      <t>ノウ</t>
    </rPh>
    <rPh sb="1" eb="2">
      <t>ガイ</t>
    </rPh>
    <rPh sb="2" eb="4">
      <t>ジギョウ</t>
    </rPh>
    <rPh sb="4" eb="6">
      <t>シュウニュウ</t>
    </rPh>
    <phoneticPr fontId="8"/>
  </si>
  <si>
    <t>売掛金</t>
    <rPh sb="0" eb="3">
      <t>ウリカケキン</t>
    </rPh>
    <phoneticPr fontId="8"/>
  </si>
  <si>
    <t>農業支出</t>
    <rPh sb="0" eb="2">
      <t>ノウギョウ</t>
    </rPh>
    <rPh sb="2" eb="4">
      <t>シシュツ</t>
    </rPh>
    <phoneticPr fontId="8"/>
  </si>
  <si>
    <t>農業生産関連事業支出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シシュツ</t>
    </rPh>
    <phoneticPr fontId="8"/>
  </si>
  <si>
    <t>農外事業支出</t>
    <rPh sb="0" eb="1">
      <t>ノウ</t>
    </rPh>
    <rPh sb="1" eb="2">
      <t>ガイ</t>
    </rPh>
    <rPh sb="2" eb="4">
      <t>ジギョウ</t>
    </rPh>
    <phoneticPr fontId="8"/>
  </si>
  <si>
    <t>農業</t>
    <rPh sb="0" eb="2">
      <t>ノウギョウ</t>
    </rPh>
    <phoneticPr fontId="8"/>
  </si>
  <si>
    <t>農業固定資産額計</t>
    <rPh sb="0" eb="2">
      <t>ノウギョウ</t>
    </rPh>
    <rPh sb="2" eb="4">
      <t>コテイ</t>
    </rPh>
    <rPh sb="4" eb="6">
      <t>シサン</t>
    </rPh>
    <rPh sb="6" eb="7">
      <t>ガク</t>
    </rPh>
    <rPh sb="7" eb="8">
      <t>ケイ</t>
    </rPh>
    <phoneticPr fontId="8"/>
  </si>
  <si>
    <t>農業生産関連事業</t>
    <rPh sb="0" eb="2">
      <t>ノウギョウ</t>
    </rPh>
    <rPh sb="2" eb="4">
      <t>セイサン</t>
    </rPh>
    <rPh sb="4" eb="6">
      <t>カンレン</t>
    </rPh>
    <rPh sb="6" eb="8">
      <t>ジギョウ</t>
    </rPh>
    <phoneticPr fontId="8"/>
  </si>
  <si>
    <t>農外事業</t>
    <rPh sb="0" eb="1">
      <t>ノウ</t>
    </rPh>
    <rPh sb="1" eb="2">
      <t>ガイ</t>
    </rPh>
    <rPh sb="2" eb="4">
      <t>ジギョウ</t>
    </rPh>
    <phoneticPr fontId="8"/>
  </si>
  <si>
    <t>果樹・牛馬等</t>
    <rPh sb="0" eb="2">
      <t>カジュ</t>
    </rPh>
    <rPh sb="3" eb="5">
      <t>ギュウバ</t>
    </rPh>
    <rPh sb="5" eb="6">
      <t>トウ</t>
    </rPh>
    <phoneticPr fontId="8"/>
  </si>
  <si>
    <t>８　経営耕地面積等（ａ）</t>
    <rPh sb="2" eb="4">
      <t>ケイエイ</t>
    </rPh>
    <rPh sb="4" eb="6">
      <t>コウチ</t>
    </rPh>
    <rPh sb="6" eb="8">
      <t>メンセキ</t>
    </rPh>
    <rPh sb="8" eb="9">
      <t>トウ</t>
    </rPh>
    <phoneticPr fontId="8"/>
  </si>
  <si>
    <t>農業生産関連事業の概要</t>
    <rPh sb="0" eb="2">
      <t>ノウギョウ</t>
    </rPh>
    <rPh sb="2" eb="4">
      <t>セイサン</t>
    </rPh>
    <rPh sb="4" eb="8">
      <t>カンレンジギョウ</t>
    </rPh>
    <rPh sb="9" eb="11">
      <t>ガイヨウ</t>
    </rPh>
    <phoneticPr fontId="8"/>
  </si>
  <si>
    <t>農業共済掛金</t>
    <rPh sb="0" eb="2">
      <t>ノウギョウ</t>
    </rPh>
    <rPh sb="2" eb="4">
      <t>キョウサイ</t>
    </rPh>
    <rPh sb="4" eb="6">
      <t>カケキン</t>
    </rPh>
    <phoneticPr fontId="8"/>
  </si>
  <si>
    <t>有給役員・家族農業労働
１時間当たり</t>
    <rPh sb="0" eb="2">
      <t>ユウキュウ</t>
    </rPh>
    <rPh sb="2" eb="4">
      <t>ヤクイン</t>
    </rPh>
    <rPh sb="5" eb="7">
      <t>カゾク</t>
    </rPh>
    <rPh sb="7" eb="9">
      <t>ノウギョウ</t>
    </rPh>
    <rPh sb="9" eb="11">
      <t>ロウドウ</t>
    </rPh>
    <rPh sb="13" eb="15">
      <t>ジカン</t>
    </rPh>
    <rPh sb="15" eb="16">
      <t>ア</t>
    </rPh>
    <phoneticPr fontId="8"/>
  </si>
  <si>
    <t>棚卸高(農産物以外)</t>
    <rPh sb="0" eb="2">
      <t>タナオロシ</t>
    </rPh>
    <rPh sb="2" eb="3">
      <t>ダカ</t>
    </rPh>
    <rPh sb="4" eb="7">
      <t>ノウサンブツ</t>
    </rPh>
    <rPh sb="7" eb="9">
      <t>イガイ</t>
    </rPh>
    <phoneticPr fontId="8"/>
  </si>
  <si>
    <t>11　主要固定資産の状況</t>
    <rPh sb="3" eb="5">
      <t>シュヨウ</t>
    </rPh>
    <rPh sb="5" eb="9">
      <t>コテイシサン</t>
    </rPh>
    <rPh sb="10" eb="12">
      <t>ジョウキョウ</t>
    </rPh>
    <phoneticPr fontId="11"/>
  </si>
  <si>
    <t>９　投資と資金（円）</t>
    <rPh sb="2" eb="4">
      <t>トウシ</t>
    </rPh>
    <rPh sb="5" eb="7">
      <t>シキン</t>
    </rPh>
    <rPh sb="8" eb="9">
      <t>エン</t>
    </rPh>
    <phoneticPr fontId="8"/>
  </si>
  <si>
    <t>４　営農類型規模（ａ､㎡､頭､羽）</t>
    <rPh sb="2" eb="4">
      <t>エイノウ</t>
    </rPh>
    <rPh sb="4" eb="6">
      <t>ルイケイ</t>
    </rPh>
    <rPh sb="6" eb="8">
      <t>キボ</t>
    </rPh>
    <rPh sb="13" eb="14">
      <t>トウ</t>
    </rPh>
    <rPh sb="15" eb="16">
      <t>ハ</t>
    </rPh>
    <phoneticPr fontId="8"/>
  </si>
  <si>
    <t>営農類型規模</t>
    <rPh sb="0" eb="2">
      <t>エイノウ</t>
    </rPh>
    <rPh sb="2" eb="4">
      <t>ルイケイ</t>
    </rPh>
    <rPh sb="4" eb="6">
      <t>キボ</t>
    </rPh>
    <phoneticPr fontId="8"/>
  </si>
  <si>
    <t>２　販売数量・販売金額</t>
    <rPh sb="2" eb="4">
      <t>ハンバイ</t>
    </rPh>
    <rPh sb="4" eb="6">
      <t>スウリョウ</t>
    </rPh>
    <rPh sb="7" eb="9">
      <t>ハンバイ</t>
    </rPh>
    <rPh sb="9" eb="11">
      <t>キンガク</t>
    </rPh>
    <phoneticPr fontId="8"/>
  </si>
  <si>
    <t>販売金額（円）</t>
    <rPh sb="0" eb="2">
      <t>ハンバイ</t>
    </rPh>
    <rPh sb="2" eb="3">
      <t>キン</t>
    </rPh>
    <rPh sb="3" eb="4">
      <t>ガク</t>
    </rPh>
    <rPh sb="5" eb="6">
      <t>エン</t>
    </rPh>
    <phoneticPr fontId="8"/>
  </si>
  <si>
    <t>合計</t>
    <rPh sb="0" eb="2">
      <t>ゴウケイ</t>
    </rPh>
    <phoneticPr fontId="8"/>
  </si>
  <si>
    <t>その他工芸計</t>
    <rPh sb="2" eb="3">
      <t>タ</t>
    </rPh>
    <rPh sb="3" eb="5">
      <t>コウゲイ</t>
    </rPh>
    <rPh sb="5" eb="6">
      <t>ケイ</t>
    </rPh>
    <phoneticPr fontId="8"/>
  </si>
  <si>
    <t>肥育牛</t>
    <rPh sb="0" eb="2">
      <t>ヒイク</t>
    </rPh>
    <rPh sb="2" eb="3">
      <t>ウシ</t>
    </rPh>
    <phoneticPr fontId="8"/>
  </si>
  <si>
    <t>肉専用＋交雑種</t>
    <rPh sb="0" eb="1">
      <t>ニク</t>
    </rPh>
    <rPh sb="1" eb="2">
      <t>アツム</t>
    </rPh>
    <rPh sb="2" eb="3">
      <t>ヨウ</t>
    </rPh>
    <rPh sb="4" eb="7">
      <t>コウザツシュ</t>
    </rPh>
    <phoneticPr fontId="8"/>
  </si>
  <si>
    <t>その他の麦</t>
    <rPh sb="2" eb="3">
      <t>タ</t>
    </rPh>
    <rPh sb="4" eb="5">
      <t>ムギ</t>
    </rPh>
    <phoneticPr fontId="8"/>
  </si>
  <si>
    <t>その他の雑穀</t>
    <rPh sb="2" eb="3">
      <t>タ</t>
    </rPh>
    <rPh sb="4" eb="6">
      <t>ザッコク</t>
    </rPh>
    <phoneticPr fontId="8"/>
  </si>
  <si>
    <t>その他麦計</t>
    <rPh sb="2" eb="3">
      <t>タ</t>
    </rPh>
    <rPh sb="3" eb="4">
      <t>ムギ</t>
    </rPh>
    <rPh sb="4" eb="5">
      <t>ケイ</t>
    </rPh>
    <phoneticPr fontId="8"/>
  </si>
  <si>
    <t>大豆以外の豆類</t>
    <rPh sb="0" eb="2">
      <t>ダイズ</t>
    </rPh>
    <rPh sb="2" eb="4">
      <t>イガイ</t>
    </rPh>
    <rPh sb="5" eb="7">
      <t>マメルイ</t>
    </rPh>
    <phoneticPr fontId="8"/>
  </si>
  <si>
    <t>　うち小豆</t>
    <rPh sb="3" eb="5">
      <t>ショウズ</t>
    </rPh>
    <phoneticPr fontId="8"/>
  </si>
  <si>
    <t>農作業受託収入</t>
    <rPh sb="0" eb="3">
      <t>ノウサギョウ</t>
    </rPh>
    <rPh sb="3" eb="5">
      <t>ジュタク</t>
    </rPh>
    <rPh sb="5" eb="7">
      <t>シュウニュウ</t>
    </rPh>
    <phoneticPr fontId="8"/>
  </si>
  <si>
    <t>その他の工芸農作物</t>
    <rPh sb="2" eb="3">
      <t>タ</t>
    </rPh>
    <rPh sb="4" eb="6">
      <t>コウゲイ</t>
    </rPh>
    <rPh sb="6" eb="9">
      <t>ノウサクモツ</t>
    </rPh>
    <phoneticPr fontId="8"/>
  </si>
  <si>
    <t>４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8"/>
  </si>
  <si>
    <t>消費者直接販売計</t>
    <rPh sb="0" eb="3">
      <t>ショウヒシャ</t>
    </rPh>
    <rPh sb="3" eb="5">
      <t>チョクセツ</t>
    </rPh>
    <rPh sb="5" eb="7">
      <t>ハンバイ</t>
    </rPh>
    <rPh sb="7" eb="8">
      <t>ケイ</t>
    </rPh>
    <phoneticPr fontId="8"/>
  </si>
  <si>
    <t>その他作物作付面積計</t>
    <rPh sb="2" eb="3">
      <t>タ</t>
    </rPh>
    <rPh sb="3" eb="5">
      <t>サクモツ</t>
    </rPh>
    <rPh sb="5" eb="7">
      <t>サクツケ</t>
    </rPh>
    <rPh sb="7" eb="9">
      <t>メンセキ</t>
    </rPh>
    <rPh sb="9" eb="10">
      <t>ケイ</t>
    </rPh>
    <phoneticPr fontId="8"/>
  </si>
  <si>
    <t>うち田</t>
    <rPh sb="2" eb="3">
      <t>タ</t>
    </rPh>
    <phoneticPr fontId="8"/>
  </si>
  <si>
    <t>肥育牛
月平均
頭　数</t>
    <rPh sb="0" eb="3">
      <t>ヒイクギュウ</t>
    </rPh>
    <rPh sb="4" eb="5">
      <t>ツキ</t>
    </rPh>
    <rPh sb="5" eb="7">
      <t>ヘイキン</t>
    </rPh>
    <rPh sb="8" eb="9">
      <t>アタマ</t>
    </rPh>
    <rPh sb="10" eb="11">
      <t>カズ</t>
    </rPh>
    <phoneticPr fontId="8"/>
  </si>
  <si>
    <t>肉専用＋交雑種</t>
    <rPh sb="0" eb="1">
      <t>ニク</t>
    </rPh>
    <rPh sb="1" eb="2">
      <t>アツム</t>
    </rPh>
    <rPh sb="2" eb="3">
      <t>ヨウ</t>
    </rPh>
    <rPh sb="4" eb="6">
      <t>コウザツ</t>
    </rPh>
    <rPh sb="6" eb="7">
      <t>シュ</t>
    </rPh>
    <phoneticPr fontId="8"/>
  </si>
  <si>
    <t>交雑種</t>
    <rPh sb="0" eb="2">
      <t>コウザツ</t>
    </rPh>
    <rPh sb="2" eb="3">
      <t>シュ</t>
    </rPh>
    <phoneticPr fontId="8"/>
  </si>
  <si>
    <t>い　も　類</t>
    <rPh sb="4" eb="5">
      <t>タグイ</t>
    </rPh>
    <phoneticPr fontId="8"/>
  </si>
  <si>
    <t>月平均
頭数</t>
    <rPh sb="0" eb="3">
      <t>ツキヘイキン</t>
    </rPh>
    <rPh sb="4" eb="6">
      <t>トウスウ</t>
    </rPh>
    <phoneticPr fontId="8"/>
  </si>
  <si>
    <t>その他の飼料作物</t>
    <rPh sb="2" eb="3">
      <t>タ</t>
    </rPh>
    <rPh sb="4" eb="6">
      <t>シリョウ</t>
    </rPh>
    <rPh sb="6" eb="8">
      <t>サクモツ</t>
    </rPh>
    <phoneticPr fontId="8"/>
  </si>
  <si>
    <t>ブロイラー販売羽数</t>
    <rPh sb="5" eb="7">
      <t>ハンバイ</t>
    </rPh>
    <rPh sb="7" eb="9">
      <t>ハスウ</t>
    </rPh>
    <phoneticPr fontId="8"/>
  </si>
  <si>
    <t>いも類計</t>
    <rPh sb="2" eb="3">
      <t>タグイ</t>
    </rPh>
    <rPh sb="3" eb="4">
      <t>ケイ</t>
    </rPh>
    <phoneticPr fontId="8"/>
  </si>
  <si>
    <t>３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8"/>
  </si>
  <si>
    <t>４　年齢別農業労働時間（時間）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8"/>
  </si>
  <si>
    <t>有給役員･家族</t>
    <rPh sb="0" eb="2">
      <t>ユウキュウ</t>
    </rPh>
    <rPh sb="2" eb="4">
      <t>ヤクイン</t>
    </rPh>
    <rPh sb="5" eb="7">
      <t>カゾク</t>
    </rPh>
    <phoneticPr fontId="8"/>
  </si>
  <si>
    <t>５　経営主の平均年齢、研修生の数</t>
    <rPh sb="2" eb="4">
      <t>ケイエイ</t>
    </rPh>
    <rPh sb="4" eb="5">
      <t>ヌシ</t>
    </rPh>
    <rPh sb="6" eb="8">
      <t>ヘイキン</t>
    </rPh>
    <rPh sb="8" eb="10">
      <t>ネンレイ</t>
    </rPh>
    <phoneticPr fontId="8"/>
  </si>
  <si>
    <t>人数</t>
    <rPh sb="0" eb="2">
      <t>ニンズウ</t>
    </rPh>
    <phoneticPr fontId="8"/>
  </si>
  <si>
    <t>月平均搾乳牛頭数</t>
    <rPh sb="0" eb="3">
      <t>ツキヘイキン</t>
    </rPh>
    <rPh sb="3" eb="4">
      <t>シボ</t>
    </rPh>
    <rPh sb="4" eb="6">
      <t>ニュウギュウ</t>
    </rPh>
    <rPh sb="6" eb="8">
      <t>トウスウ</t>
    </rPh>
    <phoneticPr fontId="8"/>
  </si>
  <si>
    <t>月平均搾乳牛頭数</t>
    <rPh sb="0" eb="3">
      <t>ツキヘイキン</t>
    </rPh>
    <rPh sb="6" eb="8">
      <t>トウスウ</t>
    </rPh>
    <phoneticPr fontId="8"/>
  </si>
  <si>
    <t>売上原価（円）</t>
    <rPh sb="0" eb="2">
      <t>ウリアゲ</t>
    </rPh>
    <rPh sb="2" eb="4">
      <t>ゲンカ</t>
    </rPh>
    <rPh sb="5" eb="6">
      <t>エン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</si>
</sst>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000"/>
    <numFmt numFmtId="177" formatCode="000000"/>
    <numFmt numFmtId="178" formatCode="#0"/>
    <numFmt numFmtId="179" formatCode="00"/>
    <numFmt numFmtId="180" formatCode="#,##0.00;\-#,##0.00;&quot;&quot;"/>
  </numFmts>
  <fonts count="3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12"/>
      <name val="ＭＳ 明朝"/>
      <family val="1"/>
      <charset val="128"/>
    </font>
    <font>
      <sz val="6"/>
      <name val="ＭＳ Ｐゴシック"/>
      <family val="3"/>
      <charset val="128"/>
    </font>
    <font>
      <sz val="8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color theme="1"/>
      <name val="ＭＳ 明朝"/>
      <family val="1"/>
      <charset val="128"/>
    </font>
    <font>
      <sz val="6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sz val="5"/>
      <name val="ＭＳ 明朝"/>
      <family val="1"/>
      <charset val="128"/>
    </font>
    <font>
      <b/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color theme="0" tint="-0.499984740745262"/>
      <name val="ＭＳ 明朝"/>
      <family val="1"/>
      <charset val="128"/>
    </font>
    <font>
      <sz val="5"/>
      <color theme="1"/>
      <name val="ＭＳ 明朝"/>
      <family val="1"/>
      <charset val="128"/>
    </font>
    <font>
      <sz val="10"/>
      <name val="ＭＳ 明朝"/>
      <family val="1"/>
      <charset val="128"/>
    </font>
    <font>
      <sz val="3"/>
      <name val="ＭＳ 明朝"/>
      <family val="1"/>
      <charset val="128"/>
    </font>
    <font>
      <sz val="4"/>
      <color theme="1"/>
      <name val="ＭＳ 明朝"/>
      <family val="1"/>
      <charset val="128"/>
    </font>
    <font>
      <b/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6"/>
      <name val="HGｺﾞｼｯｸE"/>
      <family val="3"/>
      <charset val="128"/>
    </font>
    <font>
      <sz val="10"/>
      <name val="HGｺﾞｼｯｸE"/>
      <family val="3"/>
      <charset val="128"/>
    </font>
    <font>
      <sz val="5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name val="ＭＳ 明朝"/>
      <family val="1"/>
      <charset val="128"/>
    </font>
    <font>
      <sz val="8"/>
      <color theme="1"/>
      <name val="ＭＳ 明朝"/>
      <family val="1"/>
      <charset val="128"/>
    </font>
    <font>
      <b/>
      <sz val="6"/>
      <color theme="1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D6D6D6"/>
        <bgColor indexed="64"/>
      </patternFill>
    </fill>
    <fill>
      <patternFill patternType="solid">
        <fgColor rgb="FFD9D9D9"/>
        <bgColor indexed="64"/>
      </patternFill>
    </fill>
  </fills>
  <borders count="346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indexed="64"/>
      </right>
      <top style="thin">
        <color auto="1"/>
      </top>
      <bottom style="dotted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hair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 diagonalDown="1">
      <left style="thin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/>
      <top style="hair">
        <color indexed="64"/>
      </top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1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 style="thin">
        <color indexed="64"/>
      </bottom>
      <diagonal/>
    </border>
    <border>
      <left/>
      <right/>
      <top style="hair">
        <color theme="1"/>
      </top>
      <bottom style="thin">
        <color indexed="64"/>
      </bottom>
      <diagonal/>
    </border>
    <border>
      <left/>
      <right style="medium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 style="thin">
        <color theme="1"/>
      </right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 style="medium">
        <color auto="1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thin">
        <color indexed="64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hair">
        <color indexed="64"/>
      </top>
      <bottom style="double">
        <color auto="1"/>
      </bottom>
      <diagonal/>
    </border>
    <border>
      <left/>
      <right style="medium">
        <color indexed="64"/>
      </right>
      <top style="hair">
        <color indexed="64"/>
      </top>
      <bottom style="double">
        <color auto="1"/>
      </bottom>
      <diagonal/>
    </border>
    <border>
      <left style="medium">
        <color auto="1"/>
      </left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theme="1"/>
      </left>
      <right/>
      <top style="hair">
        <color theme="1"/>
      </top>
      <bottom style="thin">
        <color indexed="64"/>
      </bottom>
      <diagonal/>
    </border>
    <border>
      <left style="thin">
        <color theme="1"/>
      </left>
      <right/>
      <top/>
      <bottom style="hair">
        <color theme="1"/>
      </bottom>
      <diagonal/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 diagonalDown="1">
      <left style="thin">
        <color theme="1"/>
      </left>
      <right/>
      <top style="hair">
        <color theme="1"/>
      </top>
      <bottom style="hair">
        <color theme="1"/>
      </bottom>
      <diagonal style="hair">
        <color theme="1"/>
      </diagonal>
    </border>
    <border>
      <left style="thin">
        <color auto="1"/>
      </left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hair">
        <color theme="1"/>
      </top>
      <bottom style="thin">
        <color theme="1"/>
      </bottom>
      <diagonal/>
    </border>
    <border diagonalDown="1">
      <left style="thin">
        <color theme="1"/>
      </left>
      <right/>
      <top style="hair">
        <color theme="1"/>
      </top>
      <bottom style="thin">
        <color theme="1"/>
      </bottom>
      <diagonal style="hair">
        <color theme="1"/>
      </diagonal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/>
      <right/>
      <top style="hair">
        <color theme="1"/>
      </top>
      <bottom style="thin">
        <color theme="1"/>
      </bottom>
      <diagonal/>
    </border>
    <border>
      <left/>
      <right style="medium">
        <color indexed="64"/>
      </right>
      <top style="hair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hair">
        <color theme="1"/>
      </bottom>
      <diagonal/>
    </border>
    <border>
      <left/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/>
      <top style="hair">
        <color theme="1"/>
      </top>
      <bottom style="medium">
        <color indexed="64"/>
      </bottom>
      <diagonal/>
    </border>
    <border>
      <left/>
      <right/>
      <top style="hair">
        <color theme="1"/>
      </top>
      <bottom style="medium">
        <color indexed="64"/>
      </bottom>
      <diagonal/>
    </border>
    <border>
      <left/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theme="1"/>
      </right>
      <top style="thin">
        <color auto="1"/>
      </top>
      <bottom/>
      <diagonal/>
    </border>
    <border>
      <left style="hair">
        <color theme="1"/>
      </left>
      <right/>
      <top style="thin">
        <color auto="1"/>
      </top>
      <bottom style="hair">
        <color theme="1"/>
      </bottom>
      <diagonal/>
    </border>
    <border>
      <left/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theme="1"/>
      </bottom>
      <diagonal/>
    </border>
    <border>
      <left/>
      <right style="medium">
        <color indexed="64"/>
      </right>
      <top style="thin">
        <color auto="1"/>
      </top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thin">
        <color indexed="64"/>
      </left>
      <right style="thin">
        <color indexed="64"/>
      </right>
      <top style="hair">
        <color theme="1"/>
      </top>
      <bottom style="hair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theme="1"/>
      </right>
      <top/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indexed="64"/>
      </right>
      <top style="hair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thin">
        <color auto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hair">
        <color indexed="64"/>
      </top>
      <bottom style="thin">
        <color indexed="64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 diagonalDown="1">
      <left/>
      <right/>
      <top/>
      <bottom/>
      <diagonal style="hair">
        <color auto="1"/>
      </diagonal>
    </border>
    <border diagonalDown="1">
      <left/>
      <right style="thin">
        <color indexed="64"/>
      </right>
      <top/>
      <bottom/>
      <diagonal style="hair">
        <color auto="1"/>
      </diagonal>
    </border>
    <border>
      <left style="thin">
        <color indexed="64"/>
      </left>
      <right/>
      <top style="hair">
        <color theme="1"/>
      </top>
      <bottom style="hair">
        <color indexed="64"/>
      </bottom>
      <diagonal/>
    </border>
    <border>
      <left/>
      <right/>
      <top style="hair">
        <color theme="1"/>
      </top>
      <bottom style="hair">
        <color indexed="64"/>
      </bottom>
      <diagonal/>
    </border>
    <border>
      <left/>
      <right style="medium">
        <color indexed="64"/>
      </right>
      <top style="hair">
        <color theme="1"/>
      </top>
      <bottom style="hair">
        <color indexed="64"/>
      </bottom>
      <diagonal/>
    </border>
    <border diagonalDown="1">
      <left style="thin">
        <color auto="1"/>
      </left>
      <right/>
      <top/>
      <bottom style="thin">
        <color indexed="64"/>
      </bottom>
      <diagonal style="hair">
        <color auto="1"/>
      </diagonal>
    </border>
    <border diagonalDown="1">
      <left/>
      <right/>
      <top/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thin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 style="thin">
        <color indexed="64"/>
      </right>
      <top style="hair">
        <color indexed="64"/>
      </top>
      <bottom style="medium">
        <color auto="1"/>
      </bottom>
      <diagonal style="hair">
        <color indexed="64"/>
      </diagonal>
    </border>
    <border>
      <left style="hair">
        <color theme="1"/>
      </left>
      <right style="hair">
        <color theme="1"/>
      </right>
      <top/>
      <bottom style="medium">
        <color auto="1"/>
      </bottom>
      <diagonal/>
    </border>
    <border>
      <left style="hair">
        <color theme="1"/>
      </left>
      <right/>
      <top style="hair">
        <color theme="1"/>
      </top>
      <bottom style="medium">
        <color auto="1"/>
      </bottom>
      <diagonal/>
    </border>
    <border>
      <left style="thin">
        <color indexed="64"/>
      </left>
      <right/>
      <top/>
      <bottom style="hair">
        <color theme="1"/>
      </bottom>
      <diagonal/>
    </border>
    <border>
      <left/>
      <right style="thin">
        <color theme="1"/>
      </right>
      <top/>
      <bottom style="hair">
        <color theme="1"/>
      </bottom>
      <diagonal/>
    </border>
    <border diagonalDown="1">
      <left style="thin">
        <color auto="1"/>
      </left>
      <right/>
      <top style="thin">
        <color indexed="64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medium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hair">
        <color indexed="64"/>
      </right>
      <top/>
      <bottom style="medium">
        <color indexed="64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theme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thin">
        <color theme="1"/>
      </bottom>
      <diagonal/>
    </border>
    <border>
      <left/>
      <right/>
      <top style="thin">
        <color theme="1"/>
      </top>
      <bottom style="hair">
        <color theme="1"/>
      </bottom>
      <diagonal/>
    </border>
    <border>
      <left/>
      <right style="thin">
        <color indexed="64"/>
      </right>
      <top style="thin">
        <color theme="1"/>
      </top>
      <bottom style="hair">
        <color theme="1"/>
      </bottom>
      <diagonal/>
    </border>
    <border>
      <left/>
      <right style="medium">
        <color auto="1"/>
      </right>
      <top style="thin">
        <color theme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theme="1"/>
      </bottom>
      <diagonal/>
    </border>
    <border>
      <left/>
      <right/>
      <top style="hair">
        <color auto="1"/>
      </top>
      <bottom style="hair">
        <color theme="1"/>
      </bottom>
      <diagonal/>
    </border>
    <border>
      <left/>
      <right style="thin">
        <color auto="1"/>
      </right>
      <top style="hair">
        <color auto="1"/>
      </top>
      <bottom style="hair">
        <color theme="1"/>
      </bottom>
      <diagonal/>
    </border>
    <border>
      <left/>
      <right style="medium">
        <color auto="1"/>
      </right>
      <top style="hair">
        <color auto="1"/>
      </top>
      <bottom style="hair">
        <color theme="1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auto="1"/>
      </top>
      <bottom style="hair">
        <color indexed="64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 style="medium">
        <color indexed="64"/>
      </right>
      <top style="hair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theme="1"/>
      </left>
      <right/>
      <top/>
      <bottom style="thin">
        <color auto="1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 style="thin">
        <color auto="1"/>
      </top>
      <bottom/>
      <diagonal/>
    </border>
    <border>
      <left/>
      <right style="medium">
        <color theme="1"/>
      </right>
      <top style="thin">
        <color auto="1"/>
      </top>
      <bottom style="hair">
        <color auto="1"/>
      </bottom>
      <diagonal/>
    </border>
    <border>
      <left style="medium">
        <color theme="1"/>
      </left>
      <right style="hair">
        <color auto="1"/>
      </right>
      <top/>
      <bottom/>
      <diagonal/>
    </border>
    <border>
      <left/>
      <right style="medium">
        <color theme="1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hair">
        <color auto="1"/>
      </right>
      <top/>
      <bottom style="thin">
        <color auto="1"/>
      </bottom>
      <diagonal/>
    </border>
    <border>
      <left/>
      <right style="medium">
        <color theme="1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medium">
        <color theme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1"/>
      </right>
      <top style="thin">
        <color indexed="64"/>
      </top>
      <bottom style="thin">
        <color auto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 style="medium">
        <color auto="1"/>
      </bottom>
      <diagonal/>
    </border>
    <border>
      <left/>
      <right style="medium">
        <color theme="1"/>
      </right>
      <top style="hair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hair">
        <color theme="1"/>
      </right>
      <top style="thin">
        <color auto="1"/>
      </top>
      <bottom/>
      <diagonal/>
    </border>
    <border>
      <left style="medium">
        <color theme="1"/>
      </left>
      <right style="hair">
        <color theme="1"/>
      </right>
      <top/>
      <bottom/>
      <diagonal/>
    </border>
    <border>
      <left/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hair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/>
      <bottom style="medium">
        <color indexed="64"/>
      </bottom>
      <diagonal/>
    </border>
    <border>
      <left style="medium">
        <color theme="1"/>
      </left>
      <right/>
      <top style="thin">
        <color auto="1"/>
      </top>
      <bottom style="hair">
        <color auto="1"/>
      </bottom>
      <diagonal/>
    </border>
    <border>
      <left style="medium">
        <color theme="1"/>
      </left>
      <right/>
      <top style="hair">
        <color indexed="64"/>
      </top>
      <bottom style="hair">
        <color indexed="64"/>
      </bottom>
      <diagonal/>
    </border>
    <border>
      <left style="medium">
        <color theme="1"/>
      </left>
      <right/>
      <top style="hair">
        <color indexed="64"/>
      </top>
      <bottom style="medium">
        <color theme="1"/>
      </bottom>
      <diagonal/>
    </border>
    <border>
      <left/>
      <right/>
      <top style="hair">
        <color indexed="64"/>
      </top>
      <bottom style="medium">
        <color theme="1"/>
      </bottom>
      <diagonal/>
    </border>
    <border>
      <left/>
      <right style="thin">
        <color indexed="64"/>
      </right>
      <top style="hair">
        <color indexed="64"/>
      </top>
      <bottom style="medium">
        <color theme="1"/>
      </bottom>
      <diagonal/>
    </border>
    <border>
      <left style="thin">
        <color indexed="64"/>
      </left>
      <right/>
      <top style="hair">
        <color indexed="64"/>
      </top>
      <bottom style="medium">
        <color theme="1"/>
      </bottom>
      <diagonal/>
    </border>
    <border>
      <left/>
      <right style="medium">
        <color theme="1"/>
      </right>
      <top style="hair">
        <color indexed="64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auto="1"/>
      </bottom>
      <diagonal/>
    </border>
    <border diagonalDown="1">
      <left style="thin">
        <color theme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/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/>
      <bottom style="hair">
        <color auto="1"/>
      </bottom>
      <diagonal style="hair">
        <color auto="1"/>
      </diagonal>
    </border>
    <border>
      <left style="thin">
        <color theme="1"/>
      </left>
      <right/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thin">
        <color indexed="64"/>
      </bottom>
      <diagonal style="hair">
        <color auto="1"/>
      </diagonal>
    </border>
    <border>
      <left style="thin">
        <color theme="1"/>
      </left>
      <right/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auto="1"/>
      </bottom>
      <diagonal/>
    </border>
    <border diagonalDown="1">
      <left style="thin">
        <color theme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 diagonalDown="1">
      <left style="thin">
        <color theme="1"/>
      </left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medium">
        <color theme="1"/>
      </bottom>
      <diagonal style="hair">
        <color indexed="64"/>
      </diagonal>
    </border>
    <border>
      <left style="thin">
        <color theme="1"/>
      </left>
      <right/>
      <top style="hair">
        <color auto="1"/>
      </top>
      <bottom style="medium">
        <color theme="1"/>
      </bottom>
      <diagonal/>
    </border>
    <border>
      <left/>
      <right style="medium">
        <color indexed="64"/>
      </right>
      <top style="hair">
        <color auto="1"/>
      </top>
      <bottom style="medium">
        <color theme="1"/>
      </bottom>
      <diagonal/>
    </border>
    <border diagonalDown="1">
      <left style="thin">
        <color theme="1"/>
      </left>
      <right/>
      <top style="hair">
        <color indexed="64"/>
      </top>
      <bottom/>
      <diagonal style="hair">
        <color auto="1"/>
      </diagonal>
    </border>
    <border diagonalDown="1">
      <left/>
      <right/>
      <top style="hair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/>
      <diagonal style="hair">
        <color auto="1"/>
      </diagonal>
    </border>
    <border diagonalDown="1">
      <left style="thin">
        <color theme="1"/>
      </left>
      <right/>
      <top style="thin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thin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medium">
        <color theme="1"/>
      </bottom>
      <diagonal style="hair">
        <color auto="1"/>
      </diagonal>
    </border>
    <border>
      <left style="thin">
        <color theme="1"/>
      </left>
      <right/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hair">
        <color auto="1"/>
      </left>
      <right/>
      <top/>
      <bottom style="medium">
        <color theme="1"/>
      </bottom>
      <diagonal/>
    </border>
    <border>
      <left/>
      <right style="hair">
        <color auto="1"/>
      </right>
      <top/>
      <bottom style="medium">
        <color theme="1"/>
      </bottom>
      <diagonal/>
    </border>
    <border>
      <left style="hair">
        <color auto="1"/>
      </left>
      <right/>
      <top style="hair">
        <color auto="1"/>
      </top>
      <bottom style="medium">
        <color theme="1"/>
      </bottom>
      <diagonal/>
    </border>
    <border>
      <left/>
      <right style="hair">
        <color auto="1"/>
      </right>
      <top style="hair">
        <color auto="1"/>
      </top>
      <bottom style="medium">
        <color theme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theme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1" fillId="0" borderId="0"/>
    <xf numFmtId="0" fontId="6" fillId="0" borderId="0"/>
    <xf numFmtId="38" fontId="6" fillId="0" borderId="0" applyFont="0" applyFill="0" applyBorder="0" applyAlignment="0" applyProtection="0">
      <alignment vertical="center"/>
    </xf>
    <xf numFmtId="0" fontId="27" fillId="0" borderId="0">
      <alignment vertical="center"/>
    </xf>
  </cellStyleXfs>
  <cellXfs count="1700">
    <xf numFmtId="0" fontId="0" fillId="0" borderId="0" xfId="0"/>
    <xf numFmtId="0" fontId="9" fillId="0" borderId="0" xfId="3" applyFont="1" applyAlignment="1">
      <alignment vertical="center"/>
    </xf>
    <xf numFmtId="0" fontId="16" fillId="0" borderId="0" xfId="3" applyFont="1" applyAlignment="1">
      <alignment vertical="center"/>
    </xf>
    <xf numFmtId="0" fontId="2" fillId="0" borderId="0" xfId="3" applyFont="1" applyAlignment="1">
      <alignment vertical="center"/>
    </xf>
    <xf numFmtId="0" fontId="11" fillId="0" borderId="42" xfId="3" applyFont="1" applyBorder="1" applyAlignment="1">
      <alignment vertical="center"/>
    </xf>
    <xf numFmtId="0" fontId="22" fillId="0" borderId="0" xfId="3" applyFont="1" applyAlignment="1">
      <alignment vertical="center"/>
    </xf>
    <xf numFmtId="176" fontId="24" fillId="0" borderId="0" xfId="3" applyNumberFormat="1" applyFont="1" applyAlignment="1">
      <alignment horizontal="center" vertical="center"/>
    </xf>
    <xf numFmtId="0" fontId="18" fillId="0" borderId="0" xfId="3" applyFont="1" applyAlignment="1">
      <alignment vertical="center" shrinkToFit="1"/>
    </xf>
    <xf numFmtId="0" fontId="2" fillId="0" borderId="51" xfId="3" applyFont="1" applyBorder="1" applyAlignment="1">
      <alignment horizontal="left" vertical="center"/>
    </xf>
    <xf numFmtId="0" fontId="9" fillId="0" borderId="81" xfId="3" applyFont="1" applyBorder="1" applyAlignment="1">
      <alignment vertical="center"/>
    </xf>
    <xf numFmtId="0" fontId="9" fillId="0" borderId="51" xfId="3" applyFont="1" applyBorder="1" applyAlignment="1">
      <alignment vertical="center"/>
    </xf>
    <xf numFmtId="0" fontId="2" fillId="0" borderId="55" xfId="3" applyFont="1" applyBorder="1" applyAlignment="1">
      <alignment horizontal="left" vertical="center"/>
    </xf>
    <xf numFmtId="0" fontId="2" fillId="0" borderId="72" xfId="3" applyFont="1" applyBorder="1" applyAlignment="1">
      <alignment horizontal="left" vertical="center"/>
    </xf>
    <xf numFmtId="0" fontId="11" fillId="0" borderId="0" xfId="3" applyFont="1" applyAlignment="1">
      <alignment vertical="center"/>
    </xf>
    <xf numFmtId="0" fontId="9" fillId="0" borderId="69" xfId="3" applyFont="1" applyBorder="1" applyAlignment="1">
      <alignment vertical="center"/>
    </xf>
    <xf numFmtId="0" fontId="9" fillId="0" borderId="17" xfId="3" applyFont="1" applyBorder="1" applyAlignment="1">
      <alignment vertical="center" textRotation="255"/>
    </xf>
    <xf numFmtId="0" fontId="15" fillId="0" borderId="42" xfId="3" applyFont="1" applyBorder="1" applyAlignment="1">
      <alignment vertical="center"/>
    </xf>
    <xf numFmtId="0" fontId="9" fillId="0" borderId="42" xfId="3" applyFont="1" applyBorder="1" applyAlignment="1">
      <alignment vertical="center"/>
    </xf>
    <xf numFmtId="0" fontId="9" fillId="0" borderId="54" xfId="3" applyFont="1" applyBorder="1" applyAlignment="1">
      <alignment vertical="center"/>
    </xf>
    <xf numFmtId="0" fontId="2" fillId="0" borderId="84" xfId="3" applyFont="1" applyBorder="1" applyAlignment="1">
      <alignment horizontal="center" vertical="center"/>
    </xf>
    <xf numFmtId="0" fontId="2" fillId="0" borderId="32" xfId="3" applyFont="1" applyBorder="1" applyAlignment="1">
      <alignment horizontal="center" vertical="center"/>
    </xf>
    <xf numFmtId="0" fontId="2" fillId="0" borderId="51" xfId="3" applyFont="1" applyBorder="1" applyAlignment="1">
      <alignment horizontal="center" vertical="center" shrinkToFit="1"/>
    </xf>
    <xf numFmtId="0" fontId="2" fillId="0" borderId="81" xfId="3" applyFont="1" applyBorder="1" applyAlignment="1">
      <alignment horizontal="center" vertical="center" shrinkToFit="1"/>
    </xf>
    <xf numFmtId="0" fontId="2" fillId="0" borderId="49" xfId="3" applyFont="1" applyBorder="1" applyAlignment="1">
      <alignment horizontal="center" vertical="center" shrinkToFit="1"/>
    </xf>
    <xf numFmtId="0" fontId="2" fillId="0" borderId="38" xfId="3" applyFont="1" applyBorder="1" applyAlignment="1">
      <alignment horizontal="center" vertical="center" shrinkToFit="1"/>
    </xf>
    <xf numFmtId="0" fontId="2" fillId="0" borderId="0" xfId="3" applyFont="1" applyAlignment="1">
      <alignment vertical="center" wrapText="1"/>
    </xf>
    <xf numFmtId="0" fontId="2" fillId="0" borderId="43" xfId="3" applyFont="1" applyBorder="1" applyAlignment="1">
      <alignment horizontal="center" vertical="center"/>
    </xf>
    <xf numFmtId="0" fontId="9" fillId="0" borderId="129" xfId="3" applyFont="1" applyBorder="1" applyAlignment="1">
      <alignment vertical="center" textRotation="255"/>
    </xf>
    <xf numFmtId="0" fontId="9" fillId="0" borderId="9" xfId="3" applyFont="1" applyBorder="1" applyAlignment="1">
      <alignment vertical="center"/>
    </xf>
    <xf numFmtId="0" fontId="9" fillId="0" borderId="4" xfId="3" applyFont="1" applyBorder="1" applyAlignment="1">
      <alignment vertical="center"/>
    </xf>
    <xf numFmtId="0" fontId="9" fillId="0" borderId="18" xfId="3" applyFont="1" applyBorder="1" applyAlignment="1">
      <alignment vertical="center"/>
    </xf>
    <xf numFmtId="0" fontId="11" fillId="0" borderId="19" xfId="3" applyFont="1" applyBorder="1" applyAlignment="1">
      <alignment vertical="center"/>
    </xf>
    <xf numFmtId="0" fontId="2" fillId="0" borderId="20" xfId="3" applyFont="1" applyBorder="1" applyAlignment="1">
      <alignment horizontal="left" vertical="center"/>
    </xf>
    <xf numFmtId="0" fontId="2" fillId="0" borderId="20" xfId="3" applyFont="1" applyBorder="1" applyAlignment="1">
      <alignment horizontal="distributed" vertical="center"/>
    </xf>
    <xf numFmtId="0" fontId="2" fillId="0" borderId="20" xfId="3" applyFont="1" applyBorder="1" applyAlignment="1">
      <alignment vertical="center"/>
    </xf>
    <xf numFmtId="0" fontId="2" fillId="0" borderId="21" xfId="3" applyFont="1" applyBorder="1" applyAlignment="1">
      <alignment horizontal="center" vertical="center"/>
    </xf>
    <xf numFmtId="0" fontId="2" fillId="0" borderId="53" xfId="3" applyFont="1" applyBorder="1" applyAlignment="1">
      <alignment horizontal="left" vertical="center"/>
    </xf>
    <xf numFmtId="176" fontId="23" fillId="0" borderId="20" xfId="3" applyNumberFormat="1" applyFont="1" applyBorder="1" applyAlignment="1">
      <alignment horizontal="center" vertical="center"/>
    </xf>
    <xf numFmtId="0" fontId="2" fillId="0" borderId="12" xfId="3" applyFont="1" applyBorder="1" applyAlignment="1">
      <alignment vertical="center"/>
    </xf>
    <xf numFmtId="0" fontId="2" fillId="0" borderId="17" xfId="3" applyFont="1" applyBorder="1" applyAlignment="1">
      <alignment horizontal="left" vertical="center"/>
    </xf>
    <xf numFmtId="0" fontId="2" fillId="0" borderId="66" xfId="3" applyFont="1" applyBorder="1" applyAlignment="1">
      <alignment vertical="center"/>
    </xf>
    <xf numFmtId="0" fontId="2" fillId="0" borderId="22" xfId="3" applyFont="1" applyBorder="1" applyAlignment="1">
      <alignment vertical="center"/>
    </xf>
    <xf numFmtId="0" fontId="2" fillId="0" borderId="36" xfId="3" applyFont="1" applyBorder="1" applyAlignment="1">
      <alignment vertical="center"/>
    </xf>
    <xf numFmtId="0" fontId="2" fillId="0" borderId="129" xfId="3" applyFont="1" applyBorder="1" applyAlignment="1">
      <alignment horizontal="left" vertical="center"/>
    </xf>
    <xf numFmtId="0" fontId="2" fillId="0" borderId="130" xfId="3" applyFont="1" applyBorder="1" applyAlignment="1">
      <alignment vertical="center"/>
    </xf>
    <xf numFmtId="0" fontId="2" fillId="0" borderId="130" xfId="3" applyFont="1" applyBorder="1" applyAlignment="1">
      <alignment horizontal="center" vertical="center"/>
    </xf>
    <xf numFmtId="0" fontId="3" fillId="0" borderId="0" xfId="3" applyFont="1" applyAlignment="1">
      <alignment vertical="center"/>
    </xf>
    <xf numFmtId="0" fontId="18" fillId="0" borderId="0" xfId="3" applyFont="1" applyAlignment="1">
      <alignment vertical="center"/>
    </xf>
    <xf numFmtId="0" fontId="2" fillId="0" borderId="42" xfId="3" applyFont="1" applyBorder="1" applyAlignment="1">
      <alignment horizontal="left" vertical="center"/>
    </xf>
    <xf numFmtId="0" fontId="2" fillId="0" borderId="42" xfId="3" applyFont="1" applyBorder="1" applyAlignment="1">
      <alignment vertical="center"/>
    </xf>
    <xf numFmtId="49" fontId="2" fillId="0" borderId="8" xfId="3" applyNumberFormat="1" applyFont="1" applyBorder="1" applyAlignment="1">
      <alignment horizontal="center" vertical="center" shrinkToFit="1"/>
    </xf>
    <xf numFmtId="0" fontId="2" fillId="0" borderId="17" xfId="3" applyFont="1" applyBorder="1" applyAlignment="1">
      <alignment vertical="distributed"/>
    </xf>
    <xf numFmtId="49" fontId="2" fillId="0" borderId="26" xfId="3" applyNumberFormat="1" applyFont="1" applyBorder="1" applyAlignment="1">
      <alignment horizontal="center" vertical="center" shrinkToFit="1"/>
    </xf>
    <xf numFmtId="0" fontId="2" fillId="0" borderId="17" xfId="3" applyFont="1" applyBorder="1" applyAlignment="1">
      <alignment vertical="center"/>
    </xf>
    <xf numFmtId="0" fontId="2" fillId="0" borderId="14" xfId="3" applyFont="1" applyBorder="1" applyAlignment="1">
      <alignment horizontal="distributed" vertical="center"/>
    </xf>
    <xf numFmtId="0" fontId="2" fillId="0" borderId="102" xfId="3" applyFont="1" applyBorder="1" applyAlignment="1">
      <alignment vertical="center"/>
    </xf>
    <xf numFmtId="0" fontId="2" fillId="0" borderId="14" xfId="3" applyFont="1" applyBorder="1" applyAlignment="1">
      <alignment vertical="center"/>
    </xf>
    <xf numFmtId="0" fontId="2" fillId="0" borderId="81" xfId="3" applyFont="1" applyBorder="1" applyAlignment="1">
      <alignment vertical="center"/>
    </xf>
    <xf numFmtId="0" fontId="2" fillId="0" borderId="51" xfId="3" applyFont="1" applyBorder="1" applyAlignment="1">
      <alignment vertical="center"/>
    </xf>
    <xf numFmtId="0" fontId="2" fillId="0" borderId="67" xfId="3" applyFont="1" applyBorder="1" applyAlignment="1">
      <alignment vertical="distributed"/>
    </xf>
    <xf numFmtId="49" fontId="2" fillId="0" borderId="30" xfId="3" applyNumberFormat="1" applyFont="1" applyBorder="1" applyAlignment="1">
      <alignment horizontal="center" vertical="center" shrinkToFit="1"/>
    </xf>
    <xf numFmtId="0" fontId="2" fillId="0" borderId="107" xfId="3" applyFont="1" applyBorder="1" applyAlignment="1">
      <alignment vertical="center"/>
    </xf>
    <xf numFmtId="0" fontId="2" fillId="0" borderId="102" xfId="3" applyFont="1" applyBorder="1" applyAlignment="1">
      <alignment horizontal="distributed" vertical="center"/>
    </xf>
    <xf numFmtId="49" fontId="2" fillId="0" borderId="23" xfId="3" applyNumberFormat="1" applyFont="1" applyBorder="1" applyAlignment="1">
      <alignment horizontal="center" vertical="center" shrinkToFit="1"/>
    </xf>
    <xf numFmtId="0" fontId="2" fillId="0" borderId="114" xfId="3" applyFont="1" applyBorder="1" applyAlignment="1">
      <alignment horizontal="distributed" vertical="center"/>
    </xf>
    <xf numFmtId="0" fontId="2" fillId="0" borderId="115" xfId="3" applyFont="1" applyBorder="1" applyAlignment="1">
      <alignment horizontal="distributed" vertical="center"/>
    </xf>
    <xf numFmtId="0" fontId="2" fillId="0" borderId="121" xfId="3" applyFont="1" applyBorder="1" applyAlignment="1">
      <alignment vertical="center" textRotation="255" shrinkToFit="1"/>
    </xf>
    <xf numFmtId="0" fontId="2" fillId="0" borderId="122" xfId="3" applyFont="1" applyBorder="1" applyAlignment="1">
      <alignment vertical="center"/>
    </xf>
    <xf numFmtId="49" fontId="2" fillId="0" borderId="70" xfId="3" applyNumberFormat="1" applyFont="1" applyBorder="1" applyAlignment="1">
      <alignment horizontal="distributed" vertical="center"/>
    </xf>
    <xf numFmtId="0" fontId="5" fillId="0" borderId="121" xfId="3" applyFont="1" applyBorder="1" applyAlignment="1">
      <alignment vertical="center" textRotation="255" shrinkToFit="1"/>
    </xf>
    <xf numFmtId="0" fontId="5" fillId="0" borderId="0" xfId="3" applyFont="1" applyAlignment="1">
      <alignment vertical="center"/>
    </xf>
    <xf numFmtId="0" fontId="5" fillId="0" borderId="124" xfId="3" applyFont="1" applyBorder="1" applyAlignment="1">
      <alignment vertical="center" shrinkToFit="1"/>
    </xf>
    <xf numFmtId="49" fontId="2" fillId="0" borderId="125" xfId="3" applyNumberFormat="1" applyFont="1" applyBorder="1" applyAlignment="1">
      <alignment horizontal="distributed" vertical="center"/>
    </xf>
    <xf numFmtId="0" fontId="18" fillId="0" borderId="51" xfId="3" applyFont="1" applyBorder="1" applyAlignment="1">
      <alignment horizontal="distributed" vertical="center"/>
    </xf>
    <xf numFmtId="49" fontId="2" fillId="0" borderId="5" xfId="3" applyNumberFormat="1" applyFont="1" applyBorder="1" applyAlignment="1">
      <alignment horizontal="center" vertical="center" shrinkToFit="1"/>
    </xf>
    <xf numFmtId="0" fontId="18" fillId="0" borderId="17" xfId="3" applyFont="1" applyBorder="1" applyAlignment="1">
      <alignment horizontal="distributed" vertical="center"/>
    </xf>
    <xf numFmtId="0" fontId="2" fillId="0" borderId="128" xfId="3" applyFont="1" applyBorder="1" applyAlignment="1">
      <alignment vertical="center"/>
    </xf>
    <xf numFmtId="49" fontId="2" fillId="0" borderId="40" xfId="3" applyNumberFormat="1" applyFont="1" applyBorder="1" applyAlignment="1">
      <alignment horizontal="center" vertical="center" shrinkToFit="1"/>
    </xf>
    <xf numFmtId="0" fontId="2" fillId="0" borderId="53" xfId="3" applyFont="1" applyBorder="1" applyAlignment="1">
      <alignment vertical="center"/>
    </xf>
    <xf numFmtId="0" fontId="18" fillId="0" borderId="173" xfId="3" applyFont="1" applyBorder="1" applyAlignment="1">
      <alignment vertical="center"/>
    </xf>
    <xf numFmtId="0" fontId="18" fillId="0" borderId="174" xfId="3" applyFont="1" applyBorder="1" applyAlignment="1">
      <alignment vertical="center"/>
    </xf>
    <xf numFmtId="0" fontId="18" fillId="0" borderId="175" xfId="3" applyFont="1" applyBorder="1" applyAlignment="1">
      <alignment vertical="center"/>
    </xf>
    <xf numFmtId="0" fontId="2" fillId="0" borderId="17" xfId="3" applyFont="1" applyBorder="1" applyAlignment="1">
      <alignment vertical="center" textRotation="255" shrinkToFit="1"/>
    </xf>
    <xf numFmtId="49" fontId="2" fillId="0" borderId="45" xfId="3" applyNumberFormat="1" applyFont="1" applyBorder="1" applyAlignment="1">
      <alignment horizontal="center" vertical="center" shrinkToFit="1"/>
    </xf>
    <xf numFmtId="0" fontId="18" fillId="0" borderId="69" xfId="3" applyFont="1" applyBorder="1" applyAlignment="1">
      <alignment vertical="center"/>
    </xf>
    <xf numFmtId="0" fontId="2" fillId="0" borderId="131" xfId="3" applyFont="1" applyBorder="1" applyAlignment="1">
      <alignment vertical="center"/>
    </xf>
    <xf numFmtId="0" fontId="18" fillId="0" borderId="0" xfId="3" applyFont="1" applyAlignment="1">
      <alignment horizontal="right" vertical="center"/>
    </xf>
    <xf numFmtId="0" fontId="18" fillId="0" borderId="69" xfId="3" applyFont="1" applyBorder="1" applyAlignment="1">
      <alignment horizontal="right" vertical="center"/>
    </xf>
    <xf numFmtId="0" fontId="2" fillId="0" borderId="129" xfId="3" applyFont="1" applyBorder="1" applyAlignment="1">
      <alignment vertical="center" textRotation="255" shrinkToFit="1"/>
    </xf>
    <xf numFmtId="0" fontId="2" fillId="0" borderId="222" xfId="3" applyFont="1" applyBorder="1" applyAlignment="1">
      <alignment vertical="center"/>
    </xf>
    <xf numFmtId="0" fontId="2" fillId="0" borderId="71" xfId="3" applyFont="1" applyBorder="1" applyAlignment="1">
      <alignment vertical="center"/>
    </xf>
    <xf numFmtId="0" fontId="18" fillId="0" borderId="0" xfId="3" applyFont="1" applyAlignment="1">
      <alignment horizontal="center" vertical="center"/>
    </xf>
    <xf numFmtId="0" fontId="18" fillId="0" borderId="69" xfId="3" applyFont="1" applyBorder="1" applyAlignment="1">
      <alignment horizontal="center" vertical="center"/>
    </xf>
    <xf numFmtId="0" fontId="2" fillId="0" borderId="129" xfId="3" applyFont="1" applyBorder="1" applyAlignment="1">
      <alignment horizontal="center" vertical="center"/>
    </xf>
    <xf numFmtId="0" fontId="2" fillId="0" borderId="186" xfId="3" applyFont="1" applyBorder="1" applyAlignment="1">
      <alignment vertical="center" justifyLastLine="1" shrinkToFit="1"/>
    </xf>
    <xf numFmtId="0" fontId="2" fillId="0" borderId="220" xfId="3" applyFont="1" applyBorder="1" applyAlignment="1">
      <alignment vertical="center" justifyLastLine="1" shrinkToFit="1"/>
    </xf>
    <xf numFmtId="0" fontId="18" fillId="0" borderId="17" xfId="3" applyFont="1" applyBorder="1" applyAlignment="1">
      <alignment vertical="center"/>
    </xf>
    <xf numFmtId="0" fontId="2" fillId="0" borderId="129" xfId="3" applyFont="1" applyBorder="1" applyAlignment="1">
      <alignment vertical="center"/>
    </xf>
    <xf numFmtId="0" fontId="2" fillId="0" borderId="42" xfId="3" applyFont="1" applyBorder="1" applyAlignment="1">
      <alignment horizontal="distributed" vertical="center"/>
    </xf>
    <xf numFmtId="0" fontId="2" fillId="0" borderId="42" xfId="3" applyFont="1" applyBorder="1" applyAlignment="1">
      <alignment horizontal="center" vertical="center"/>
    </xf>
    <xf numFmtId="0" fontId="18" fillId="0" borderId="42" xfId="3" applyFont="1" applyBorder="1" applyAlignment="1">
      <alignment horizontal="right" vertical="center"/>
    </xf>
    <xf numFmtId="0" fontId="18" fillId="0" borderId="54" xfId="3" applyFont="1" applyBorder="1" applyAlignment="1">
      <alignment horizontal="right" vertical="center"/>
    </xf>
    <xf numFmtId="0" fontId="2" fillId="0" borderId="133" xfId="3" applyFont="1" applyBorder="1" applyAlignment="1">
      <alignment horizontal="center" vertical="center" shrinkToFit="1"/>
    </xf>
    <xf numFmtId="0" fontId="2" fillId="0" borderId="137" xfId="3" applyFont="1" applyBorder="1" applyAlignment="1">
      <alignment horizontal="center" vertical="center" shrinkToFit="1"/>
    </xf>
    <xf numFmtId="0" fontId="2" fillId="0" borderId="141" xfId="3" applyFont="1" applyBorder="1" applyAlignment="1">
      <alignment horizontal="center" vertical="center" shrinkToFit="1"/>
    </xf>
    <xf numFmtId="0" fontId="2" fillId="0" borderId="69" xfId="3" applyFont="1" applyBorder="1" applyAlignment="1">
      <alignment vertical="center"/>
    </xf>
    <xf numFmtId="0" fontId="2" fillId="0" borderId="140" xfId="3" applyFont="1" applyBorder="1" applyAlignment="1">
      <alignment horizontal="center" vertical="center" shrinkToFit="1"/>
    </xf>
    <xf numFmtId="0" fontId="2" fillId="0" borderId="146" xfId="3" applyFont="1" applyBorder="1" applyAlignment="1">
      <alignment horizontal="center" vertical="center" shrinkToFit="1"/>
    </xf>
    <xf numFmtId="0" fontId="2" fillId="0" borderId="152" xfId="3" applyFont="1" applyBorder="1" applyAlignment="1">
      <alignment horizontal="center" vertical="center" shrinkToFit="1"/>
    </xf>
    <xf numFmtId="0" fontId="11" fillId="0" borderId="20" xfId="3" applyFont="1" applyBorder="1" applyAlignment="1">
      <alignment vertical="center"/>
    </xf>
    <xf numFmtId="0" fontId="11" fillId="0" borderId="21" xfId="3" applyFont="1" applyBorder="1" applyAlignment="1">
      <alignment vertical="center"/>
    </xf>
    <xf numFmtId="0" fontId="18" fillId="0" borderId="12" xfId="3" applyFont="1" applyBorder="1" applyAlignment="1">
      <alignment vertical="center"/>
    </xf>
    <xf numFmtId="0" fontId="18" fillId="0" borderId="68" xfId="3" applyFont="1" applyBorder="1" applyAlignment="1">
      <alignment vertical="center"/>
    </xf>
    <xf numFmtId="49" fontId="2" fillId="0" borderId="156" xfId="3" applyNumberFormat="1" applyFont="1" applyBorder="1" applyAlignment="1">
      <alignment horizontal="distributed" vertical="center"/>
    </xf>
    <xf numFmtId="49" fontId="2" fillId="0" borderId="158" xfId="3" applyNumberFormat="1" applyFont="1" applyBorder="1" applyAlignment="1">
      <alignment horizontal="center" vertical="center"/>
    </xf>
    <xf numFmtId="0" fontId="2" fillId="0" borderId="17" xfId="3" applyFont="1" applyBorder="1" applyAlignment="1">
      <alignment vertical="center" textRotation="255"/>
    </xf>
    <xf numFmtId="49" fontId="2" fillId="0" borderId="160" xfId="3" applyNumberFormat="1" applyFont="1" applyBorder="1" applyAlignment="1">
      <alignment horizontal="center" vertical="center"/>
    </xf>
    <xf numFmtId="49" fontId="2" fillId="0" borderId="161" xfId="3" applyNumberFormat="1" applyFont="1" applyBorder="1" applyAlignment="1">
      <alignment horizontal="distributed" vertical="center"/>
    </xf>
    <xf numFmtId="49" fontId="2" fillId="0" borderId="34" xfId="3" applyNumberFormat="1" applyFont="1" applyBorder="1" applyAlignment="1">
      <alignment horizontal="center" vertical="center" shrinkToFit="1"/>
    </xf>
    <xf numFmtId="0" fontId="2" fillId="0" borderId="67" xfId="3" applyFont="1" applyBorder="1" applyAlignment="1">
      <alignment vertical="center" textRotation="255"/>
    </xf>
    <xf numFmtId="49" fontId="2" fillId="0" borderId="164" xfId="3" applyNumberFormat="1" applyFont="1" applyBorder="1" applyAlignment="1">
      <alignment horizontal="distributed" vertical="center" shrinkToFit="1"/>
    </xf>
    <xf numFmtId="49" fontId="2" fillId="0" borderId="169" xfId="3" applyNumberFormat="1" applyFont="1" applyBorder="1" applyAlignment="1">
      <alignment horizontal="center" vertical="center" shrinkToFit="1"/>
    </xf>
    <xf numFmtId="49" fontId="2" fillId="0" borderId="172" xfId="3" applyNumberFormat="1" applyFont="1" applyBorder="1" applyAlignment="1">
      <alignment horizontal="center" vertical="center" shrinkToFit="1"/>
    </xf>
    <xf numFmtId="0" fontId="11" fillId="0" borderId="173" xfId="3" applyFont="1" applyBorder="1" applyAlignment="1">
      <alignment vertical="center"/>
    </xf>
    <xf numFmtId="0" fontId="2" fillId="0" borderId="174" xfId="3" applyFont="1" applyBorder="1" applyAlignment="1">
      <alignment vertical="center"/>
    </xf>
    <xf numFmtId="0" fontId="18" fillId="0" borderId="9" xfId="3" applyFont="1" applyBorder="1" applyAlignment="1">
      <alignment vertical="center"/>
    </xf>
    <xf numFmtId="0" fontId="11" fillId="0" borderId="9" xfId="3" applyFont="1" applyBorder="1" applyAlignment="1">
      <alignment vertical="center"/>
    </xf>
    <xf numFmtId="49" fontId="2" fillId="0" borderId="178" xfId="3" applyNumberFormat="1" applyFont="1" applyBorder="1" applyAlignment="1">
      <alignment horizontal="center" vertical="center" shrinkToFit="1"/>
    </xf>
    <xf numFmtId="0" fontId="2" fillId="0" borderId="70" xfId="3" applyFont="1" applyBorder="1" applyAlignment="1">
      <alignment horizontal="distributed" vertical="center"/>
    </xf>
    <xf numFmtId="0" fontId="2" fillId="0" borderId="164" xfId="3" applyFont="1" applyBorder="1" applyAlignment="1">
      <alignment horizontal="distributed" vertical="center"/>
    </xf>
    <xf numFmtId="49" fontId="2" fillId="0" borderId="183" xfId="3" applyNumberFormat="1" applyFont="1" applyBorder="1" applyAlignment="1">
      <alignment horizontal="center" vertical="center" shrinkToFit="1"/>
    </xf>
    <xf numFmtId="0" fontId="5" fillId="0" borderId="17" xfId="3" applyFont="1" applyBorder="1" applyAlignment="1">
      <alignment horizontal="distributed" vertical="center"/>
    </xf>
    <xf numFmtId="0" fontId="2" fillId="0" borderId="67" xfId="3" applyFont="1" applyBorder="1" applyAlignment="1">
      <alignment horizontal="distributed" vertical="center"/>
    </xf>
    <xf numFmtId="49" fontId="2" fillId="0" borderId="185" xfId="3" applyNumberFormat="1" applyFont="1" applyBorder="1" applyAlignment="1">
      <alignment horizontal="center" vertical="center"/>
    </xf>
    <xf numFmtId="0" fontId="11" fillId="0" borderId="174" xfId="3" applyFont="1" applyBorder="1" applyAlignment="1">
      <alignment vertical="center"/>
    </xf>
    <xf numFmtId="0" fontId="2" fillId="0" borderId="129" xfId="3" applyFont="1" applyBorder="1" applyAlignment="1">
      <alignment horizontal="distributed" vertical="center"/>
    </xf>
    <xf numFmtId="0" fontId="18" fillId="0" borderId="129" xfId="3" applyFont="1" applyBorder="1" applyAlignment="1">
      <alignment vertical="center"/>
    </xf>
    <xf numFmtId="0" fontId="18" fillId="0" borderId="42" xfId="3" applyFont="1" applyBorder="1" applyAlignment="1">
      <alignment vertical="center"/>
    </xf>
    <xf numFmtId="0" fontId="5" fillId="0" borderId="186" xfId="3" applyFont="1" applyBorder="1" applyAlignment="1">
      <alignment vertical="center" shrinkToFit="1"/>
    </xf>
    <xf numFmtId="0" fontId="18" fillId="0" borderId="186" xfId="3" applyFont="1" applyBorder="1" applyAlignment="1">
      <alignment vertical="center"/>
    </xf>
    <xf numFmtId="0" fontId="2" fillId="0" borderId="186" xfId="3" applyFont="1" applyBorder="1" applyAlignment="1">
      <alignment vertical="center"/>
    </xf>
    <xf numFmtId="0" fontId="2" fillId="0" borderId="220" xfId="3" applyFont="1" applyBorder="1" applyAlignment="1">
      <alignment vertical="center"/>
    </xf>
    <xf numFmtId="0" fontId="2" fillId="0" borderId="42" xfId="3" applyFont="1" applyBorder="1" applyAlignment="1">
      <alignment horizontal="distributed" vertical="center" wrapText="1"/>
    </xf>
    <xf numFmtId="0" fontId="2" fillId="0" borderId="186" xfId="3" applyFont="1" applyBorder="1" applyAlignment="1">
      <alignment vertical="center" wrapText="1"/>
    </xf>
    <xf numFmtId="0" fontId="2" fillId="0" borderId="42" xfId="3" applyFont="1" applyBorder="1" applyAlignment="1">
      <alignment vertical="center" wrapText="1"/>
    </xf>
    <xf numFmtId="0" fontId="18" fillId="0" borderId="0" xfId="3" applyFont="1" applyAlignment="1">
      <alignment horizontal="left" vertical="center"/>
    </xf>
    <xf numFmtId="0" fontId="2" fillId="0" borderId="66" xfId="3" applyFont="1" applyBorder="1" applyAlignment="1">
      <alignment horizontal="center" vertical="center"/>
    </xf>
    <xf numFmtId="0" fontId="2" fillId="0" borderId="12" xfId="3" applyFont="1" applyBorder="1" applyAlignment="1">
      <alignment horizontal="distributed" vertical="center"/>
    </xf>
    <xf numFmtId="0" fontId="2" fillId="0" borderId="4" xfId="3" applyFont="1" applyBorder="1" applyAlignment="1">
      <alignment horizontal="distributed" vertical="center"/>
    </xf>
    <xf numFmtId="0" fontId="2" fillId="0" borderId="12" xfId="3" applyFont="1" applyBorder="1" applyAlignment="1">
      <alignment horizontal="center" vertical="center"/>
    </xf>
    <xf numFmtId="0" fontId="2" fillId="0" borderId="0" xfId="3" applyFont="1" applyAlignment="1">
      <alignment vertical="center" shrinkToFit="1"/>
    </xf>
    <xf numFmtId="0" fontId="2" fillId="0" borderId="17" xfId="3" applyFont="1" applyBorder="1" applyAlignment="1">
      <alignment horizontal="distributed" vertical="center"/>
    </xf>
    <xf numFmtId="0" fontId="2" fillId="0" borderId="17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20" xfId="3" applyFont="1" applyBorder="1" applyAlignment="1">
      <alignment horizontal="center" vertical="center"/>
    </xf>
    <xf numFmtId="0" fontId="2" fillId="0" borderId="51" xfId="3" applyFont="1" applyBorder="1" applyAlignment="1">
      <alignment horizontal="distributed" vertical="center"/>
    </xf>
    <xf numFmtId="0" fontId="2" fillId="0" borderId="0" xfId="3" applyFont="1" applyAlignment="1">
      <alignment horizontal="distributed" vertical="center"/>
    </xf>
    <xf numFmtId="0" fontId="7" fillId="0" borderId="0" xfId="3" applyFont="1" applyAlignment="1">
      <alignment horizontal="left" vertical="center"/>
    </xf>
    <xf numFmtId="0" fontId="2" fillId="0" borderId="81" xfId="3" applyFont="1" applyBorder="1" applyAlignment="1">
      <alignment horizontal="center" vertical="center"/>
    </xf>
    <xf numFmtId="0" fontId="2" fillId="0" borderId="49" xfId="3" applyFont="1" applyBorder="1" applyAlignment="1">
      <alignment horizontal="center" vertical="center"/>
    </xf>
    <xf numFmtId="0" fontId="2" fillId="0" borderId="55" xfId="3" applyFont="1" applyBorder="1" applyAlignment="1">
      <alignment horizontal="center" vertical="center"/>
    </xf>
    <xf numFmtId="0" fontId="2" fillId="0" borderId="38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5" fillId="0" borderId="69" xfId="3" applyFont="1" applyBorder="1" applyAlignment="1">
      <alignment vertical="center"/>
    </xf>
    <xf numFmtId="0" fontId="10" fillId="0" borderId="0" xfId="3" applyFont="1" applyAlignment="1">
      <alignment vertical="center"/>
    </xf>
    <xf numFmtId="0" fontId="15" fillId="0" borderId="20" xfId="3" applyFont="1" applyBorder="1" applyAlignment="1">
      <alignment vertical="center"/>
    </xf>
    <xf numFmtId="0" fontId="15" fillId="0" borderId="21" xfId="3" applyFont="1" applyBorder="1" applyAlignment="1">
      <alignment vertical="center"/>
    </xf>
    <xf numFmtId="0" fontId="15" fillId="0" borderId="17" xfId="3" applyFont="1" applyBorder="1" applyAlignment="1">
      <alignment vertical="center"/>
    </xf>
    <xf numFmtId="0" fontId="15" fillId="0" borderId="0" xfId="3" applyFont="1" applyAlignment="1">
      <alignment horizontal="left" vertical="center"/>
    </xf>
    <xf numFmtId="0" fontId="15" fillId="0" borderId="129" xfId="3" applyFont="1" applyBorder="1" applyAlignment="1">
      <alignment vertical="center"/>
    </xf>
    <xf numFmtId="0" fontId="15" fillId="0" borderId="42" xfId="3" applyFont="1" applyBorder="1" applyAlignment="1">
      <alignment horizontal="left" vertical="center"/>
    </xf>
    <xf numFmtId="0" fontId="2" fillId="0" borderId="190" xfId="3" applyFont="1" applyBorder="1" applyAlignment="1">
      <alignment horizontal="center" vertical="center"/>
    </xf>
    <xf numFmtId="0" fontId="2" fillId="0" borderId="102" xfId="3" applyFont="1" applyBorder="1" applyAlignment="1">
      <alignment vertical="center" wrapText="1"/>
    </xf>
    <xf numFmtId="0" fontId="9" fillId="0" borderId="316" xfId="5" applyFont="1" applyBorder="1" applyAlignment="1">
      <alignment horizontal="distributed" vertical="center"/>
    </xf>
    <xf numFmtId="0" fontId="9" fillId="0" borderId="229" xfId="5" applyFont="1" applyBorder="1" applyAlignment="1">
      <alignment vertical="center" shrinkToFit="1"/>
    </xf>
    <xf numFmtId="0" fontId="2" fillId="0" borderId="84" xfId="5" applyFont="1" applyBorder="1" applyAlignment="1">
      <alignment horizontal="center" vertical="center"/>
    </xf>
    <xf numFmtId="0" fontId="2" fillId="0" borderId="32" xfId="5" applyFont="1" applyBorder="1" applyAlignment="1">
      <alignment horizontal="center" vertical="center"/>
    </xf>
    <xf numFmtId="0" fontId="2" fillId="0" borderId="11" xfId="3" applyFont="1" applyBorder="1" applyAlignment="1">
      <alignment vertical="center"/>
    </xf>
    <xf numFmtId="0" fontId="2" fillId="0" borderId="49" xfId="5" applyFont="1" applyBorder="1" applyAlignment="1">
      <alignment horizontal="center" vertical="center"/>
    </xf>
    <xf numFmtId="0" fontId="2" fillId="0" borderId="102" xfId="3" applyFont="1" applyBorder="1" applyAlignment="1">
      <alignment vertical="center" shrinkToFit="1"/>
    </xf>
    <xf numFmtId="0" fontId="2" fillId="0" borderId="51" xfId="5" applyFont="1" applyBorder="1" applyAlignment="1">
      <alignment horizontal="center" vertical="center"/>
    </xf>
    <xf numFmtId="0" fontId="2" fillId="0" borderId="53" xfId="3" applyFont="1" applyBorder="1" applyAlignment="1">
      <alignment vertical="center" shrinkToFit="1"/>
    </xf>
    <xf numFmtId="0" fontId="2" fillId="0" borderId="160" xfId="5" applyFont="1" applyBorder="1" applyAlignment="1">
      <alignment horizontal="center" vertical="center"/>
    </xf>
    <xf numFmtId="0" fontId="9" fillId="0" borderId="47" xfId="3" applyFont="1" applyBorder="1" applyAlignment="1">
      <alignment vertical="center"/>
    </xf>
    <xf numFmtId="0" fontId="9" fillId="0" borderId="334" xfId="3" applyFont="1" applyBorder="1" applyAlignment="1">
      <alignment vertical="center"/>
    </xf>
    <xf numFmtId="0" fontId="9" fillId="0" borderId="283" xfId="3" applyFont="1" applyBorder="1" applyAlignment="1">
      <alignment vertical="center"/>
    </xf>
    <xf numFmtId="0" fontId="2" fillId="0" borderId="341" xfId="5" applyFont="1" applyBorder="1" applyAlignment="1">
      <alignment horizontal="center" vertical="center"/>
    </xf>
    <xf numFmtId="0" fontId="9" fillId="0" borderId="279" xfId="3" applyFont="1" applyBorder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20" xfId="3" applyFont="1" applyBorder="1" applyAlignment="1">
      <alignment vertical="center"/>
    </xf>
    <xf numFmtId="0" fontId="10" fillId="0" borderId="19" xfId="3" applyFont="1" applyBorder="1" applyAlignment="1">
      <alignment vertical="center"/>
    </xf>
    <xf numFmtId="0" fontId="2" fillId="0" borderId="20" xfId="3" applyFont="1" applyBorder="1" applyAlignment="1">
      <alignment horizontal="distributed" vertical="center" wrapText="1"/>
    </xf>
    <xf numFmtId="0" fontId="2" fillId="0" borderId="20" xfId="3" applyFont="1" applyBorder="1" applyAlignment="1">
      <alignment vertical="center" wrapText="1"/>
    </xf>
    <xf numFmtId="0" fontId="21" fillId="0" borderId="20" xfId="3" applyFont="1" applyBorder="1" applyAlignment="1">
      <alignment vertical="center"/>
    </xf>
    <xf numFmtId="0" fontId="9" fillId="0" borderId="21" xfId="3" applyFont="1" applyBorder="1" applyAlignment="1">
      <alignment vertical="center"/>
    </xf>
    <xf numFmtId="0" fontId="9" fillId="0" borderId="12" xfId="3" applyFont="1" applyBorder="1" applyAlignment="1">
      <alignment vertical="center"/>
    </xf>
    <xf numFmtId="0" fontId="9" fillId="0" borderId="68" xfId="3" applyFont="1" applyBorder="1" applyAlignment="1">
      <alignment vertical="center"/>
    </xf>
    <xf numFmtId="0" fontId="2" fillId="0" borderId="4" xfId="3" applyFont="1" applyBorder="1" applyAlignment="1">
      <alignment vertical="center"/>
    </xf>
    <xf numFmtId="0" fontId="2" fillId="0" borderId="67" xfId="3" applyFont="1" applyBorder="1" applyAlignment="1">
      <alignment horizontal="center" vertical="center"/>
    </xf>
    <xf numFmtId="0" fontId="2" fillId="0" borderId="14" xfId="3" applyFont="1" applyBorder="1" applyAlignment="1">
      <alignment horizontal="left" vertical="center"/>
    </xf>
    <xf numFmtId="0" fontId="11" fillId="0" borderId="21" xfId="5" applyFont="1" applyBorder="1">
      <alignment vertical="center"/>
    </xf>
    <xf numFmtId="0" fontId="2" fillId="0" borderId="19" xfId="5" applyFont="1" applyBorder="1">
      <alignment vertical="center"/>
    </xf>
    <xf numFmtId="0" fontId="13" fillId="0" borderId="20" xfId="5" applyFont="1" applyBorder="1">
      <alignment vertical="center"/>
    </xf>
    <xf numFmtId="0" fontId="13" fillId="0" borderId="12" xfId="5" applyFont="1" applyBorder="1">
      <alignment vertical="center"/>
    </xf>
    <xf numFmtId="0" fontId="2" fillId="0" borderId="12" xfId="5" applyFont="1" applyBorder="1" applyAlignment="1">
      <alignment vertical="center" justifyLastLine="1"/>
    </xf>
    <xf numFmtId="0" fontId="2" fillId="0" borderId="12" xfId="5" applyFont="1" applyBorder="1">
      <alignment vertical="center"/>
    </xf>
    <xf numFmtId="0" fontId="2" fillId="0" borderId="68" xfId="5" applyFont="1" applyBorder="1">
      <alignment vertical="center"/>
    </xf>
    <xf numFmtId="0" fontId="9" fillId="0" borderId="0" xfId="5" applyFont="1" applyAlignment="1">
      <alignment vertical="center" justifyLastLine="1"/>
    </xf>
    <xf numFmtId="0" fontId="9" fillId="0" borderId="0" xfId="3" applyFont="1" applyAlignment="1">
      <alignment vertical="center" justifyLastLine="1"/>
    </xf>
    <xf numFmtId="0" fontId="9" fillId="0" borderId="69" xfId="3" applyFont="1" applyBorder="1" applyAlignment="1">
      <alignment vertical="center" justifyLastLine="1"/>
    </xf>
    <xf numFmtId="0" fontId="9" fillId="0" borderId="0" xfId="5" applyFont="1" applyAlignment="1">
      <alignment vertical="center" shrinkToFit="1"/>
    </xf>
    <xf numFmtId="0" fontId="9" fillId="0" borderId="0" xfId="3" applyFont="1" applyAlignment="1">
      <alignment vertical="center" shrinkToFit="1"/>
    </xf>
    <xf numFmtId="0" fontId="9" fillId="0" borderId="69" xfId="3" applyFont="1" applyBorder="1" applyAlignment="1">
      <alignment vertical="center" shrinkToFit="1"/>
    </xf>
    <xf numFmtId="177" fontId="9" fillId="0" borderId="0" xfId="5" applyNumberFormat="1" applyFont="1">
      <alignment vertical="center"/>
    </xf>
    <xf numFmtId="0" fontId="9" fillId="0" borderId="0" xfId="5" applyFont="1" applyAlignment="1">
      <alignment horizontal="distributed" vertical="center"/>
    </xf>
    <xf numFmtId="0" fontId="9" fillId="0" borderId="0" xfId="3" applyFont="1" applyAlignment="1">
      <alignment horizontal="left" vertical="center"/>
    </xf>
    <xf numFmtId="0" fontId="2" fillId="0" borderId="45" xfId="3" applyFont="1" applyBorder="1" applyAlignment="1">
      <alignment horizontal="left" vertical="center"/>
    </xf>
    <xf numFmtId="0" fontId="9" fillId="0" borderId="0" xfId="5" applyFont="1" applyAlignment="1">
      <alignment vertical="center" wrapText="1" shrinkToFit="1"/>
    </xf>
    <xf numFmtId="0" fontId="16" fillId="0" borderId="17" xfId="3" applyFont="1" applyBorder="1" applyAlignment="1">
      <alignment vertical="center"/>
    </xf>
    <xf numFmtId="0" fontId="16" fillId="0" borderId="69" xfId="3" applyFont="1" applyBorder="1" applyAlignment="1">
      <alignment vertical="center"/>
    </xf>
    <xf numFmtId="0" fontId="9" fillId="0" borderId="0" xfId="3" applyFont="1" applyAlignment="1">
      <alignment vertical="center" wrapText="1"/>
    </xf>
    <xf numFmtId="0" fontId="17" fillId="0" borderId="0" xfId="3" applyFont="1" applyAlignment="1">
      <alignment vertical="center" wrapText="1"/>
    </xf>
    <xf numFmtId="0" fontId="11" fillId="0" borderId="0" xfId="5" applyFont="1">
      <alignment vertical="center"/>
    </xf>
    <xf numFmtId="0" fontId="2" fillId="0" borderId="0" xfId="5" applyFont="1">
      <alignment vertical="center"/>
    </xf>
    <xf numFmtId="0" fontId="13" fillId="0" borderId="0" xfId="5" applyFont="1">
      <alignment vertical="center"/>
    </xf>
    <xf numFmtId="0" fontId="2" fillId="0" borderId="0" xfId="5" applyFont="1" applyAlignment="1">
      <alignment vertical="center" justifyLastLine="1"/>
    </xf>
    <xf numFmtId="0" fontId="29" fillId="0" borderId="0" xfId="3" applyFont="1" applyAlignment="1">
      <alignment vertical="center"/>
    </xf>
    <xf numFmtId="49" fontId="2" fillId="0" borderId="0" xfId="5" applyNumberFormat="1" applyFont="1">
      <alignment vertical="center"/>
    </xf>
    <xf numFmtId="0" fontId="12" fillId="0" borderId="0" xfId="5" applyFont="1" applyAlignment="1">
      <alignment vertical="center" wrapText="1"/>
    </xf>
    <xf numFmtId="0" fontId="2" fillId="0" borderId="0" xfId="5" applyFont="1" applyAlignment="1">
      <alignment horizontal="left" vertical="center"/>
    </xf>
    <xf numFmtId="0" fontId="9" fillId="0" borderId="0" xfId="5" applyFont="1">
      <alignment vertical="center"/>
    </xf>
    <xf numFmtId="178" fontId="2" fillId="0" borderId="0" xfId="3" applyNumberFormat="1" applyFont="1" applyAlignment="1">
      <alignment vertical="center" shrinkToFit="1"/>
    </xf>
    <xf numFmtId="0" fontId="9" fillId="0" borderId="0" xfId="3" applyFont="1" applyAlignment="1">
      <alignment vertical="center" textRotation="255" shrinkToFit="1"/>
    </xf>
    <xf numFmtId="178" fontId="19" fillId="0" borderId="0" xfId="3" applyNumberFormat="1" applyFont="1" applyAlignment="1">
      <alignment vertical="center"/>
    </xf>
    <xf numFmtId="178" fontId="2" fillId="0" borderId="0" xfId="3" applyNumberFormat="1" applyFont="1" applyAlignment="1">
      <alignment vertical="center"/>
    </xf>
    <xf numFmtId="0" fontId="9" fillId="0" borderId="0" xfId="3" applyFont="1" applyAlignment="1">
      <alignment vertical="distributed" textRotation="255" justifyLastLine="1"/>
    </xf>
    <xf numFmtId="0" fontId="9" fillId="0" borderId="0" xfId="3" applyFont="1" applyAlignment="1">
      <alignment vertical="center" wrapText="1" shrinkToFit="1"/>
    </xf>
    <xf numFmtId="0" fontId="9" fillId="0" borderId="0" xfId="5" applyFont="1" applyAlignment="1">
      <alignment horizontal="distributed" vertical="center" shrinkToFit="1"/>
    </xf>
    <xf numFmtId="178" fontId="14" fillId="0" borderId="0" xfId="3" applyNumberFormat="1" applyFont="1" applyAlignment="1">
      <alignment vertical="center"/>
    </xf>
    <xf numFmtId="178" fontId="12" fillId="0" borderId="0" xfId="3" applyNumberFormat="1" applyFont="1" applyAlignment="1">
      <alignment horizontal="distributed" vertical="center"/>
    </xf>
    <xf numFmtId="0" fontId="9" fillId="0" borderId="42" xfId="5" applyFont="1" applyBorder="1">
      <alignment vertical="center"/>
    </xf>
    <xf numFmtId="177" fontId="9" fillId="0" borderId="42" xfId="5" applyNumberFormat="1" applyFont="1" applyBorder="1">
      <alignment vertical="center"/>
    </xf>
    <xf numFmtId="0" fontId="15" fillId="0" borderId="54" xfId="3" applyFont="1" applyBorder="1" applyAlignment="1">
      <alignment vertical="center"/>
    </xf>
    <xf numFmtId="0" fontId="27" fillId="0" borderId="0" xfId="3" applyFont="1" applyAlignment="1">
      <alignment horizontal="left" vertical="center"/>
    </xf>
    <xf numFmtId="0" fontId="2" fillId="0" borderId="42" xfId="3" applyFont="1" applyBorder="1" applyAlignment="1">
      <alignment vertical="center" shrinkToFit="1"/>
    </xf>
    <xf numFmtId="0" fontId="10" fillId="0" borderId="186" xfId="3" applyFont="1" applyBorder="1" applyAlignment="1">
      <alignment vertical="center"/>
    </xf>
    <xf numFmtId="0" fontId="10" fillId="0" borderId="220" xfId="3" applyFont="1" applyBorder="1" applyAlignment="1">
      <alignment vertical="center"/>
    </xf>
    <xf numFmtId="0" fontId="10" fillId="0" borderId="67" xfId="3" applyFont="1" applyBorder="1" applyAlignment="1">
      <alignment horizontal="left" vertical="center"/>
    </xf>
    <xf numFmtId="0" fontId="10" fillId="0" borderId="12" xfId="3" applyFont="1" applyBorder="1" applyAlignment="1">
      <alignment horizontal="left" vertical="center"/>
    </xf>
    <xf numFmtId="0" fontId="10" fillId="0" borderId="68" xfId="3" applyFont="1" applyBorder="1" applyAlignment="1">
      <alignment horizontal="left" vertical="center"/>
    </xf>
    <xf numFmtId="0" fontId="9" fillId="0" borderId="8" xfId="3" applyFont="1" applyBorder="1" applyAlignment="1">
      <alignment horizontal="center" vertical="center" shrinkToFit="1"/>
    </xf>
    <xf numFmtId="0" fontId="9" fillId="0" borderId="17" xfId="3" applyFont="1" applyBorder="1" applyAlignment="1">
      <alignment horizontal="distributed" vertical="center"/>
    </xf>
    <xf numFmtId="0" fontId="9" fillId="0" borderId="26" xfId="3" applyFont="1" applyBorder="1" applyAlignment="1">
      <alignment horizontal="center" vertical="center" shrinkToFit="1"/>
    </xf>
    <xf numFmtId="0" fontId="9" fillId="0" borderId="51" xfId="3" applyFont="1" applyBorder="1" applyAlignment="1">
      <alignment horizontal="distributed" vertical="center"/>
    </xf>
    <xf numFmtId="0" fontId="9" fillId="0" borderId="23" xfId="3" applyFont="1" applyBorder="1" applyAlignment="1">
      <alignment horizontal="center" vertical="center" shrinkToFit="1"/>
    </xf>
    <xf numFmtId="0" fontId="9" fillId="0" borderId="0" xfId="3" applyFont="1" applyAlignment="1">
      <alignment horizontal="distributed" vertical="center"/>
    </xf>
    <xf numFmtId="0" fontId="9" fillId="0" borderId="102" xfId="3" applyFont="1" applyBorder="1" applyAlignment="1">
      <alignment vertical="center"/>
    </xf>
    <xf numFmtId="0" fontId="2" fillId="0" borderId="70" xfId="3" applyFont="1" applyBorder="1" applyAlignment="1">
      <alignment vertical="center"/>
    </xf>
    <xf numFmtId="0" fontId="9" fillId="0" borderId="30" xfId="3" applyFont="1" applyBorder="1" applyAlignment="1">
      <alignment horizontal="center" vertical="center" shrinkToFit="1"/>
    </xf>
    <xf numFmtId="0" fontId="9" fillId="0" borderId="5" xfId="3" applyFont="1" applyBorder="1" applyAlignment="1">
      <alignment horizontal="center" vertical="center" shrinkToFit="1"/>
    </xf>
    <xf numFmtId="0" fontId="9" fillId="0" borderId="40" xfId="3" applyFont="1" applyBorder="1" applyAlignment="1">
      <alignment horizontal="center" vertical="center" shrinkToFit="1"/>
    </xf>
    <xf numFmtId="0" fontId="15" fillId="0" borderId="0" xfId="3" applyFont="1" applyAlignment="1">
      <alignment horizontal="distributed" vertical="center"/>
    </xf>
    <xf numFmtId="0" fontId="15" fillId="0" borderId="51" xfId="3" applyFont="1" applyBorder="1" applyAlignment="1">
      <alignment horizontal="distributed" vertical="center"/>
    </xf>
    <xf numFmtId="0" fontId="28" fillId="0" borderId="124" xfId="3" applyFont="1" applyBorder="1" applyAlignment="1">
      <alignment vertical="center"/>
    </xf>
    <xf numFmtId="0" fontId="9" fillId="0" borderId="45" xfId="3" applyFont="1" applyBorder="1" applyAlignment="1">
      <alignment horizontal="center" vertical="center" shrinkToFit="1"/>
    </xf>
    <xf numFmtId="0" fontId="9" fillId="0" borderId="42" xfId="3" applyFont="1" applyBorder="1" applyAlignment="1">
      <alignment horizontal="distributed" vertical="center"/>
    </xf>
    <xf numFmtId="0" fontId="9" fillId="0" borderId="72" xfId="3" applyFont="1" applyBorder="1" applyAlignment="1">
      <alignment horizontal="distributed" vertical="center"/>
    </xf>
    <xf numFmtId="0" fontId="10" fillId="0" borderId="20" xfId="3" applyFont="1" applyBorder="1" applyAlignment="1">
      <alignment vertical="center"/>
    </xf>
    <xf numFmtId="0" fontId="2" fillId="0" borderId="242" xfId="3" applyFont="1" applyBorder="1" applyAlignment="1">
      <alignment horizontal="center" vertical="center" shrinkToFit="1"/>
    </xf>
    <xf numFmtId="0" fontId="9" fillId="0" borderId="0" xfId="5" applyFont="1" applyAlignment="1">
      <alignment vertical="center" textRotation="255"/>
    </xf>
    <xf numFmtId="0" fontId="15" fillId="0" borderId="174" xfId="3" applyFont="1" applyBorder="1" applyAlignment="1">
      <alignment vertical="center"/>
    </xf>
    <xf numFmtId="0" fontId="15" fillId="0" borderId="175" xfId="3" applyFont="1" applyBorder="1" applyAlignment="1">
      <alignment vertical="center"/>
    </xf>
    <xf numFmtId="0" fontId="9" fillId="0" borderId="70" xfId="3" applyFont="1" applyBorder="1" applyAlignment="1">
      <alignment horizontal="distributed" vertical="center"/>
    </xf>
    <xf numFmtId="0" fontId="9" fillId="0" borderId="53" xfId="3" applyFont="1" applyBorder="1" applyAlignment="1">
      <alignment horizontal="distributed" vertical="center"/>
    </xf>
    <xf numFmtId="0" fontId="9" fillId="0" borderId="129" xfId="3" applyFont="1" applyBorder="1" applyAlignment="1">
      <alignment horizontal="distributed" vertical="center"/>
    </xf>
    <xf numFmtId="0" fontId="10" fillId="0" borderId="174" xfId="3" applyFont="1" applyBorder="1" applyAlignment="1">
      <alignment horizontal="left" vertical="center"/>
    </xf>
    <xf numFmtId="0" fontId="10" fillId="0" borderId="20" xfId="3" applyFont="1" applyBorder="1" applyAlignment="1">
      <alignment horizontal="left" vertical="center"/>
    </xf>
    <xf numFmtId="0" fontId="10" fillId="0" borderId="21" xfId="3" applyFont="1" applyBorder="1" applyAlignment="1">
      <alignment horizontal="left" vertical="center"/>
    </xf>
    <xf numFmtId="0" fontId="2" fillId="0" borderId="156" xfId="3" applyFont="1" applyBorder="1" applyAlignment="1">
      <alignment horizontal="distributed" vertical="center"/>
    </xf>
    <xf numFmtId="0" fontId="2" fillId="0" borderId="158" xfId="3" applyFont="1" applyBorder="1" applyAlignment="1">
      <alignment horizontal="center" vertical="center"/>
    </xf>
    <xf numFmtId="0" fontId="9" fillId="0" borderId="34" xfId="3" applyFont="1" applyBorder="1" applyAlignment="1">
      <alignment horizontal="center" vertical="center" shrinkToFit="1"/>
    </xf>
    <xf numFmtId="0" fontId="2" fillId="0" borderId="160" xfId="3" applyFont="1" applyBorder="1" applyAlignment="1">
      <alignment horizontal="center" vertical="center"/>
    </xf>
    <xf numFmtId="0" fontId="2" fillId="0" borderId="161" xfId="3" applyFont="1" applyBorder="1" applyAlignment="1">
      <alignment horizontal="distributed" vertical="center"/>
    </xf>
    <xf numFmtId="0" fontId="9" fillId="0" borderId="169" xfId="3" applyFont="1" applyBorder="1" applyAlignment="1">
      <alignment horizontal="center" vertical="center" shrinkToFit="1"/>
    </xf>
    <xf numFmtId="0" fontId="9" fillId="0" borderId="172" xfId="3" applyFont="1" applyBorder="1" applyAlignment="1">
      <alignment horizontal="center" vertical="center" shrinkToFit="1"/>
    </xf>
    <xf numFmtId="0" fontId="15" fillId="0" borderId="66" xfId="3" applyFont="1" applyBorder="1" applyAlignment="1">
      <alignment horizontal="distributed" vertical="center"/>
    </xf>
    <xf numFmtId="0" fontId="15" fillId="0" borderId="12" xfId="3" applyFont="1" applyBorder="1" applyAlignment="1">
      <alignment horizontal="distributed" vertical="center"/>
    </xf>
    <xf numFmtId="0" fontId="2" fillId="0" borderId="164" xfId="3" applyFont="1" applyBorder="1" applyAlignment="1">
      <alignment horizontal="distributed" vertical="center" shrinkToFit="1"/>
    </xf>
    <xf numFmtId="0" fontId="9" fillId="0" borderId="178" xfId="3" applyFont="1" applyBorder="1" applyAlignment="1">
      <alignment horizontal="center" vertical="center" shrinkToFit="1"/>
    </xf>
    <xf numFmtId="0" fontId="15" fillId="0" borderId="42" xfId="3" applyFont="1" applyBorder="1" applyAlignment="1">
      <alignment horizontal="distributed" vertical="center"/>
    </xf>
    <xf numFmtId="0" fontId="9" fillId="0" borderId="183" xfId="3" applyFont="1" applyBorder="1" applyAlignment="1">
      <alignment horizontal="center" vertical="center" shrinkToFit="1"/>
    </xf>
    <xf numFmtId="0" fontId="9" fillId="0" borderId="298" xfId="3" applyFont="1" applyBorder="1" applyAlignment="1">
      <alignment horizontal="center" vertical="center" shrinkToFit="1"/>
    </xf>
    <xf numFmtId="0" fontId="9" fillId="0" borderId="0" xfId="3" applyFont="1" applyAlignment="1">
      <alignment horizontal="center" vertical="center" shrinkToFit="1"/>
    </xf>
    <xf numFmtId="0" fontId="2" fillId="0" borderId="185" xfId="3" applyFont="1" applyBorder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6" fillId="0" borderId="69" xfId="3" applyFont="1" applyBorder="1" applyAlignment="1">
      <alignment horizontal="center" vertical="center"/>
    </xf>
    <xf numFmtId="0" fontId="9" fillId="0" borderId="42" xfId="3" applyFont="1" applyBorder="1" applyAlignment="1">
      <alignment horizontal="center" vertical="center" shrinkToFit="1"/>
    </xf>
    <xf numFmtId="0" fontId="16" fillId="0" borderId="42" xfId="3" applyFont="1" applyBorder="1" applyAlignment="1">
      <alignment horizontal="center" vertical="center"/>
    </xf>
    <xf numFmtId="0" fontId="16" fillId="0" borderId="54" xfId="3" applyFont="1" applyBorder="1" applyAlignment="1">
      <alignment horizontal="center" vertical="center"/>
    </xf>
    <xf numFmtId="0" fontId="2" fillId="0" borderId="13" xfId="3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2" fillId="0" borderId="32" xfId="3" applyFont="1" applyBorder="1" applyAlignment="1">
      <alignment horizontal="center" vertical="center" shrinkToFit="1"/>
    </xf>
    <xf numFmtId="0" fontId="2" fillId="0" borderId="0" xfId="3" applyFont="1" applyAlignment="1">
      <alignment horizontal="center" vertical="center" wrapText="1"/>
    </xf>
    <xf numFmtId="0" fontId="2" fillId="0" borderId="81" xfId="3" applyFont="1" applyBorder="1" applyAlignment="1">
      <alignment horizontal="distributed" vertical="center"/>
    </xf>
    <xf numFmtId="0" fontId="2" fillId="0" borderId="186" xfId="3" applyFont="1" applyBorder="1" applyAlignment="1">
      <alignment horizontal="distributed" vertical="center"/>
    </xf>
    <xf numFmtId="0" fontId="9" fillId="3" borderId="0" xfId="3" applyFont="1" applyFill="1" applyAlignment="1">
      <alignment vertical="center"/>
    </xf>
    <xf numFmtId="0" fontId="2" fillId="0" borderId="51" xfId="3" applyFont="1" applyBorder="1" applyAlignment="1">
      <alignment horizontal="center" vertical="center"/>
    </xf>
    <xf numFmtId="0" fontId="9" fillId="0" borderId="191" xfId="3" applyFont="1" applyBorder="1" applyAlignment="1">
      <alignment horizontal="distributed" vertical="center"/>
    </xf>
    <xf numFmtId="0" fontId="9" fillId="0" borderId="229" xfId="3" applyFont="1" applyBorder="1" applyAlignment="1">
      <alignment vertical="center" shrinkToFit="1"/>
    </xf>
    <xf numFmtId="0" fontId="2" fillId="0" borderId="84" xfId="3" applyFont="1" applyBorder="1" applyAlignment="1">
      <alignment horizontal="center" vertical="center" shrinkToFit="1"/>
    </xf>
    <xf numFmtId="0" fontId="9" fillId="0" borderId="17" xfId="3" applyFont="1" applyBorder="1" applyAlignment="1">
      <alignment vertical="center"/>
    </xf>
    <xf numFmtId="0" fontId="9" fillId="0" borderId="129" xfId="3" applyFont="1" applyBorder="1" applyAlignment="1">
      <alignment vertical="center"/>
    </xf>
    <xf numFmtId="0" fontId="9" fillId="0" borderId="173" xfId="3" applyFont="1" applyBorder="1" applyAlignment="1">
      <alignment vertical="center"/>
    </xf>
    <xf numFmtId="0" fontId="9" fillId="0" borderId="174" xfId="3" applyFont="1" applyBorder="1" applyAlignment="1">
      <alignment vertical="center"/>
    </xf>
    <xf numFmtId="0" fontId="2" fillId="0" borderId="19" xfId="3" applyFont="1" applyBorder="1" applyAlignment="1">
      <alignment vertical="center"/>
    </xf>
    <xf numFmtId="0" fontId="13" fillId="0" borderId="20" xfId="3" applyFont="1" applyBorder="1" applyAlignment="1">
      <alignment vertical="center"/>
    </xf>
    <xf numFmtId="0" fontId="2" fillId="0" borderId="20" xfId="3" applyFont="1" applyBorder="1" applyAlignment="1">
      <alignment vertical="center" justifyLastLine="1"/>
    </xf>
    <xf numFmtId="0" fontId="2" fillId="0" borderId="21" xfId="3" applyFont="1" applyBorder="1" applyAlignment="1">
      <alignment vertical="center"/>
    </xf>
    <xf numFmtId="0" fontId="2" fillId="0" borderId="175" xfId="3" applyFont="1" applyBorder="1" applyAlignment="1">
      <alignment vertical="center"/>
    </xf>
    <xf numFmtId="0" fontId="2" fillId="0" borderId="13" xfId="3" applyFont="1" applyBorder="1" applyAlignment="1">
      <alignment vertical="center"/>
    </xf>
    <xf numFmtId="0" fontId="2" fillId="0" borderId="18" xfId="3" applyFont="1" applyBorder="1" applyAlignment="1">
      <alignment vertical="center"/>
    </xf>
    <xf numFmtId="0" fontId="2" fillId="0" borderId="174" xfId="3" applyFont="1" applyBorder="1" applyAlignment="1">
      <alignment horizontal="left" vertical="center"/>
    </xf>
    <xf numFmtId="0" fontId="2" fillId="0" borderId="49" xfId="3" applyFont="1" applyBorder="1" applyAlignment="1">
      <alignment vertical="center"/>
    </xf>
    <xf numFmtId="0" fontId="2" fillId="0" borderId="235" xfId="3" applyFont="1" applyBorder="1" applyAlignment="1">
      <alignment horizontal="center" vertical="center"/>
    </xf>
    <xf numFmtId="0" fontId="2" fillId="0" borderId="236" xfId="3" applyFont="1" applyBorder="1" applyAlignment="1">
      <alignment horizontal="left" vertical="center"/>
    </xf>
    <xf numFmtId="0" fontId="2" fillId="0" borderId="54" xfId="3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68" xfId="3" applyFont="1" applyBorder="1" applyAlignment="1">
      <alignment vertical="center"/>
    </xf>
    <xf numFmtId="0" fontId="2" fillId="0" borderId="67" xfId="3" applyFont="1" applyBorder="1" applyAlignment="1">
      <alignment horizontal="left" vertical="center"/>
    </xf>
    <xf numFmtId="0" fontId="2" fillId="0" borderId="191" xfId="3" applyFont="1" applyBorder="1" applyAlignment="1">
      <alignment vertical="center"/>
    </xf>
    <xf numFmtId="0" fontId="11" fillId="0" borderId="12" xfId="3" applyFont="1" applyBorder="1" applyAlignment="1">
      <alignment vertical="center"/>
    </xf>
    <xf numFmtId="0" fontId="2" fillId="0" borderId="12" xfId="3" applyFont="1" applyBorder="1" applyAlignment="1">
      <alignment horizontal="distributed" vertical="center" wrapText="1"/>
    </xf>
    <xf numFmtId="0" fontId="2" fillId="0" borderId="12" xfId="3" applyFont="1" applyBorder="1" applyAlignment="1">
      <alignment vertical="center" wrapText="1"/>
    </xf>
    <xf numFmtId="0" fontId="21" fillId="0" borderId="12" xfId="3" applyFont="1" applyBorder="1" applyAlignment="1">
      <alignment vertical="center"/>
    </xf>
    <xf numFmtId="0" fontId="11" fillId="0" borderId="67" xfId="3" applyFont="1" applyBorder="1" applyAlignment="1">
      <alignment vertical="center"/>
    </xf>
    <xf numFmtId="0" fontId="2" fillId="0" borderId="12" xfId="3" applyFont="1" applyBorder="1" applyAlignment="1">
      <alignment horizontal="left" vertical="center"/>
    </xf>
    <xf numFmtId="0" fontId="12" fillId="0" borderId="17" xfId="3" applyFont="1" applyBorder="1" applyAlignment="1">
      <alignment horizontal="left" vertical="center"/>
    </xf>
    <xf numFmtId="0" fontId="2" fillId="0" borderId="79" xfId="3" applyFont="1" applyBorder="1" applyAlignment="1">
      <alignment horizontal="left" vertical="center"/>
    </xf>
    <xf numFmtId="0" fontId="2" fillId="0" borderId="125" xfId="3" applyFont="1" applyBorder="1" applyAlignment="1">
      <alignment horizontal="center" vertical="center"/>
    </xf>
    <xf numFmtId="0" fontId="2" fillId="0" borderId="173" xfId="3" applyFont="1" applyBorder="1" applyAlignment="1">
      <alignment vertical="center"/>
    </xf>
    <xf numFmtId="0" fontId="2" fillId="0" borderId="174" xfId="3" applyFont="1" applyBorder="1" applyAlignment="1">
      <alignment horizontal="distributed" vertical="center" wrapText="1"/>
    </xf>
    <xf numFmtId="0" fontId="2" fillId="0" borderId="174" xfId="3" applyFont="1" applyBorder="1" applyAlignment="1">
      <alignment vertical="center" wrapText="1"/>
    </xf>
    <xf numFmtId="0" fontId="2" fillId="0" borderId="0" xfId="3" applyFont="1" applyAlignment="1">
      <alignment horizontal="center" vertical="center" textRotation="255"/>
    </xf>
    <xf numFmtId="49" fontId="2" fillId="0" borderId="0" xfId="3" applyNumberFormat="1" applyFont="1" applyAlignment="1">
      <alignment vertical="center"/>
    </xf>
    <xf numFmtId="0" fontId="2" fillId="0" borderId="42" xfId="3" applyFont="1" applyBorder="1" applyAlignment="1">
      <alignment horizontal="center" vertical="center" textRotation="255"/>
    </xf>
    <xf numFmtId="49" fontId="2" fillId="0" borderId="42" xfId="3" applyNumberFormat="1" applyFont="1" applyBorder="1" applyAlignment="1">
      <alignment vertical="center"/>
    </xf>
    <xf numFmtId="0" fontId="2" fillId="0" borderId="19" xfId="3" applyFont="1" applyBorder="1" applyAlignment="1">
      <alignment horizontal="center" vertical="center" shrinkToFit="1"/>
    </xf>
    <xf numFmtId="0" fontId="2" fillId="0" borderId="187" xfId="3" applyFont="1" applyBorder="1" applyAlignment="1">
      <alignment horizontal="center" vertical="center"/>
    </xf>
    <xf numFmtId="0" fontId="2" fillId="0" borderId="189" xfId="3" applyFont="1" applyBorder="1" applyAlignment="1">
      <alignment horizontal="center" vertical="center" shrinkToFit="1"/>
    </xf>
    <xf numFmtId="0" fontId="2" fillId="0" borderId="238" xfId="3" applyFont="1" applyBorder="1" applyAlignment="1">
      <alignment horizontal="center" vertical="center" shrinkToFit="1"/>
    </xf>
    <xf numFmtId="0" fontId="2" fillId="3" borderId="87" xfId="3" applyFont="1" applyFill="1" applyBorder="1" applyAlignment="1">
      <alignment horizontal="center" vertical="center"/>
    </xf>
    <xf numFmtId="0" fontId="2" fillId="3" borderId="237" xfId="3" quotePrefix="1" applyFont="1" applyFill="1" applyBorder="1" applyAlignment="1">
      <alignment horizontal="center" vertical="center"/>
    </xf>
    <xf numFmtId="179" fontId="2" fillId="3" borderId="88" xfId="3" applyNumberFormat="1" applyFont="1" applyFill="1" applyBorder="1" applyAlignment="1">
      <alignment horizontal="center" vertical="center"/>
    </xf>
    <xf numFmtId="1" fontId="2" fillId="3" borderId="239" xfId="3" applyNumberFormat="1" applyFont="1" applyFill="1" applyBorder="1" applyAlignment="1">
      <alignment horizontal="center" vertical="center"/>
    </xf>
    <xf numFmtId="49" fontId="2" fillId="0" borderId="24" xfId="3" applyNumberFormat="1" applyFont="1" applyBorder="1" applyAlignment="1" applyProtection="1">
      <alignment horizontal="right" vertical="center"/>
      <protection locked="0"/>
    </xf>
    <xf numFmtId="49" fontId="2" fillId="0" borderId="25" xfId="3" applyNumberFormat="1" applyFont="1" applyBorder="1" applyAlignment="1" applyProtection="1">
      <alignment horizontal="right" vertical="center"/>
      <protection locked="0"/>
    </xf>
    <xf numFmtId="49" fontId="2" fillId="0" borderId="27" xfId="3" applyNumberFormat="1" applyFont="1" applyBorder="1" applyAlignment="1" applyProtection="1">
      <alignment horizontal="right" vertical="center"/>
      <protection locked="0"/>
    </xf>
    <xf numFmtId="49" fontId="2" fillId="3" borderId="23" xfId="3" applyNumberFormat="1" applyFont="1" applyFill="1" applyBorder="1" applyAlignment="1">
      <alignment horizontal="right" vertical="center"/>
    </xf>
    <xf numFmtId="49" fontId="2" fillId="3" borderId="22" xfId="3" applyNumberFormat="1" applyFont="1" applyFill="1" applyBorder="1" applyAlignment="1">
      <alignment horizontal="right" vertical="center"/>
    </xf>
    <xf numFmtId="49" fontId="2" fillId="3" borderId="92" xfId="3" applyNumberFormat="1" applyFont="1" applyFill="1" applyBorder="1" applyAlignment="1">
      <alignment horizontal="right" vertical="center"/>
    </xf>
    <xf numFmtId="49" fontId="2" fillId="0" borderId="26" xfId="3" applyNumberFormat="1" applyFont="1" applyBorder="1" applyAlignment="1" applyProtection="1">
      <alignment horizontal="right" vertical="center"/>
      <protection locked="0"/>
    </xf>
    <xf numFmtId="49" fontId="2" fillId="0" borderId="34" xfId="3" applyNumberFormat="1" applyFont="1" applyBorder="1" applyAlignment="1" applyProtection="1">
      <alignment horizontal="right" vertical="center"/>
      <protection locked="0"/>
    </xf>
    <xf numFmtId="49" fontId="2" fillId="0" borderId="33" xfId="3" applyNumberFormat="1" applyFont="1" applyBorder="1" applyAlignment="1" applyProtection="1">
      <alignment horizontal="right" vertical="center"/>
      <protection locked="0"/>
    </xf>
    <xf numFmtId="49" fontId="2" fillId="0" borderId="35" xfId="3" applyNumberFormat="1" applyFont="1" applyBorder="1" applyAlignment="1" applyProtection="1">
      <alignment horizontal="right" vertical="center"/>
      <protection locked="0"/>
    </xf>
    <xf numFmtId="49" fontId="2" fillId="0" borderId="233" xfId="3" applyNumberFormat="1" applyFont="1" applyBorder="1" applyAlignment="1" applyProtection="1">
      <alignment horizontal="right" vertical="center"/>
      <protection locked="0"/>
    </xf>
    <xf numFmtId="49" fontId="2" fillId="0" borderId="60" xfId="3" applyNumberFormat="1" applyFont="1" applyBorder="1" applyAlignment="1" applyProtection="1">
      <alignment horizontal="right" vertical="center"/>
      <protection locked="0"/>
    </xf>
    <xf numFmtId="49" fontId="2" fillId="0" borderId="234" xfId="3" applyNumberFormat="1" applyFont="1" applyBorder="1" applyAlignment="1" applyProtection="1">
      <alignment horizontal="right" vertical="center"/>
      <protection locked="0"/>
    </xf>
    <xf numFmtId="49" fontId="2" fillId="3" borderId="36" xfId="3" applyNumberFormat="1" applyFont="1" applyFill="1" applyBorder="1" applyAlignment="1">
      <alignment horizontal="right" vertical="center"/>
    </xf>
    <xf numFmtId="49" fontId="2" fillId="0" borderId="37" xfId="3" applyNumberFormat="1" applyFont="1" applyBorder="1" applyAlignment="1" applyProtection="1">
      <alignment horizontal="right" vertical="center"/>
      <protection locked="0"/>
    </xf>
    <xf numFmtId="49" fontId="2" fillId="0" borderId="30" xfId="3" applyNumberFormat="1" applyFont="1" applyBorder="1" applyAlignment="1" applyProtection="1">
      <alignment horizontal="right" vertical="center"/>
      <protection locked="0"/>
    </xf>
    <xf numFmtId="49" fontId="2" fillId="0" borderId="29" xfId="3" applyNumberFormat="1" applyFont="1" applyBorder="1" applyAlignment="1" applyProtection="1">
      <alignment horizontal="right" vertical="center"/>
      <protection locked="0"/>
    </xf>
    <xf numFmtId="49" fontId="2" fillId="0" borderId="39" xfId="3" applyNumberFormat="1" applyFont="1" applyBorder="1" applyAlignment="1" applyProtection="1">
      <alignment horizontal="right" vertical="center"/>
      <protection locked="0"/>
    </xf>
    <xf numFmtId="49" fontId="2" fillId="0" borderId="23" xfId="3" applyNumberFormat="1" applyFont="1" applyBorder="1" applyAlignment="1" applyProtection="1">
      <alignment horizontal="right" vertical="center"/>
      <protection locked="0"/>
    </xf>
    <xf numFmtId="49" fontId="2" fillId="0" borderId="22" xfId="3" applyNumberFormat="1" applyFont="1" applyBorder="1" applyAlignment="1" applyProtection="1">
      <alignment horizontal="right" vertical="center"/>
      <protection locked="0"/>
    </xf>
    <xf numFmtId="49" fontId="2" fillId="0" borderId="92" xfId="3" applyNumberFormat="1" applyFont="1" applyBorder="1" applyAlignment="1" applyProtection="1">
      <alignment horizontal="right" vertical="center"/>
      <protection locked="0"/>
    </xf>
    <xf numFmtId="49" fontId="2" fillId="3" borderId="26" xfId="3" applyNumberFormat="1" applyFont="1" applyFill="1" applyBorder="1" applyAlignment="1">
      <alignment horizontal="right" vertical="center"/>
    </xf>
    <xf numFmtId="49" fontId="2" fillId="3" borderId="25" xfId="3" applyNumberFormat="1" applyFont="1" applyFill="1" applyBorder="1" applyAlignment="1">
      <alignment horizontal="right" vertical="center"/>
    </xf>
    <xf numFmtId="49" fontId="2" fillId="3" borderId="37" xfId="3" applyNumberFormat="1" applyFont="1" applyFill="1" applyBorder="1" applyAlignment="1">
      <alignment horizontal="right" vertical="center"/>
    </xf>
    <xf numFmtId="49" fontId="2" fillId="3" borderId="34" xfId="3" applyNumberFormat="1" applyFont="1" applyFill="1" applyBorder="1" applyAlignment="1">
      <alignment horizontal="right" vertical="center"/>
    </xf>
    <xf numFmtId="49" fontId="2" fillId="3" borderId="33" xfId="3" applyNumberFormat="1" applyFont="1" applyFill="1" applyBorder="1" applyAlignment="1">
      <alignment horizontal="right" vertical="center"/>
    </xf>
    <xf numFmtId="49" fontId="2" fillId="3" borderId="44" xfId="3" applyNumberFormat="1" applyFont="1" applyFill="1" applyBorder="1" applyAlignment="1">
      <alignment horizontal="right" vertical="center"/>
    </xf>
    <xf numFmtId="49" fontId="2" fillId="0" borderId="152" xfId="3" applyNumberFormat="1" applyFont="1" applyBorder="1" applyAlignment="1" applyProtection="1">
      <alignment horizontal="right" vertical="center"/>
      <protection locked="0"/>
    </xf>
    <xf numFmtId="49" fontId="2" fillId="0" borderId="153" xfId="3" applyNumberFormat="1" applyFont="1" applyBorder="1" applyAlignment="1" applyProtection="1">
      <alignment horizontal="right" vertical="center"/>
      <protection locked="0"/>
    </xf>
    <xf numFmtId="49" fontId="2" fillId="0" borderId="154" xfId="3" applyNumberFormat="1" applyFont="1" applyBorder="1" applyAlignment="1" applyProtection="1">
      <alignment horizontal="right" vertical="center"/>
      <protection locked="0"/>
    </xf>
    <xf numFmtId="49" fontId="2" fillId="0" borderId="242" xfId="3" applyNumberFormat="1" applyFont="1" applyBorder="1" applyAlignment="1" applyProtection="1">
      <alignment horizontal="right" vertical="center"/>
      <protection locked="0"/>
    </xf>
    <xf numFmtId="49" fontId="2" fillId="0" borderId="167" xfId="3" applyNumberFormat="1" applyFont="1" applyBorder="1" applyAlignment="1" applyProtection="1">
      <alignment horizontal="right" vertical="center"/>
      <protection locked="0"/>
    </xf>
    <xf numFmtId="49" fontId="2" fillId="0" borderId="168" xfId="3" applyNumberFormat="1" applyFont="1" applyBorder="1" applyAlignment="1" applyProtection="1">
      <alignment horizontal="right" vertical="center"/>
      <protection locked="0"/>
    </xf>
    <xf numFmtId="49" fontId="2" fillId="0" borderId="110" xfId="3" applyNumberFormat="1" applyFont="1" applyBorder="1" applyAlignment="1" applyProtection="1">
      <alignment horizontal="right" vertical="center"/>
      <protection locked="0"/>
    </xf>
    <xf numFmtId="49" fontId="0" fillId="0" borderId="95" xfId="0" applyNumberFormat="1" applyBorder="1" applyAlignment="1" applyProtection="1">
      <alignment horizontal="right" vertical="center"/>
      <protection locked="0"/>
    </xf>
    <xf numFmtId="49" fontId="0" fillId="0" borderId="96" xfId="0" applyNumberFormat="1" applyBorder="1" applyAlignment="1" applyProtection="1">
      <alignment horizontal="right" vertical="center"/>
      <protection locked="0"/>
    </xf>
    <xf numFmtId="49" fontId="2" fillId="0" borderId="141" xfId="3" applyNumberFormat="1" applyFont="1" applyBorder="1" applyAlignment="1" applyProtection="1">
      <alignment horizontal="right" vertical="center"/>
      <protection locked="0"/>
    </xf>
    <xf numFmtId="49" fontId="0" fillId="0" borderId="142" xfId="0" applyNumberFormat="1" applyBorder="1" applyAlignment="1" applyProtection="1">
      <alignment horizontal="right" vertical="center"/>
      <protection locked="0"/>
    </xf>
    <xf numFmtId="49" fontId="0" fillId="0" borderId="243" xfId="0" applyNumberFormat="1" applyBorder="1" applyAlignment="1" applyProtection="1">
      <alignment horizontal="right" vertical="center"/>
      <protection locked="0"/>
    </xf>
    <xf numFmtId="49" fontId="2" fillId="0" borderId="146" xfId="3" applyNumberFormat="1" applyFont="1" applyBorder="1" applyAlignment="1" applyProtection="1">
      <alignment horizontal="right" vertical="center"/>
      <protection locked="0"/>
    </xf>
    <xf numFmtId="49" fontId="2" fillId="0" borderId="244" xfId="3" applyNumberFormat="1" applyFont="1" applyBorder="1" applyAlignment="1" applyProtection="1">
      <alignment horizontal="right" vertical="center"/>
      <protection locked="0"/>
    </xf>
    <xf numFmtId="49" fontId="2" fillId="0" borderId="245" xfId="3" applyNumberFormat="1" applyFont="1" applyBorder="1" applyAlignment="1" applyProtection="1">
      <alignment horizontal="right" vertical="center"/>
      <protection locked="0"/>
    </xf>
    <xf numFmtId="49" fontId="2" fillId="0" borderId="170" xfId="3" applyNumberFormat="1" applyFont="1" applyBorder="1" applyAlignment="1" applyProtection="1">
      <alignment horizontal="right" vertical="center"/>
      <protection locked="0"/>
    </xf>
    <xf numFmtId="49" fontId="2" fillId="0" borderId="142" xfId="3" applyNumberFormat="1" applyFont="1" applyBorder="1" applyAlignment="1" applyProtection="1">
      <alignment horizontal="right" vertical="center"/>
      <protection locked="0"/>
    </xf>
    <xf numFmtId="49" fontId="2" fillId="0" borderId="143" xfId="3" applyNumberFormat="1" applyFont="1" applyBorder="1" applyAlignment="1" applyProtection="1">
      <alignment horizontal="right" vertical="center"/>
      <protection locked="0"/>
    </xf>
    <xf numFmtId="49" fontId="2" fillId="0" borderId="246" xfId="3" applyNumberFormat="1" applyFont="1" applyBorder="1" applyAlignment="1" applyProtection="1">
      <alignment horizontal="right" vertical="center"/>
      <protection locked="0"/>
    </xf>
    <xf numFmtId="49" fontId="2" fillId="0" borderId="95" xfId="3" applyNumberFormat="1" applyFont="1" applyBorder="1" applyAlignment="1" applyProtection="1">
      <alignment horizontal="right" vertical="center"/>
      <protection locked="0"/>
    </xf>
    <xf numFmtId="49" fontId="2" fillId="0" borderId="111" xfId="3" applyNumberFormat="1" applyFont="1" applyBorder="1" applyAlignment="1" applyProtection="1">
      <alignment horizontal="right" vertical="center"/>
      <protection locked="0"/>
    </xf>
    <xf numFmtId="49" fontId="2" fillId="3" borderId="110" xfId="3" applyNumberFormat="1" applyFont="1" applyFill="1" applyBorder="1" applyAlignment="1">
      <alignment horizontal="right" vertical="center"/>
    </xf>
    <xf numFmtId="49" fontId="2" fillId="3" borderId="95" xfId="3" applyNumberFormat="1" applyFont="1" applyFill="1" applyBorder="1" applyAlignment="1">
      <alignment horizontal="right" vertical="center"/>
    </xf>
    <xf numFmtId="49" fontId="2" fillId="3" borderId="111" xfId="3" applyNumberFormat="1" applyFont="1" applyFill="1" applyBorder="1" applyAlignment="1">
      <alignment horizontal="right" vertical="center"/>
    </xf>
    <xf numFmtId="49" fontId="2" fillId="0" borderId="259" xfId="3" applyNumberFormat="1" applyFont="1" applyBorder="1" applyAlignment="1" applyProtection="1">
      <alignment horizontal="right" vertical="center"/>
      <protection locked="0"/>
    </xf>
    <xf numFmtId="49" fontId="2" fillId="0" borderId="97" xfId="3" applyNumberFormat="1" applyFont="1" applyBorder="1" applyAlignment="1" applyProtection="1">
      <alignment horizontal="right" vertical="center"/>
      <protection locked="0"/>
    </xf>
    <xf numFmtId="49" fontId="2" fillId="0" borderId="260" xfId="3" applyNumberFormat="1" applyFont="1" applyBorder="1" applyAlignment="1" applyProtection="1">
      <alignment horizontal="right" vertical="center"/>
      <protection locked="0"/>
    </xf>
    <xf numFmtId="49" fontId="2" fillId="0" borderId="136" xfId="3" applyNumberFormat="1" applyFont="1" applyBorder="1" applyAlignment="1" applyProtection="1">
      <alignment horizontal="right" vertical="center"/>
      <protection locked="0"/>
    </xf>
    <xf numFmtId="49" fontId="2" fillId="0" borderId="104" xfId="3" applyNumberFormat="1" applyFont="1" applyBorder="1" applyAlignment="1" applyProtection="1">
      <alignment horizontal="right" vertical="center"/>
      <protection locked="0"/>
    </xf>
    <xf numFmtId="49" fontId="2" fillId="0" borderId="105" xfId="3" applyNumberFormat="1" applyFont="1" applyBorder="1" applyAlignment="1" applyProtection="1">
      <alignment horizontal="right" vertical="center"/>
      <protection locked="0"/>
    </xf>
    <xf numFmtId="49" fontId="2" fillId="0" borderId="106" xfId="3" applyNumberFormat="1" applyFont="1" applyBorder="1" applyAlignment="1" applyProtection="1">
      <alignment horizontal="right" vertical="center"/>
      <protection locked="0"/>
    </xf>
    <xf numFmtId="49" fontId="2" fillId="3" borderId="240" xfId="3" applyNumberFormat="1" applyFont="1" applyFill="1" applyBorder="1" applyAlignment="1">
      <alignment horizontal="right" vertical="center"/>
    </xf>
    <xf numFmtId="49" fontId="2" fillId="3" borderId="167" xfId="3" applyNumberFormat="1" applyFont="1" applyFill="1" applyBorder="1" applyAlignment="1">
      <alignment horizontal="right" vertical="center"/>
    </xf>
    <xf numFmtId="49" fontId="2" fillId="3" borderId="170" xfId="3" applyNumberFormat="1" applyFont="1" applyFill="1" applyBorder="1" applyAlignment="1">
      <alignment horizontal="right" vertical="center"/>
    </xf>
    <xf numFmtId="49" fontId="2" fillId="3" borderId="27" xfId="3" applyNumberFormat="1" applyFont="1" applyFill="1" applyBorder="1" applyAlignment="1">
      <alignment horizontal="right" vertical="center"/>
    </xf>
    <xf numFmtId="49" fontId="2" fillId="0" borderId="44" xfId="3" applyNumberFormat="1" applyFont="1" applyBorder="1" applyAlignment="1" applyProtection="1">
      <alignment horizontal="right" vertical="center"/>
      <protection locked="0"/>
    </xf>
    <xf numFmtId="49" fontId="2" fillId="0" borderId="31" xfId="3" applyNumberFormat="1" applyFont="1" applyBorder="1" applyAlignment="1" applyProtection="1">
      <alignment horizontal="right" vertical="center"/>
      <protection locked="0"/>
    </xf>
    <xf numFmtId="0" fontId="2" fillId="0" borderId="32" xfId="3" applyFont="1" applyBorder="1" applyAlignment="1">
      <alignment horizontal="distributed" vertical="center"/>
    </xf>
    <xf numFmtId="0" fontId="2" fillId="0" borderId="25" xfId="3" applyFont="1" applyBorder="1" applyAlignment="1">
      <alignment horizontal="distributed" vertical="center"/>
    </xf>
    <xf numFmtId="0" fontId="2" fillId="0" borderId="37" xfId="3" applyFont="1" applyBorder="1" applyAlignment="1">
      <alignment horizontal="distributed" vertical="center"/>
    </xf>
    <xf numFmtId="49" fontId="2" fillId="3" borderId="35" xfId="3" applyNumberFormat="1" applyFont="1" applyFill="1" applyBorder="1" applyAlignment="1">
      <alignment horizontal="right" vertical="center"/>
    </xf>
    <xf numFmtId="49" fontId="2" fillId="0" borderId="119" xfId="3" applyNumberFormat="1" applyFont="1" applyBorder="1" applyAlignment="1" applyProtection="1">
      <alignment horizontal="right" vertical="center"/>
      <protection locked="0"/>
    </xf>
    <xf numFmtId="49" fontId="2" fillId="0" borderId="117" xfId="3" applyNumberFormat="1" applyFont="1" applyBorder="1" applyAlignment="1" applyProtection="1">
      <alignment horizontal="right" vertical="center"/>
      <protection locked="0"/>
    </xf>
    <xf numFmtId="49" fontId="2" fillId="0" borderId="120" xfId="3" applyNumberFormat="1" applyFont="1" applyBorder="1" applyAlignment="1" applyProtection="1">
      <alignment horizontal="right" vertical="center"/>
      <protection locked="0"/>
    </xf>
    <xf numFmtId="49" fontId="2" fillId="0" borderId="3" xfId="3" applyNumberFormat="1" applyFont="1" applyBorder="1" applyAlignment="1" applyProtection="1">
      <alignment horizontal="right" vertical="center"/>
      <protection locked="0"/>
    </xf>
    <xf numFmtId="49" fontId="2" fillId="0" borderId="1" xfId="3" applyNumberFormat="1" applyFont="1" applyBorder="1" applyAlignment="1" applyProtection="1">
      <alignment horizontal="right" vertical="center"/>
      <protection locked="0"/>
    </xf>
    <xf numFmtId="49" fontId="2" fillId="0" borderId="241" xfId="3" applyNumberFormat="1" applyFont="1" applyBorder="1" applyAlignment="1" applyProtection="1">
      <alignment horizontal="right" vertical="center"/>
      <protection locked="0"/>
    </xf>
    <xf numFmtId="49" fontId="2" fillId="3" borderId="240" xfId="3" applyNumberFormat="1" applyFont="1" applyFill="1" applyBorder="1" applyAlignment="1">
      <alignment horizontal="right" vertical="center" shrinkToFit="1"/>
    </xf>
    <xf numFmtId="49" fontId="2" fillId="3" borderId="167" xfId="3" applyNumberFormat="1" applyFont="1" applyFill="1" applyBorder="1" applyAlignment="1">
      <alignment horizontal="right" vertical="center" shrinkToFit="1"/>
    </xf>
    <xf numFmtId="49" fontId="2" fillId="3" borderId="170" xfId="3" applyNumberFormat="1" applyFont="1" applyFill="1" applyBorder="1" applyAlignment="1">
      <alignment horizontal="right" vertical="center" shrinkToFit="1"/>
    </xf>
    <xf numFmtId="49" fontId="2" fillId="3" borderId="136" xfId="3" applyNumberFormat="1" applyFont="1" applyFill="1" applyBorder="1" applyAlignment="1">
      <alignment horizontal="right" vertical="center"/>
    </xf>
    <xf numFmtId="49" fontId="2" fillId="3" borderId="104" xfId="3" applyNumberFormat="1" applyFont="1" applyFill="1" applyBorder="1" applyAlignment="1">
      <alignment horizontal="right" vertical="center"/>
    </xf>
    <xf numFmtId="49" fontId="2" fillId="3" borderId="105" xfId="3" applyNumberFormat="1" applyFont="1" applyFill="1" applyBorder="1" applyAlignment="1">
      <alignment horizontal="right" vertical="center"/>
    </xf>
    <xf numFmtId="49" fontId="2" fillId="3" borderId="106" xfId="3" applyNumberFormat="1" applyFont="1" applyFill="1" applyBorder="1" applyAlignment="1">
      <alignment horizontal="right" vertical="center"/>
    </xf>
    <xf numFmtId="49" fontId="2" fillId="3" borderId="136" xfId="3" applyNumberFormat="1" applyFont="1" applyFill="1" applyBorder="1" applyAlignment="1">
      <alignment horizontal="right" vertical="center" shrinkToFit="1"/>
    </xf>
    <xf numFmtId="49" fontId="2" fillId="3" borderId="95" xfId="3" applyNumberFormat="1" applyFont="1" applyFill="1" applyBorder="1" applyAlignment="1">
      <alignment horizontal="right" vertical="center" shrinkToFit="1"/>
    </xf>
    <xf numFmtId="49" fontId="2" fillId="3" borderId="111" xfId="3" applyNumberFormat="1" applyFont="1" applyFill="1" applyBorder="1" applyAlignment="1">
      <alignment horizontal="right" vertical="center" shrinkToFit="1"/>
    </xf>
    <xf numFmtId="49" fontId="2" fillId="3" borderId="150" xfId="3" applyNumberFormat="1" applyFont="1" applyFill="1" applyBorder="1" applyAlignment="1">
      <alignment horizontal="right" vertical="center"/>
    </xf>
    <xf numFmtId="49" fontId="2" fillId="3" borderId="153" xfId="3" applyNumberFormat="1" applyFont="1" applyFill="1" applyBorder="1" applyAlignment="1">
      <alignment horizontal="right" vertical="center"/>
    </xf>
    <xf numFmtId="49" fontId="2" fillId="3" borderId="154" xfId="3" applyNumberFormat="1" applyFont="1" applyFill="1" applyBorder="1" applyAlignment="1">
      <alignment horizontal="right" vertical="center"/>
    </xf>
    <xf numFmtId="49" fontId="2" fillId="3" borderId="23" xfId="3" applyNumberFormat="1" applyFont="1" applyFill="1" applyBorder="1" applyAlignment="1">
      <alignment horizontal="right" vertical="center" shrinkToFit="1"/>
    </xf>
    <xf numFmtId="49" fontId="2" fillId="3" borderId="22" xfId="3" applyNumberFormat="1" applyFont="1" applyFill="1" applyBorder="1" applyAlignment="1">
      <alignment horizontal="right" vertical="center" shrinkToFit="1"/>
    </xf>
    <xf numFmtId="49" fontId="2" fillId="3" borderId="92" xfId="3" applyNumberFormat="1" applyFont="1" applyFill="1" applyBorder="1" applyAlignment="1">
      <alignment horizontal="right" vertical="center" shrinkToFit="1"/>
    </xf>
    <xf numFmtId="49" fontId="2" fillId="3" borderId="26" xfId="3" applyNumberFormat="1" applyFont="1" applyFill="1" applyBorder="1" applyAlignment="1">
      <alignment horizontal="right" vertical="center" shrinkToFit="1"/>
    </xf>
    <xf numFmtId="49" fontId="2" fillId="3" borderId="25" xfId="3" applyNumberFormat="1" applyFont="1" applyFill="1" applyBorder="1" applyAlignment="1">
      <alignment horizontal="right" vertical="center" shrinkToFit="1"/>
    </xf>
    <xf numFmtId="49" fontId="2" fillId="3" borderId="27" xfId="3" applyNumberFormat="1" applyFont="1" applyFill="1" applyBorder="1" applyAlignment="1">
      <alignment horizontal="right" vertical="center" shrinkToFit="1"/>
    </xf>
    <xf numFmtId="49" fontId="2" fillId="0" borderId="26" xfId="3" applyNumberFormat="1" applyFont="1" applyBorder="1" applyAlignment="1" applyProtection="1">
      <alignment horizontal="right" vertical="center" shrinkToFit="1"/>
      <protection locked="0"/>
    </xf>
    <xf numFmtId="49" fontId="2" fillId="0" borderId="25" xfId="3" applyNumberFormat="1" applyFont="1" applyBorder="1" applyAlignment="1" applyProtection="1">
      <alignment horizontal="right" vertical="center" shrinkToFit="1"/>
      <protection locked="0"/>
    </xf>
    <xf numFmtId="49" fontId="2" fillId="0" borderId="27" xfId="3" applyNumberFormat="1" applyFont="1" applyBorder="1" applyAlignment="1" applyProtection="1">
      <alignment horizontal="right" vertical="center" shrinkToFit="1"/>
      <protection locked="0"/>
    </xf>
    <xf numFmtId="49" fontId="2" fillId="0" borderId="34" xfId="3" applyNumberFormat="1" applyFont="1" applyBorder="1" applyAlignment="1" applyProtection="1">
      <alignment horizontal="right" vertical="center" shrinkToFit="1"/>
      <protection locked="0"/>
    </xf>
    <xf numFmtId="49" fontId="2" fillId="0" borderId="33" xfId="3" applyNumberFormat="1" applyFont="1" applyBorder="1" applyAlignment="1" applyProtection="1">
      <alignment horizontal="right" vertical="center" shrinkToFit="1"/>
      <protection locked="0"/>
    </xf>
    <xf numFmtId="49" fontId="2" fillId="0" borderId="35" xfId="3" applyNumberFormat="1" applyFont="1" applyBorder="1" applyAlignment="1" applyProtection="1">
      <alignment horizontal="right" vertical="center" shrinkToFit="1"/>
      <protection locked="0"/>
    </xf>
    <xf numFmtId="49" fontId="2" fillId="3" borderId="30" xfId="3" applyNumberFormat="1" applyFont="1" applyFill="1" applyBorder="1" applyAlignment="1">
      <alignment horizontal="right" vertical="center" shrinkToFit="1"/>
    </xf>
    <xf numFmtId="49" fontId="2" fillId="3" borderId="29" xfId="3" applyNumberFormat="1" applyFont="1" applyFill="1" applyBorder="1" applyAlignment="1">
      <alignment horizontal="right" vertical="center" shrinkToFit="1"/>
    </xf>
    <xf numFmtId="49" fontId="2" fillId="3" borderId="31" xfId="3" applyNumberFormat="1" applyFont="1" applyFill="1" applyBorder="1" applyAlignment="1">
      <alignment horizontal="right" vertical="center" shrinkToFit="1"/>
    </xf>
    <xf numFmtId="49" fontId="2" fillId="3" borderId="30" xfId="3" applyNumberFormat="1" applyFont="1" applyFill="1" applyBorder="1" applyAlignment="1">
      <alignment horizontal="right" vertical="center"/>
    </xf>
    <xf numFmtId="49" fontId="2" fillId="3" borderId="29" xfId="3" applyNumberFormat="1" applyFont="1" applyFill="1" applyBorder="1" applyAlignment="1">
      <alignment horizontal="right" vertical="center"/>
    </xf>
    <xf numFmtId="49" fontId="2" fillId="3" borderId="31" xfId="3" applyNumberFormat="1" applyFont="1" applyFill="1" applyBorder="1" applyAlignment="1">
      <alignment horizontal="right" vertical="center"/>
    </xf>
    <xf numFmtId="49" fontId="2" fillId="3" borderId="5" xfId="3" applyNumberFormat="1" applyFont="1" applyFill="1" applyBorder="1" applyAlignment="1">
      <alignment horizontal="right" vertical="center" shrinkToFit="1"/>
    </xf>
    <xf numFmtId="49" fontId="2" fillId="3" borderId="4" xfId="3" applyNumberFormat="1" applyFont="1" applyFill="1" applyBorder="1" applyAlignment="1">
      <alignment horizontal="right" vertical="center" shrinkToFit="1"/>
    </xf>
    <xf numFmtId="49" fontId="2" fillId="3" borderId="18" xfId="3" applyNumberFormat="1" applyFont="1" applyFill="1" applyBorder="1" applyAlignment="1">
      <alignment horizontal="right" vertical="center" shrinkToFit="1"/>
    </xf>
    <xf numFmtId="49" fontId="2" fillId="3" borderId="34" xfId="3" applyNumberFormat="1" applyFont="1" applyFill="1" applyBorder="1" applyAlignment="1">
      <alignment horizontal="right" vertical="center" shrinkToFit="1"/>
    </xf>
    <xf numFmtId="49" fontId="2" fillId="3" borderId="33" xfId="3" applyNumberFormat="1" applyFont="1" applyFill="1" applyBorder="1" applyAlignment="1">
      <alignment horizontal="right" vertical="center" shrinkToFit="1"/>
    </xf>
    <xf numFmtId="49" fontId="2" fillId="3" borderId="35" xfId="3" applyNumberFormat="1" applyFont="1" applyFill="1" applyBorder="1" applyAlignment="1">
      <alignment horizontal="right" vertical="center" shrinkToFit="1"/>
    </xf>
    <xf numFmtId="49" fontId="2" fillId="3" borderId="90" xfId="3" applyNumberFormat="1" applyFont="1" applyFill="1" applyBorder="1" applyAlignment="1">
      <alignment horizontal="right" vertical="center"/>
    </xf>
    <xf numFmtId="49" fontId="2" fillId="3" borderId="88" xfId="3" applyNumberFormat="1" applyFont="1" applyFill="1" applyBorder="1" applyAlignment="1">
      <alignment horizontal="right" vertical="center"/>
    </xf>
    <xf numFmtId="49" fontId="2" fillId="3" borderId="91" xfId="3" applyNumberFormat="1" applyFont="1" applyFill="1" applyBorder="1" applyAlignment="1">
      <alignment horizontal="right" vertical="center"/>
    </xf>
    <xf numFmtId="49" fontId="2" fillId="0" borderId="23" xfId="3" applyNumberFormat="1" applyFont="1" applyBorder="1" applyAlignment="1" applyProtection="1">
      <alignment horizontal="right" vertical="center" shrinkToFit="1"/>
      <protection locked="0"/>
    </xf>
    <xf numFmtId="49" fontId="2" fillId="0" borderId="22" xfId="3" applyNumberFormat="1" applyFont="1" applyBorder="1" applyAlignment="1" applyProtection="1">
      <alignment horizontal="right" vertical="center" shrinkToFit="1"/>
      <protection locked="0"/>
    </xf>
    <xf numFmtId="49" fontId="2" fillId="0" borderId="92" xfId="3" applyNumberFormat="1" applyFont="1" applyBorder="1" applyAlignment="1" applyProtection="1">
      <alignment horizontal="right" vertical="center" shrinkToFit="1"/>
      <protection locked="0"/>
    </xf>
    <xf numFmtId="49" fontId="11" fillId="0" borderId="19" xfId="3" applyNumberFormat="1" applyFont="1" applyBorder="1" applyAlignment="1">
      <alignment horizontal="left" vertical="center"/>
    </xf>
    <xf numFmtId="49" fontId="11" fillId="0" borderId="20" xfId="3" applyNumberFormat="1" applyFont="1" applyBorder="1" applyAlignment="1">
      <alignment horizontal="left" vertical="center"/>
    </xf>
    <xf numFmtId="49" fontId="11" fillId="0" borderId="21" xfId="3" applyNumberFormat="1" applyFont="1" applyBorder="1" applyAlignment="1">
      <alignment horizontal="left" vertical="center"/>
    </xf>
    <xf numFmtId="49" fontId="2" fillId="0" borderId="24" xfId="3" applyNumberFormat="1" applyFont="1" applyBorder="1" applyAlignment="1">
      <alignment horizontal="distributed" vertical="center" shrinkToFit="1"/>
    </xf>
    <xf numFmtId="49" fontId="2" fillId="0" borderId="25" xfId="3" applyNumberFormat="1" applyFont="1" applyBorder="1" applyAlignment="1">
      <alignment horizontal="distributed" vertical="center" shrinkToFit="1"/>
    </xf>
    <xf numFmtId="49" fontId="2" fillId="0" borderId="157" xfId="3" applyNumberFormat="1" applyFont="1" applyBorder="1" applyAlignment="1">
      <alignment horizontal="distributed" vertical="center" shrinkToFit="1"/>
    </xf>
    <xf numFmtId="49" fontId="2" fillId="0" borderId="90" xfId="3" applyNumberFormat="1" applyFont="1" applyBorder="1" applyAlignment="1" applyProtection="1">
      <alignment horizontal="center" vertical="center"/>
      <protection locked="0"/>
    </xf>
    <xf numFmtId="49" fontId="2" fillId="0" borderId="88" xfId="3" applyNumberFormat="1" applyFont="1" applyBorder="1" applyAlignment="1" applyProtection="1">
      <alignment horizontal="center" vertical="center"/>
      <protection locked="0"/>
    </xf>
    <xf numFmtId="49" fontId="2" fillId="0" borderId="89" xfId="3" applyNumberFormat="1" applyFont="1" applyBorder="1" applyAlignment="1" applyProtection="1">
      <alignment horizontal="center" vertical="center"/>
      <protection locked="0"/>
    </xf>
    <xf numFmtId="0" fontId="2" fillId="0" borderId="90" xfId="3" applyFont="1" applyBorder="1" applyAlignment="1" applyProtection="1">
      <alignment horizontal="center" vertical="center"/>
      <protection locked="0"/>
    </xf>
    <xf numFmtId="0" fontId="2" fillId="0" borderId="88" xfId="3" applyFont="1" applyBorder="1" applyAlignment="1" applyProtection="1">
      <alignment horizontal="center" vertical="center"/>
      <protection locked="0"/>
    </xf>
    <xf numFmtId="0" fontId="2" fillId="0" borderId="89" xfId="3" applyFont="1" applyBorder="1" applyAlignment="1" applyProtection="1">
      <alignment horizontal="center" vertical="center"/>
      <protection locked="0"/>
    </xf>
    <xf numFmtId="0" fontId="2" fillId="2" borderId="90" xfId="3" applyFont="1" applyFill="1" applyBorder="1" applyAlignment="1">
      <alignment horizontal="center" vertical="center"/>
    </xf>
    <xf numFmtId="0" fontId="2" fillId="2" borderId="88" xfId="3" applyFont="1" applyFill="1" applyBorder="1" applyAlignment="1">
      <alignment horizontal="center" vertical="center"/>
    </xf>
    <xf numFmtId="0" fontId="2" fillId="2" borderId="89" xfId="3" applyFont="1" applyFill="1" applyBorder="1" applyAlignment="1">
      <alignment horizontal="center" vertical="center"/>
    </xf>
    <xf numFmtId="0" fontId="2" fillId="0" borderId="91" xfId="3" applyFont="1" applyBorder="1" applyAlignment="1" applyProtection="1">
      <alignment horizontal="center" vertical="center"/>
      <protection locked="0"/>
    </xf>
    <xf numFmtId="0" fontId="2" fillId="0" borderId="93" xfId="3" applyFont="1" applyBorder="1" applyAlignment="1">
      <alignment horizontal="center" vertical="center"/>
    </xf>
    <xf numFmtId="0" fontId="2" fillId="0" borderId="9" xfId="3" applyFont="1" applyBorder="1" applyAlignment="1">
      <alignment horizontal="center" vertical="center"/>
    </xf>
    <xf numFmtId="0" fontId="2" fillId="0" borderId="10" xfId="3" applyFont="1" applyBorder="1" applyAlignment="1">
      <alignment horizontal="center" vertical="center"/>
    </xf>
    <xf numFmtId="0" fontId="2" fillId="0" borderId="93" xfId="3" applyFont="1" applyBorder="1" applyAlignment="1">
      <alignment horizontal="distributed" vertical="distributed"/>
    </xf>
    <xf numFmtId="0" fontId="2" fillId="0" borderId="9" xfId="3" applyFont="1" applyBorder="1" applyAlignment="1">
      <alignment horizontal="distributed" vertical="distributed"/>
    </xf>
    <xf numFmtId="0" fontId="2" fillId="0" borderId="10" xfId="3" applyFont="1" applyBorder="1" applyAlignment="1">
      <alignment horizontal="distributed" vertical="distributed"/>
    </xf>
    <xf numFmtId="0" fontId="2" fillId="0" borderId="93" xfId="3" applyFont="1" applyBorder="1" applyAlignment="1">
      <alignment horizontal="distributed" vertical="center"/>
    </xf>
    <xf numFmtId="0" fontId="2" fillId="0" borderId="22" xfId="3" applyFont="1" applyBorder="1" applyAlignment="1">
      <alignment horizontal="distributed" vertical="center"/>
    </xf>
    <xf numFmtId="0" fontId="2" fillId="0" borderId="36" xfId="3" applyFont="1" applyBorder="1" applyAlignment="1">
      <alignment horizontal="distributed" vertical="center"/>
    </xf>
    <xf numFmtId="49" fontId="2" fillId="0" borderId="98" xfId="3" applyNumberFormat="1" applyFont="1" applyBorder="1" applyAlignment="1">
      <alignment horizontal="right" vertical="center"/>
    </xf>
    <xf numFmtId="49" fontId="2" fillId="0" borderId="99" xfId="3" applyNumberFormat="1" applyFont="1" applyBorder="1" applyAlignment="1">
      <alignment horizontal="right" vertical="center"/>
    </xf>
    <xf numFmtId="0" fontId="2" fillId="0" borderId="8" xfId="3" applyFont="1" applyBorder="1" applyAlignment="1">
      <alignment horizontal="distributed" vertical="center"/>
    </xf>
    <xf numFmtId="0" fontId="2" fillId="0" borderId="49" xfId="3" applyFont="1" applyBorder="1" applyAlignment="1">
      <alignment horizontal="distributed" vertical="center"/>
    </xf>
    <xf numFmtId="0" fontId="2" fillId="0" borderId="47" xfId="3" applyFont="1" applyBorder="1" applyAlignment="1">
      <alignment horizontal="distributed" vertical="center"/>
    </xf>
    <xf numFmtId="0" fontId="2" fillId="0" borderId="50" xfId="3" applyFont="1" applyBorder="1" applyAlignment="1">
      <alignment horizontal="distributed" vertical="center"/>
    </xf>
    <xf numFmtId="0" fontId="2" fillId="0" borderId="5" xfId="3" applyFont="1" applyBorder="1" applyAlignment="1" applyProtection="1">
      <alignment horizontal="center" vertical="center"/>
      <protection locked="0"/>
    </xf>
    <xf numFmtId="0" fontId="2" fillId="0" borderId="4" xfId="3" applyFont="1" applyBorder="1" applyAlignment="1" applyProtection="1">
      <alignment horizontal="center" vertical="center"/>
      <protection locked="0"/>
    </xf>
    <xf numFmtId="0" fontId="2" fillId="0" borderId="6" xfId="3" applyFont="1" applyBorder="1" applyAlignment="1" applyProtection="1">
      <alignment horizontal="center" vertical="center"/>
      <protection locked="0"/>
    </xf>
    <xf numFmtId="0" fontId="2" fillId="0" borderId="18" xfId="3" applyFont="1" applyBorder="1" applyAlignment="1" applyProtection="1">
      <alignment horizontal="center" vertical="center"/>
      <protection locked="0"/>
    </xf>
    <xf numFmtId="1" fontId="2" fillId="0" borderId="87" xfId="3" applyNumberFormat="1" applyFont="1" applyBorder="1" applyAlignment="1" applyProtection="1">
      <alignment horizontal="center" vertical="center"/>
      <protection locked="0"/>
    </xf>
    <xf numFmtId="1" fontId="2" fillId="0" borderId="88" xfId="3" applyNumberFormat="1" applyFont="1" applyBorder="1" applyAlignment="1" applyProtection="1">
      <alignment horizontal="center" vertical="center"/>
      <protection locked="0"/>
    </xf>
    <xf numFmtId="1" fontId="2" fillId="0" borderId="89" xfId="3" applyNumberFormat="1" applyFont="1" applyBorder="1" applyAlignment="1" applyProtection="1">
      <alignment horizontal="center" vertical="center"/>
      <protection locked="0"/>
    </xf>
    <xf numFmtId="1" fontId="2" fillId="0" borderId="90" xfId="3" applyNumberFormat="1" applyFont="1" applyBorder="1" applyAlignment="1" applyProtection="1">
      <alignment horizontal="center" vertical="center"/>
      <protection locked="0"/>
    </xf>
    <xf numFmtId="180" fontId="2" fillId="0" borderId="90" xfId="3" applyNumberFormat="1" applyFont="1" applyBorder="1" applyAlignment="1" applyProtection="1">
      <alignment horizontal="center" vertical="center"/>
      <protection locked="0"/>
    </xf>
    <xf numFmtId="180" fontId="2" fillId="0" borderId="88" xfId="3" applyNumberFormat="1" applyFont="1" applyBorder="1" applyAlignment="1" applyProtection="1">
      <alignment horizontal="center" vertical="center"/>
      <protection locked="0"/>
    </xf>
    <xf numFmtId="180" fontId="2" fillId="0" borderId="89" xfId="3" applyNumberFormat="1" applyFont="1" applyBorder="1" applyAlignment="1" applyProtection="1">
      <alignment horizontal="center" vertical="center"/>
      <protection locked="0"/>
    </xf>
    <xf numFmtId="1" fontId="2" fillId="2" borderId="90" xfId="3" applyNumberFormat="1" applyFont="1" applyFill="1" applyBorder="1" applyAlignment="1">
      <alignment horizontal="center" vertical="center"/>
    </xf>
    <xf numFmtId="1" fontId="2" fillId="2" borderId="88" xfId="3" applyNumberFormat="1" applyFont="1" applyFill="1" applyBorder="1" applyAlignment="1">
      <alignment horizontal="center" vertical="center"/>
    </xf>
    <xf numFmtId="1" fontId="2" fillId="2" borderId="89" xfId="3" applyNumberFormat="1" applyFont="1" applyFill="1" applyBorder="1" applyAlignment="1">
      <alignment horizontal="center" vertical="center"/>
    </xf>
    <xf numFmtId="179" fontId="2" fillId="0" borderId="90" xfId="3" applyNumberFormat="1" applyFont="1" applyBorder="1" applyAlignment="1" applyProtection="1">
      <alignment horizontal="center" vertical="center"/>
      <protection locked="0"/>
    </xf>
    <xf numFmtId="179" fontId="2" fillId="0" borderId="88" xfId="3" applyNumberFormat="1" applyFont="1" applyBorder="1" applyAlignment="1" applyProtection="1">
      <alignment horizontal="center" vertical="center"/>
      <protection locked="0"/>
    </xf>
    <xf numFmtId="179" fontId="2" fillId="0" borderId="89" xfId="3" applyNumberFormat="1" applyFont="1" applyBorder="1" applyAlignment="1" applyProtection="1">
      <alignment horizontal="center" vertical="center"/>
      <protection locked="0"/>
    </xf>
    <xf numFmtId="0" fontId="2" fillId="0" borderId="78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6" xfId="3" applyFont="1" applyBorder="1" applyAlignment="1">
      <alignment horizontal="center" vertical="center"/>
    </xf>
    <xf numFmtId="179" fontId="2" fillId="0" borderId="5" xfId="3" applyNumberFormat="1" applyFont="1" applyBorder="1" applyAlignment="1">
      <alignment horizontal="center" vertical="center"/>
    </xf>
    <xf numFmtId="179" fontId="2" fillId="0" borderId="4" xfId="3" applyNumberFormat="1" applyFont="1" applyBorder="1" applyAlignment="1">
      <alignment horizontal="center" vertical="center"/>
    </xf>
    <xf numFmtId="179" fontId="2" fillId="0" borderId="6" xfId="3" applyNumberFormat="1" applyFont="1" applyBorder="1" applyAlignment="1">
      <alignment horizontal="center" vertical="center"/>
    </xf>
    <xf numFmtId="49" fontId="2" fillId="0" borderId="5" xfId="3" quotePrefix="1" applyNumberFormat="1" applyFont="1" applyBorder="1" applyAlignment="1">
      <alignment horizontal="center" vertical="center"/>
    </xf>
    <xf numFmtId="49" fontId="2" fillId="0" borderId="4" xfId="3" applyNumberFormat="1" applyFont="1" applyBorder="1" applyAlignment="1">
      <alignment horizontal="center" vertical="center"/>
    </xf>
    <xf numFmtId="49" fontId="2" fillId="0" borderId="6" xfId="3" applyNumberFormat="1" applyFont="1" applyBorder="1" applyAlignment="1">
      <alignment horizontal="center" vertical="center"/>
    </xf>
    <xf numFmtId="49" fontId="2" fillId="0" borderId="5" xfId="3" quotePrefix="1" applyNumberFormat="1" applyFont="1" applyBorder="1" applyAlignment="1" applyProtection="1">
      <alignment horizontal="center" vertical="center"/>
      <protection locked="0"/>
    </xf>
    <xf numFmtId="49" fontId="2" fillId="0" borderId="4" xfId="3" applyNumberFormat="1" applyFont="1" applyBorder="1" applyAlignment="1" applyProtection="1">
      <alignment horizontal="center" vertical="center"/>
      <protection locked="0"/>
    </xf>
    <xf numFmtId="49" fontId="2" fillId="0" borderId="6" xfId="3" applyNumberFormat="1" applyFont="1" applyBorder="1" applyAlignment="1" applyProtection="1">
      <alignment horizontal="center" vertical="center"/>
      <protection locked="0"/>
    </xf>
    <xf numFmtId="1" fontId="2" fillId="0" borderId="5" xfId="3" applyNumberFormat="1" applyFont="1" applyBorder="1" applyAlignment="1" applyProtection="1">
      <alignment horizontal="center" vertical="center"/>
      <protection locked="0"/>
    </xf>
    <xf numFmtId="1" fontId="2" fillId="0" borderId="4" xfId="3" applyNumberFormat="1" applyFont="1" applyBorder="1" applyAlignment="1" applyProtection="1">
      <alignment horizontal="center" vertical="center"/>
      <protection locked="0"/>
    </xf>
    <xf numFmtId="1" fontId="2" fillId="0" borderId="6" xfId="3" applyNumberFormat="1" applyFont="1" applyBorder="1" applyAlignment="1" applyProtection="1">
      <alignment horizontal="center" vertical="center"/>
      <protection locked="0"/>
    </xf>
    <xf numFmtId="179" fontId="2" fillId="0" borderId="5" xfId="3" applyNumberFormat="1" applyFont="1" applyBorder="1" applyAlignment="1" applyProtection="1">
      <alignment horizontal="center" vertical="center"/>
      <protection locked="0"/>
    </xf>
    <xf numFmtId="179" fontId="2" fillId="0" borderId="4" xfId="3" applyNumberFormat="1" applyFont="1" applyBorder="1" applyAlignment="1" applyProtection="1">
      <alignment horizontal="center" vertical="center"/>
      <protection locked="0"/>
    </xf>
    <xf numFmtId="179" fontId="2" fillId="0" borderId="6" xfId="3" applyNumberFormat="1" applyFont="1" applyBorder="1" applyAlignment="1" applyProtection="1">
      <alignment horizontal="center" vertical="center"/>
      <protection locked="0"/>
    </xf>
    <xf numFmtId="1" fontId="2" fillId="2" borderId="5" xfId="3" applyNumberFormat="1" applyFont="1" applyFill="1" applyBorder="1" applyAlignment="1">
      <alignment horizontal="center" vertical="center"/>
    </xf>
    <xf numFmtId="1" fontId="2" fillId="2" borderId="4" xfId="3" applyNumberFormat="1" applyFont="1" applyFill="1" applyBorder="1" applyAlignment="1">
      <alignment horizontal="center" vertical="center"/>
    </xf>
    <xf numFmtId="1" fontId="2" fillId="2" borderId="6" xfId="3" applyNumberFormat="1" applyFont="1" applyFill="1" applyBorder="1" applyAlignment="1">
      <alignment horizontal="center" vertical="center"/>
    </xf>
    <xf numFmtId="0" fontId="2" fillId="0" borderId="78" xfId="3" applyFont="1" applyBorder="1" applyAlignment="1">
      <alignment horizontal="center" vertical="center" shrinkToFit="1"/>
    </xf>
    <xf numFmtId="0" fontId="2" fillId="0" borderId="4" xfId="3" applyFont="1" applyBorder="1" applyAlignment="1">
      <alignment horizontal="center" vertical="center" shrinkToFit="1"/>
    </xf>
    <xf numFmtId="0" fontId="2" fillId="0" borderId="6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 shrinkToFit="1"/>
    </xf>
    <xf numFmtId="0" fontId="7" fillId="0" borderId="0" xfId="3" applyFont="1" applyAlignment="1">
      <alignment horizontal="left" vertical="center"/>
    </xf>
    <xf numFmtId="0" fontId="11" fillId="0" borderId="19" xfId="3" applyFont="1" applyBorder="1" applyAlignment="1">
      <alignment horizontal="left" vertical="center"/>
    </xf>
    <xf numFmtId="0" fontId="11" fillId="0" borderId="20" xfId="3" applyFont="1" applyBorder="1" applyAlignment="1">
      <alignment horizontal="left" vertical="center"/>
    </xf>
    <xf numFmtId="0" fontId="11" fillId="0" borderId="21" xfId="3" applyFont="1" applyBorder="1" applyAlignment="1">
      <alignment horizontal="left" vertical="center"/>
    </xf>
    <xf numFmtId="0" fontId="2" fillId="0" borderId="17" xfId="3" applyFont="1" applyBorder="1" applyAlignment="1">
      <alignment horizontal="center" vertical="center" shrinkToFit="1"/>
    </xf>
    <xf numFmtId="0" fontId="2" fillId="0" borderId="0" xfId="3" applyFont="1" applyAlignment="1">
      <alignment horizontal="center" vertical="center" shrinkToFit="1"/>
    </xf>
    <xf numFmtId="0" fontId="2" fillId="0" borderId="15" xfId="3" applyFont="1" applyBorder="1" applyAlignment="1">
      <alignment horizontal="center" vertical="center" shrinkToFit="1"/>
    </xf>
    <xf numFmtId="0" fontId="2" fillId="0" borderId="11" xfId="3" applyFont="1" applyBorder="1" applyAlignment="1">
      <alignment horizontal="center" vertical="center"/>
    </xf>
    <xf numFmtId="0" fontId="2" fillId="0" borderId="12" xfId="3" applyFont="1" applyBorder="1" applyAlignment="1">
      <alignment horizontal="center" vertical="center"/>
    </xf>
    <xf numFmtId="0" fontId="2" fillId="0" borderId="13" xfId="3" applyFont="1" applyBorder="1" applyAlignment="1">
      <alignment horizontal="center" vertical="center"/>
    </xf>
    <xf numFmtId="0" fontId="2" fillId="0" borderId="14" xfId="3" applyFont="1" applyBorder="1" applyAlignment="1">
      <alignment horizontal="center" vertical="center" shrinkToFit="1"/>
    </xf>
    <xf numFmtId="0" fontId="2" fillId="0" borderId="16" xfId="3" applyFont="1" applyBorder="1" applyAlignment="1">
      <alignment horizontal="center" vertical="center" shrinkToFit="1"/>
    </xf>
    <xf numFmtId="0" fontId="2" fillId="0" borderId="86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 shrinkToFit="1"/>
    </xf>
    <xf numFmtId="0" fontId="2" fillId="0" borderId="18" xfId="3" applyFont="1" applyBorder="1" applyAlignment="1">
      <alignment horizontal="center" vertical="center"/>
    </xf>
    <xf numFmtId="0" fontId="11" fillId="0" borderId="19" xfId="3" applyFont="1" applyBorder="1" applyAlignment="1">
      <alignment horizontal="left" vertical="distributed"/>
    </xf>
    <xf numFmtId="0" fontId="2" fillId="0" borderId="20" xfId="3" applyFont="1" applyBorder="1" applyAlignment="1">
      <alignment horizontal="left" vertical="distributed"/>
    </xf>
    <xf numFmtId="0" fontId="2" fillId="0" borderId="21" xfId="3" applyFont="1" applyBorder="1" applyAlignment="1">
      <alignment horizontal="left" vertical="distributed"/>
    </xf>
    <xf numFmtId="49" fontId="2" fillId="0" borderId="17" xfId="3" applyNumberFormat="1" applyFont="1" applyBorder="1" applyAlignment="1">
      <alignment horizontal="distributed" vertical="center"/>
    </xf>
    <xf numFmtId="49" fontId="2" fillId="0" borderId="0" xfId="3" applyNumberFormat="1" applyFont="1" applyAlignment="1">
      <alignment horizontal="distributed" vertical="center"/>
    </xf>
    <xf numFmtId="49" fontId="2" fillId="0" borderId="83" xfId="3" applyNumberFormat="1" applyFont="1" applyBorder="1" applyAlignment="1">
      <alignment horizontal="distributed" vertical="center" textRotation="255" shrinkToFit="1"/>
    </xf>
    <xf numFmtId="49" fontId="2" fillId="0" borderId="24" xfId="3" applyNumberFormat="1" applyFont="1" applyBorder="1" applyAlignment="1">
      <alignment horizontal="distributed" vertical="center" textRotation="255" shrinkToFit="1"/>
    </xf>
    <xf numFmtId="49" fontId="2" fillId="0" borderId="28" xfId="3" applyNumberFormat="1" applyFont="1" applyBorder="1" applyAlignment="1">
      <alignment horizontal="distributed" vertical="center" textRotation="255" shrinkToFit="1"/>
    </xf>
    <xf numFmtId="49" fontId="2" fillId="0" borderId="84" xfId="3" applyNumberFormat="1" applyFont="1" applyBorder="1" applyAlignment="1">
      <alignment horizontal="distributed" vertical="center" shrinkToFit="1"/>
    </xf>
    <xf numFmtId="49" fontId="2" fillId="0" borderId="22" xfId="3" applyNumberFormat="1" applyFont="1" applyBorder="1" applyAlignment="1">
      <alignment horizontal="distributed" vertical="center" shrinkToFit="1"/>
    </xf>
    <xf numFmtId="49" fontId="2" fillId="0" borderId="36" xfId="3" applyNumberFormat="1" applyFont="1" applyBorder="1" applyAlignment="1">
      <alignment horizontal="distributed" vertical="center" shrinkToFit="1"/>
    </xf>
    <xf numFmtId="0" fontId="2" fillId="0" borderId="8" xfId="3" applyFont="1" applyBorder="1" applyAlignment="1">
      <alignment horizontal="center" vertical="center" shrinkToFit="1"/>
    </xf>
    <xf numFmtId="0" fontId="2" fillId="0" borderId="9" xfId="3" applyFont="1" applyBorder="1" applyAlignment="1">
      <alignment horizontal="center" vertical="center" shrinkToFit="1"/>
    </xf>
    <xf numFmtId="49" fontId="2" fillId="0" borderId="94" xfId="3" applyNumberFormat="1" applyFont="1" applyBorder="1" applyAlignment="1">
      <alignment horizontal="distributed" vertical="center" shrinkToFit="1"/>
    </xf>
    <xf numFmtId="49" fontId="2" fillId="0" borderId="95" xfId="3" applyNumberFormat="1" applyFont="1" applyBorder="1" applyAlignment="1">
      <alignment horizontal="distributed" vertical="center" shrinkToFit="1"/>
    </xf>
    <xf numFmtId="49" fontId="2" fillId="0" borderId="96" xfId="3" applyNumberFormat="1" applyFont="1" applyBorder="1" applyAlignment="1">
      <alignment horizontal="distributed" vertical="center" shrinkToFit="1"/>
    </xf>
    <xf numFmtId="49" fontId="2" fillId="0" borderId="67" xfId="3" applyNumberFormat="1" applyFont="1" applyBorder="1" applyAlignment="1">
      <alignment horizontal="distributed" vertical="center" justifyLastLine="1"/>
    </xf>
    <xf numFmtId="49" fontId="2" fillId="0" borderId="12" xfId="3" applyNumberFormat="1" applyFont="1" applyBorder="1" applyAlignment="1">
      <alignment horizontal="distributed" vertical="center" justifyLastLine="1"/>
    </xf>
    <xf numFmtId="49" fontId="2" fillId="0" borderId="68" xfId="3" applyNumberFormat="1" applyFont="1" applyBorder="1" applyAlignment="1">
      <alignment horizontal="distributed" vertical="center" justifyLastLine="1"/>
    </xf>
    <xf numFmtId="0" fontId="2" fillId="0" borderId="17" xfId="3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2" fillId="0" borderId="15" xfId="3" applyFont="1" applyBorder="1" applyAlignment="1">
      <alignment horizontal="center" vertical="center"/>
    </xf>
    <xf numFmtId="0" fontId="2" fillId="0" borderId="8" xfId="3" applyFont="1" applyBorder="1" applyAlignment="1">
      <alignment horizontal="center" vertical="center"/>
    </xf>
    <xf numFmtId="0" fontId="2" fillId="0" borderId="14" xfId="3" applyFont="1" applyBorder="1" applyAlignment="1">
      <alignment horizontal="center" vertical="center"/>
    </xf>
    <xf numFmtId="0" fontId="2" fillId="0" borderId="48" xfId="3" applyFont="1" applyBorder="1" applyAlignment="1">
      <alignment horizontal="center" vertical="center" shrinkToFit="1"/>
    </xf>
    <xf numFmtId="49" fontId="2" fillId="0" borderId="24" xfId="3" applyNumberFormat="1" applyFont="1" applyBorder="1" applyAlignment="1">
      <alignment horizontal="distributed" vertical="center"/>
    </xf>
    <xf numFmtId="49" fontId="2" fillId="0" borderId="25" xfId="3" applyNumberFormat="1" applyFont="1" applyBorder="1" applyAlignment="1">
      <alignment horizontal="distributed" vertical="center"/>
    </xf>
    <xf numFmtId="49" fontId="2" fillId="0" borderId="32" xfId="3" applyNumberFormat="1" applyFont="1" applyBorder="1" applyAlignment="1">
      <alignment horizontal="distributed" vertical="center" shrinkToFit="1"/>
    </xf>
    <xf numFmtId="49" fontId="2" fillId="0" borderId="37" xfId="3" applyNumberFormat="1" applyFont="1" applyBorder="1" applyAlignment="1">
      <alignment horizontal="distributed" vertical="center" shrinkToFit="1"/>
    </xf>
    <xf numFmtId="49" fontId="2" fillId="0" borderId="100" xfId="3" applyNumberFormat="1" applyFont="1" applyBorder="1" applyAlignment="1">
      <alignment horizontal="center" vertical="center"/>
    </xf>
    <xf numFmtId="49" fontId="2" fillId="0" borderId="101" xfId="3" applyNumberFormat="1" applyFont="1" applyBorder="1" applyAlignment="1">
      <alignment horizontal="center" vertical="center"/>
    </xf>
    <xf numFmtId="0" fontId="2" fillId="0" borderId="51" xfId="3" applyFont="1" applyBorder="1" applyAlignment="1">
      <alignment horizontal="distributed" vertical="center"/>
    </xf>
    <xf numFmtId="0" fontId="2" fillId="0" borderId="41" xfId="3" applyFont="1" applyBorder="1" applyAlignment="1">
      <alignment horizontal="distributed" vertical="center"/>
    </xf>
    <xf numFmtId="0" fontId="2" fillId="0" borderId="52" xfId="3" applyFont="1" applyBorder="1" applyAlignment="1">
      <alignment horizontal="distributed" vertical="center"/>
    </xf>
    <xf numFmtId="0" fontId="12" fillId="0" borderId="49" xfId="3" applyFont="1" applyBorder="1" applyAlignment="1">
      <alignment horizontal="distributed" vertical="center"/>
    </xf>
    <xf numFmtId="0" fontId="12" fillId="0" borderId="50" xfId="3" applyFont="1" applyBorder="1" applyAlignment="1">
      <alignment horizontal="distributed" vertical="center"/>
    </xf>
    <xf numFmtId="0" fontId="2" fillId="0" borderId="32" xfId="3" applyFont="1" applyBorder="1" applyAlignment="1">
      <alignment horizontal="center" vertical="center" shrinkToFit="1"/>
    </xf>
    <xf numFmtId="0" fontId="2" fillId="0" borderId="25" xfId="3" applyFont="1" applyBorder="1" applyAlignment="1">
      <alignment horizontal="center" vertical="center" shrinkToFit="1"/>
    </xf>
    <xf numFmtId="0" fontId="12" fillId="0" borderId="32" xfId="3" applyFont="1" applyBorder="1" applyAlignment="1">
      <alignment horizontal="center" vertical="center"/>
    </xf>
    <xf numFmtId="0" fontId="12" fillId="0" borderId="25" xfId="3" applyFont="1" applyBorder="1" applyAlignment="1">
      <alignment horizontal="center" vertical="center"/>
    </xf>
    <xf numFmtId="49" fontId="2" fillId="0" borderId="103" xfId="3" applyNumberFormat="1" applyFont="1" applyBorder="1" applyAlignment="1">
      <alignment horizontal="distributed" vertical="center" shrinkToFit="1"/>
    </xf>
    <xf numFmtId="49" fontId="2" fillId="0" borderId="12" xfId="3" applyNumberFormat="1" applyFont="1" applyBorder="1" applyAlignment="1">
      <alignment horizontal="distributed" vertical="center" shrinkToFit="1"/>
    </xf>
    <xf numFmtId="49" fontId="2" fillId="0" borderId="13" xfId="3" applyNumberFormat="1" applyFont="1" applyBorder="1" applyAlignment="1">
      <alignment horizontal="distributed" vertical="center" shrinkToFit="1"/>
    </xf>
    <xf numFmtId="0" fontId="2" fillId="0" borderId="17" xfId="3" applyFont="1" applyBorder="1" applyAlignment="1">
      <alignment horizontal="distributed" vertical="center"/>
    </xf>
    <xf numFmtId="0" fontId="2" fillId="0" borderId="0" xfId="3" applyFont="1" applyAlignment="1">
      <alignment horizontal="distributed" vertical="center"/>
    </xf>
    <xf numFmtId="0" fontId="2" fillId="0" borderId="93" xfId="3" applyFont="1" applyBorder="1" applyAlignment="1">
      <alignment horizontal="distributed"/>
    </xf>
    <xf numFmtId="0" fontId="2" fillId="0" borderId="9" xfId="3" applyFont="1" applyBorder="1" applyAlignment="1">
      <alignment horizontal="distributed"/>
    </xf>
    <xf numFmtId="0" fontId="2" fillId="0" borderId="10" xfId="3" applyFont="1" applyBorder="1" applyAlignment="1">
      <alignment horizontal="distributed"/>
    </xf>
    <xf numFmtId="49" fontId="2" fillId="0" borderId="28" xfId="3" applyNumberFormat="1" applyFont="1" applyBorder="1" applyAlignment="1">
      <alignment horizontal="distributed" vertical="center"/>
    </xf>
    <xf numFmtId="49" fontId="2" fillId="0" borderId="29" xfId="3" applyNumberFormat="1" applyFont="1" applyBorder="1" applyAlignment="1">
      <alignment horizontal="distributed" vertical="center"/>
    </xf>
    <xf numFmtId="0" fontId="2" fillId="0" borderId="38" xfId="3" applyFont="1" applyBorder="1" applyAlignment="1">
      <alignment horizontal="distributed" vertical="center"/>
    </xf>
    <xf numFmtId="0" fontId="2" fillId="0" borderId="29" xfId="3" applyFont="1" applyBorder="1" applyAlignment="1">
      <alignment horizontal="distributed" vertical="center"/>
    </xf>
    <xf numFmtId="0" fontId="2" fillId="0" borderId="39" xfId="3" applyFont="1" applyBorder="1" applyAlignment="1">
      <alignment horizontal="distributed" vertical="center"/>
    </xf>
    <xf numFmtId="0" fontId="2" fillId="0" borderId="3" xfId="3" applyFont="1" applyBorder="1" applyAlignment="1">
      <alignment horizontal="distributed"/>
    </xf>
    <xf numFmtId="0" fontId="2" fillId="0" borderId="1" xfId="3" applyFont="1" applyBorder="1" applyAlignment="1">
      <alignment horizontal="distributed"/>
    </xf>
    <xf numFmtId="0" fontId="2" fillId="0" borderId="2" xfId="3" applyFont="1" applyBorder="1" applyAlignment="1">
      <alignment horizontal="distributed"/>
    </xf>
    <xf numFmtId="0" fontId="2" fillId="0" borderId="108" xfId="3" applyFont="1" applyBorder="1" applyAlignment="1">
      <alignment horizontal="distributed" vertical="center"/>
    </xf>
    <xf numFmtId="0" fontId="2" fillId="0" borderId="97" xfId="3" applyFont="1" applyBorder="1" applyAlignment="1">
      <alignment horizontal="distributed" vertical="center"/>
    </xf>
    <xf numFmtId="0" fontId="2" fillId="0" borderId="109" xfId="3" applyFont="1" applyBorder="1" applyAlignment="1">
      <alignment horizontal="distributed" vertical="center"/>
    </xf>
    <xf numFmtId="49" fontId="2" fillId="0" borderId="112" xfId="3" applyNumberFormat="1" applyFont="1" applyBorder="1" applyAlignment="1">
      <alignment horizontal="distributed" vertical="center"/>
    </xf>
    <xf numFmtId="49" fontId="2" fillId="0" borderId="37" xfId="3" applyNumberFormat="1" applyFont="1" applyBorder="1" applyAlignment="1">
      <alignment horizontal="distributed" vertical="center"/>
    </xf>
    <xf numFmtId="49" fontId="2" fillId="0" borderId="113" xfId="3" applyNumberFormat="1" applyFont="1" applyBorder="1" applyAlignment="1">
      <alignment horizontal="center" vertical="center" textRotation="255"/>
    </xf>
    <xf numFmtId="49" fontId="2" fillId="0" borderId="70" xfId="3" applyNumberFormat="1" applyFont="1" applyBorder="1" applyAlignment="1">
      <alignment horizontal="center" vertical="center" textRotation="255"/>
    </xf>
    <xf numFmtId="49" fontId="2" fillId="0" borderId="125" xfId="3" applyNumberFormat="1" applyFont="1" applyBorder="1" applyAlignment="1">
      <alignment horizontal="center" vertical="center" textRotation="255"/>
    </xf>
    <xf numFmtId="0" fontId="2" fillId="0" borderId="116" xfId="3" applyFont="1" applyBorder="1" applyAlignment="1">
      <alignment horizontal="distributed" vertical="center"/>
    </xf>
    <xf numFmtId="0" fontId="2" fillId="0" borderId="117" xfId="3" applyFont="1" applyBorder="1" applyAlignment="1">
      <alignment horizontal="distributed" vertical="center"/>
    </xf>
    <xf numFmtId="0" fontId="2" fillId="0" borderId="118" xfId="3" applyFont="1" applyBorder="1" applyAlignment="1">
      <alignment horizontal="distributed" vertical="center"/>
    </xf>
    <xf numFmtId="0" fontId="2" fillId="0" borderId="94" xfId="3" applyFont="1" applyBorder="1" applyAlignment="1">
      <alignment horizontal="distributed" vertical="center"/>
    </xf>
    <xf numFmtId="0" fontId="2" fillId="0" borderId="95" xfId="3" applyFont="1" applyBorder="1" applyAlignment="1">
      <alignment horizontal="distributed" vertical="center"/>
    </xf>
    <xf numFmtId="0" fontId="2" fillId="0" borderId="123" xfId="3" applyFont="1" applyBorder="1" applyAlignment="1">
      <alignment horizontal="distributed" vertical="center"/>
    </xf>
    <xf numFmtId="49" fontId="2" fillId="0" borderId="51" xfId="3" applyNumberFormat="1" applyFont="1" applyBorder="1" applyAlignment="1">
      <alignment horizontal="distributed" vertical="center"/>
    </xf>
    <xf numFmtId="49" fontId="2" fillId="0" borderId="15" xfId="3" applyNumberFormat="1" applyFont="1" applyBorder="1" applyAlignment="1">
      <alignment horizontal="distributed" vertical="center"/>
    </xf>
    <xf numFmtId="49" fontId="2" fillId="0" borderId="38" xfId="3" applyNumberFormat="1" applyFont="1" applyBorder="1" applyAlignment="1">
      <alignment horizontal="distributed" vertical="center" shrinkToFit="1"/>
    </xf>
    <xf numFmtId="49" fontId="2" fillId="0" borderId="29" xfId="3" applyNumberFormat="1" applyFont="1" applyBorder="1" applyAlignment="1">
      <alignment horizontal="distributed" vertical="center" shrinkToFit="1"/>
    </xf>
    <xf numFmtId="49" fontId="2" fillId="0" borderId="39" xfId="3" applyNumberFormat="1" applyFont="1" applyBorder="1" applyAlignment="1">
      <alignment horizontal="distributed" vertical="center" shrinkToFit="1"/>
    </xf>
    <xf numFmtId="49" fontId="2" fillId="0" borderId="203" xfId="3" applyNumberFormat="1" applyFont="1" applyBorder="1" applyAlignment="1">
      <alignment horizontal="center" vertical="center"/>
    </xf>
    <xf numFmtId="49" fontId="2" fillId="0" borderId="55" xfId="3" applyNumberFormat="1" applyFont="1" applyBorder="1" applyAlignment="1">
      <alignment horizontal="distributed" vertical="center"/>
    </xf>
    <xf numFmtId="49" fontId="2" fillId="0" borderId="12" xfId="3" applyNumberFormat="1" applyFont="1" applyBorder="1" applyAlignment="1">
      <alignment horizontal="distributed" vertical="center"/>
    </xf>
    <xf numFmtId="49" fontId="2" fillId="0" borderId="13" xfId="3" applyNumberFormat="1" applyFont="1" applyBorder="1" applyAlignment="1">
      <alignment horizontal="distributed" vertical="center"/>
    </xf>
    <xf numFmtId="0" fontId="2" fillId="0" borderId="9" xfId="3" applyFont="1" applyBorder="1" applyAlignment="1">
      <alignment horizontal="distributed" vertical="center"/>
    </xf>
    <xf numFmtId="0" fontId="2" fillId="0" borderId="10" xfId="3" applyFont="1" applyBorder="1" applyAlignment="1">
      <alignment horizontal="distributed" vertical="center"/>
    </xf>
    <xf numFmtId="0" fontId="2" fillId="0" borderId="94" xfId="3" applyFont="1" applyBorder="1" applyAlignment="1">
      <alignment horizontal="center" vertical="center" shrinkToFit="1"/>
    </xf>
    <xf numFmtId="0" fontId="2" fillId="0" borderId="123" xfId="3" applyFont="1" applyBorder="1" applyAlignment="1">
      <alignment horizontal="center" vertical="center" shrinkToFit="1"/>
    </xf>
    <xf numFmtId="49" fontId="2" fillId="0" borderId="38" xfId="3" applyNumberFormat="1" applyFont="1" applyBorder="1" applyAlignment="1">
      <alignment horizontal="distributed" vertical="center"/>
    </xf>
    <xf numFmtId="49" fontId="2" fillId="0" borderId="39" xfId="3" applyNumberFormat="1" applyFont="1" applyBorder="1" applyAlignment="1">
      <alignment horizontal="distributed" vertical="center"/>
    </xf>
    <xf numFmtId="0" fontId="2" fillId="0" borderId="37" xfId="3" applyFont="1" applyBorder="1" applyAlignment="1">
      <alignment horizontal="center" vertical="center" shrinkToFit="1"/>
    </xf>
    <xf numFmtId="49" fontId="12" fillId="0" borderId="32" xfId="3" applyNumberFormat="1" applyFont="1" applyBorder="1" applyAlignment="1">
      <alignment horizontal="distributed" vertical="center" shrinkToFit="1"/>
    </xf>
    <xf numFmtId="49" fontId="12" fillId="0" borderId="25" xfId="3" applyNumberFormat="1" applyFont="1" applyBorder="1" applyAlignment="1">
      <alignment horizontal="distributed" vertical="center" shrinkToFit="1"/>
    </xf>
    <xf numFmtId="49" fontId="12" fillId="0" borderId="37" xfId="3" applyNumberFormat="1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center" vertical="center" shrinkToFit="1"/>
    </xf>
    <xf numFmtId="0" fontId="12" fillId="0" borderId="37" xfId="3" applyFont="1" applyBorder="1" applyAlignment="1">
      <alignment horizontal="center" vertical="center" shrinkToFit="1"/>
    </xf>
    <xf numFmtId="49" fontId="2" fillId="0" borderId="20" xfId="3" applyNumberFormat="1" applyFont="1" applyBorder="1" applyAlignment="1">
      <alignment horizontal="distributed" vertical="center" justifyLastLine="1"/>
    </xf>
    <xf numFmtId="49" fontId="2" fillId="0" borderId="21" xfId="3" applyNumberFormat="1" applyFont="1" applyBorder="1" applyAlignment="1">
      <alignment horizontal="distributed" vertical="center" justifyLastLine="1"/>
    </xf>
    <xf numFmtId="49" fontId="2" fillId="0" borderId="129" xfId="3" applyNumberFormat="1" applyFont="1" applyBorder="1" applyAlignment="1">
      <alignment horizontal="distributed" vertical="center"/>
    </xf>
    <xf numFmtId="49" fontId="2" fillId="0" borderId="42" xfId="3" applyNumberFormat="1" applyFont="1" applyBorder="1" applyAlignment="1">
      <alignment horizontal="distributed" vertical="center"/>
    </xf>
    <xf numFmtId="49" fontId="2" fillId="0" borderId="56" xfId="3" applyNumberFormat="1" applyFont="1" applyBorder="1" applyAlignment="1">
      <alignment horizontal="distributed" vertical="center"/>
    </xf>
    <xf numFmtId="49" fontId="2" fillId="0" borderId="93" xfId="3" applyNumberFormat="1" applyFont="1" applyBorder="1" applyAlignment="1">
      <alignment horizontal="center" vertical="center"/>
    </xf>
    <xf numFmtId="49" fontId="2" fillId="0" borderId="9" xfId="3" applyNumberFormat="1" applyFont="1" applyBorder="1" applyAlignment="1">
      <alignment horizontal="center" vertical="center"/>
    </xf>
    <xf numFmtId="49" fontId="2" fillId="0" borderId="85" xfId="3" applyNumberFormat="1" applyFont="1" applyBorder="1" applyAlignment="1">
      <alignment horizontal="center" vertical="center"/>
    </xf>
    <xf numFmtId="49" fontId="2" fillId="0" borderId="129" xfId="3" applyNumberFormat="1" applyFont="1" applyBorder="1" applyAlignment="1">
      <alignment horizontal="center" vertical="center"/>
    </xf>
    <xf numFmtId="49" fontId="2" fillId="0" borderId="42" xfId="3" applyNumberFormat="1" applyFont="1" applyBorder="1" applyAlignment="1">
      <alignment horizontal="center" vertical="center"/>
    </xf>
    <xf numFmtId="49" fontId="2" fillId="0" borderId="130" xfId="3" applyNumberFormat="1" applyFont="1" applyBorder="1" applyAlignment="1">
      <alignment horizontal="center" vertical="center"/>
    </xf>
    <xf numFmtId="49" fontId="2" fillId="0" borderId="84" xfId="3" applyNumberFormat="1" applyFont="1" applyBorder="1" applyAlignment="1">
      <alignment horizontal="distributed" vertical="center"/>
    </xf>
    <xf numFmtId="49" fontId="2" fillId="0" borderId="22" xfId="3" applyNumberFormat="1" applyFont="1" applyBorder="1" applyAlignment="1">
      <alignment horizontal="distributed" vertical="center"/>
    </xf>
    <xf numFmtId="49" fontId="2" fillId="0" borderId="36" xfId="3" applyNumberFormat="1" applyFont="1" applyBorder="1" applyAlignment="1">
      <alignment horizontal="distributed" vertical="center"/>
    </xf>
    <xf numFmtId="0" fontId="2" fillId="0" borderId="108" xfId="3" applyFont="1" applyBorder="1" applyAlignment="1">
      <alignment horizontal="center" vertical="center"/>
    </xf>
    <xf numFmtId="0" fontId="2" fillId="0" borderId="97" xfId="3" applyFont="1" applyBorder="1" applyAlignment="1">
      <alignment horizontal="center" vertical="center"/>
    </xf>
    <xf numFmtId="0" fontId="2" fillId="0" borderId="109" xfId="3" applyFont="1" applyBorder="1" applyAlignment="1">
      <alignment horizontal="center" vertical="center"/>
    </xf>
    <xf numFmtId="49" fontId="2" fillId="0" borderId="43" xfId="3" applyNumberFormat="1" applyFont="1" applyBorder="1" applyAlignment="1">
      <alignment horizontal="distributed" vertical="center"/>
    </xf>
    <xf numFmtId="49" fontId="2" fillId="0" borderId="33" xfId="3" applyNumberFormat="1" applyFont="1" applyBorder="1" applyAlignment="1">
      <alignment horizontal="distributed" vertical="center"/>
    </xf>
    <xf numFmtId="49" fontId="2" fillId="0" borderId="44" xfId="3" applyNumberFormat="1" applyFont="1" applyBorder="1" applyAlignment="1">
      <alignment horizontal="distributed" vertical="center"/>
    </xf>
    <xf numFmtId="49" fontId="2" fillId="0" borderId="78" xfId="3" applyNumberFormat="1" applyFont="1" applyBorder="1" applyAlignment="1">
      <alignment horizontal="center" vertical="center"/>
    </xf>
    <xf numFmtId="49" fontId="2" fillId="0" borderId="126" xfId="3" applyNumberFormat="1" applyFont="1" applyBorder="1" applyAlignment="1">
      <alignment horizontal="center" vertical="center"/>
    </xf>
    <xf numFmtId="49" fontId="2" fillId="0" borderId="127" xfId="3" applyNumberFormat="1" applyFont="1" applyBorder="1" applyAlignment="1">
      <alignment horizontal="distributed" vertical="center"/>
    </xf>
    <xf numFmtId="49" fontId="2" fillId="0" borderId="4" xfId="3" applyNumberFormat="1" applyFont="1" applyBorder="1" applyAlignment="1">
      <alignment horizontal="distributed" vertical="center"/>
    </xf>
    <xf numFmtId="49" fontId="2" fillId="0" borderId="6" xfId="3" applyNumberFormat="1" applyFont="1" applyBorder="1" applyAlignment="1">
      <alignment horizontal="distributed" vertical="center"/>
    </xf>
    <xf numFmtId="49" fontId="18" fillId="0" borderId="9" xfId="3" applyNumberFormat="1" applyFont="1" applyBorder="1" applyAlignment="1">
      <alignment horizontal="center" vertical="center" textRotation="255" shrinkToFit="1"/>
    </xf>
    <xf numFmtId="49" fontId="18" fillId="0" borderId="12" xfId="3" applyNumberFormat="1" applyFont="1" applyBorder="1" applyAlignment="1">
      <alignment horizontal="center" vertical="center" textRotation="255" shrinkToFit="1"/>
    </xf>
    <xf numFmtId="49" fontId="2" fillId="0" borderId="23" xfId="3" applyNumberFormat="1" applyFont="1" applyBorder="1" applyAlignment="1">
      <alignment horizontal="distributed" vertical="center"/>
    </xf>
    <xf numFmtId="0" fontId="2" fillId="0" borderId="223" xfId="3" applyFont="1" applyBorder="1" applyAlignment="1">
      <alignment horizontal="distributed" vertical="center"/>
    </xf>
    <xf numFmtId="0" fontId="2" fillId="0" borderId="153" xfId="3" applyFont="1" applyBorder="1" applyAlignment="1">
      <alignment horizontal="distributed" vertical="center"/>
    </xf>
    <xf numFmtId="0" fontId="2" fillId="0" borderId="151" xfId="3" applyFont="1" applyBorder="1" applyAlignment="1">
      <alignment horizontal="distributed" vertical="center"/>
    </xf>
    <xf numFmtId="49" fontId="12" fillId="0" borderId="28" xfId="3" applyNumberFormat="1" applyFont="1" applyBorder="1" applyAlignment="1">
      <alignment horizontal="distributed" vertical="center"/>
    </xf>
    <xf numFmtId="49" fontId="12" fillId="0" borderId="29" xfId="3" applyNumberFormat="1" applyFont="1" applyBorder="1" applyAlignment="1">
      <alignment horizontal="distributed" vertical="center"/>
    </xf>
    <xf numFmtId="49" fontId="2" fillId="0" borderId="30" xfId="3" applyNumberFormat="1" applyFont="1" applyBorder="1" applyAlignment="1">
      <alignment horizontal="distributed" vertical="center"/>
    </xf>
    <xf numFmtId="0" fontId="2" fillId="0" borderId="43" xfId="3" applyFont="1" applyBorder="1" applyAlignment="1">
      <alignment horizontal="distributed" vertical="center"/>
    </xf>
    <xf numFmtId="0" fontId="2" fillId="0" borderId="33" xfId="3" applyFont="1" applyBorder="1" applyAlignment="1">
      <alignment horizontal="distributed" vertical="center"/>
    </xf>
    <xf numFmtId="0" fontId="2" fillId="0" borderId="44" xfId="3" applyFont="1" applyBorder="1" applyAlignment="1">
      <alignment horizontal="distributed" vertical="center"/>
    </xf>
    <xf numFmtId="49" fontId="2" fillId="0" borderId="134" xfId="3" applyNumberFormat="1" applyFont="1" applyBorder="1" applyAlignment="1">
      <alignment horizontal="center" vertical="center"/>
    </xf>
    <xf numFmtId="49" fontId="2" fillId="0" borderId="135" xfId="3" applyNumberFormat="1" applyFont="1" applyBorder="1" applyAlignment="1">
      <alignment horizontal="center" vertical="center"/>
    </xf>
    <xf numFmtId="49" fontId="2" fillId="0" borderId="0" xfId="3" applyNumberFormat="1" applyFont="1" applyAlignment="1">
      <alignment horizontal="center" vertical="center" textRotation="255"/>
    </xf>
    <xf numFmtId="49" fontId="2" fillId="0" borderId="42" xfId="3" applyNumberFormat="1" applyFont="1" applyBorder="1" applyAlignment="1">
      <alignment horizontal="center" vertical="center" textRotation="255"/>
    </xf>
    <xf numFmtId="0" fontId="2" fillId="0" borderId="19" xfId="3" applyFont="1" applyBorder="1" applyAlignment="1">
      <alignment horizontal="left" vertical="center" justifyLastLine="1" shrinkToFit="1"/>
    </xf>
    <xf numFmtId="0" fontId="2" fillId="0" borderId="20" xfId="3" applyFont="1" applyBorder="1" applyAlignment="1">
      <alignment horizontal="left" vertical="center" justifyLastLine="1" shrinkToFit="1"/>
    </xf>
    <xf numFmtId="0" fontId="2" fillId="0" borderId="21" xfId="3" applyFont="1" applyBorder="1" applyAlignment="1">
      <alignment horizontal="left" vertical="center" justifyLastLine="1" shrinkToFit="1"/>
    </xf>
    <xf numFmtId="49" fontId="2" fillId="0" borderId="26" xfId="3" applyNumberFormat="1" applyFont="1" applyBorder="1" applyAlignment="1">
      <alignment horizontal="distributed" vertical="center"/>
    </xf>
    <xf numFmtId="0" fontId="2" fillId="0" borderId="17" xfId="3" applyFont="1" applyBorder="1" applyAlignment="1">
      <alignment horizontal="center" vertical="center" wrapText="1" shrinkToFit="1"/>
    </xf>
    <xf numFmtId="0" fontId="2" fillId="0" borderId="15" xfId="3" applyFont="1" applyBorder="1" applyAlignment="1">
      <alignment horizontal="center" vertical="center" wrapText="1" shrinkToFit="1"/>
    </xf>
    <xf numFmtId="0" fontId="2" fillId="0" borderId="67" xfId="3" applyFont="1" applyBorder="1" applyAlignment="1">
      <alignment horizontal="center" vertical="center" wrapText="1" shrinkToFit="1"/>
    </xf>
    <xf numFmtId="0" fontId="2" fillId="0" borderId="13" xfId="3" applyFont="1" applyBorder="1" applyAlignment="1">
      <alignment horizontal="center" vertical="center" wrapText="1" shrinkToFit="1"/>
    </xf>
    <xf numFmtId="0" fontId="2" fillId="0" borderId="224" xfId="3" applyFont="1" applyBorder="1" applyAlignment="1">
      <alignment horizontal="distributed" vertical="center" shrinkToFit="1"/>
    </xf>
    <xf numFmtId="0" fontId="2" fillId="0" borderId="225" xfId="3" applyFont="1" applyBorder="1" applyAlignment="1">
      <alignment horizontal="distributed" vertical="center" shrinkToFit="1"/>
    </xf>
    <xf numFmtId="0" fontId="2" fillId="0" borderId="14" xfId="3" applyFont="1" applyBorder="1" applyAlignment="1">
      <alignment horizontal="center" vertical="center" wrapText="1" shrinkToFit="1"/>
    </xf>
    <xf numFmtId="0" fontId="2" fillId="0" borderId="11" xfId="3" applyFont="1" applyBorder="1" applyAlignment="1">
      <alignment horizontal="center" vertical="center" wrapText="1" shrinkToFit="1"/>
    </xf>
    <xf numFmtId="49" fontId="2" fillId="0" borderId="46" xfId="3" applyNumberFormat="1" applyFont="1" applyBorder="1" applyAlignment="1">
      <alignment horizontal="distributed" vertical="center" wrapText="1"/>
    </xf>
    <xf numFmtId="49" fontId="2" fillId="0" borderId="47" xfId="3" applyNumberFormat="1" applyFont="1" applyBorder="1" applyAlignment="1">
      <alignment horizontal="distributed" vertical="center" wrapText="1"/>
    </xf>
    <xf numFmtId="49" fontId="2" fillId="0" borderId="14" xfId="3" applyNumberFormat="1" applyFont="1" applyBorder="1" applyAlignment="1">
      <alignment horizontal="distributed" vertical="center" wrapText="1"/>
    </xf>
    <xf numFmtId="49" fontId="2" fillId="0" borderId="0" xfId="3" applyNumberFormat="1" applyFont="1" applyAlignment="1">
      <alignment horizontal="distributed" vertical="center" wrapText="1"/>
    </xf>
    <xf numFmtId="49" fontId="2" fillId="0" borderId="40" xfId="3" applyNumberFormat="1" applyFont="1" applyBorder="1" applyAlignment="1">
      <alignment horizontal="distributed" vertical="center" wrapText="1"/>
    </xf>
    <xf numFmtId="49" fontId="2" fillId="0" borderId="41" xfId="3" applyNumberFormat="1" applyFont="1" applyBorder="1" applyAlignment="1">
      <alignment horizontal="distributed" vertical="center" wrapText="1"/>
    </xf>
    <xf numFmtId="49" fontId="2" fillId="0" borderId="32" xfId="3" applyNumberFormat="1" applyFont="1" applyBorder="1" applyAlignment="1">
      <alignment horizontal="distributed" vertical="center"/>
    </xf>
    <xf numFmtId="0" fontId="14" fillId="0" borderId="136" xfId="3" applyFont="1" applyBorder="1" applyAlignment="1">
      <alignment horizontal="distributed" vertical="center" shrinkToFit="1"/>
    </xf>
    <xf numFmtId="0" fontId="14" fillId="0" borderId="123" xfId="3" applyFont="1" applyBorder="1" applyAlignment="1">
      <alignment horizontal="distributed" vertical="center" shrinkToFit="1"/>
    </xf>
    <xf numFmtId="0" fontId="2" fillId="0" borderId="138" xfId="3" applyFont="1" applyBorder="1" applyAlignment="1">
      <alignment horizontal="distributed" vertical="center" shrinkToFit="1"/>
    </xf>
    <xf numFmtId="0" fontId="2" fillId="0" borderId="139" xfId="3" applyFont="1" applyBorder="1" applyAlignment="1">
      <alignment horizontal="distributed" vertical="center" shrinkToFit="1"/>
    </xf>
    <xf numFmtId="49" fontId="2" fillId="0" borderId="147" xfId="3" applyNumberFormat="1" applyFont="1" applyBorder="1" applyAlignment="1">
      <alignment horizontal="distributed" vertical="center"/>
    </xf>
    <xf numFmtId="0" fontId="2" fillId="0" borderId="67" xfId="3" applyFont="1" applyBorder="1" applyAlignment="1">
      <alignment horizontal="center" vertical="center"/>
    </xf>
    <xf numFmtId="0" fontId="2" fillId="0" borderId="144" xfId="3" applyFont="1" applyBorder="1" applyAlignment="1">
      <alignment horizontal="distributed" vertical="center" shrinkToFit="1"/>
    </xf>
    <xf numFmtId="0" fontId="2" fillId="0" borderId="145" xfId="3" applyFont="1" applyBorder="1" applyAlignment="1">
      <alignment horizontal="distributed" vertical="center" shrinkToFit="1"/>
    </xf>
    <xf numFmtId="0" fontId="2" fillId="0" borderId="150" xfId="3" applyFont="1" applyBorder="1" applyAlignment="1">
      <alignment horizontal="distributed" vertical="center" shrinkToFit="1"/>
    </xf>
    <xf numFmtId="0" fontId="2" fillId="0" borderId="151" xfId="3" applyFont="1" applyBorder="1" applyAlignment="1">
      <alignment horizontal="distributed" vertical="center" shrinkToFit="1"/>
    </xf>
    <xf numFmtId="0" fontId="2" fillId="0" borderId="14" xfId="3" applyFont="1" applyBorder="1" applyAlignment="1">
      <alignment horizontal="center" vertical="center" wrapText="1"/>
    </xf>
    <xf numFmtId="0" fontId="2" fillId="0" borderId="0" xfId="3" applyFont="1" applyAlignment="1">
      <alignment horizontal="center" vertical="center" wrapText="1"/>
    </xf>
    <xf numFmtId="0" fontId="2" fillId="0" borderId="11" xfId="3" applyFont="1" applyBorder="1" applyAlignment="1">
      <alignment horizontal="center" vertical="center" wrapText="1"/>
    </xf>
    <xf numFmtId="0" fontId="2" fillId="0" borderId="12" xfId="3" applyFont="1" applyBorder="1" applyAlignment="1">
      <alignment horizontal="center" vertical="center" wrapText="1"/>
    </xf>
    <xf numFmtId="0" fontId="14" fillId="0" borderId="138" xfId="3" applyFont="1" applyBorder="1" applyAlignment="1">
      <alignment horizontal="distributed" vertical="center" shrinkToFit="1"/>
    </xf>
    <xf numFmtId="0" fontId="14" fillId="0" borderId="139" xfId="3" applyFont="1" applyBorder="1" applyAlignment="1">
      <alignment horizontal="distributed" vertical="center" shrinkToFit="1"/>
    </xf>
    <xf numFmtId="0" fontId="14" fillId="0" borderId="8" xfId="3" applyFont="1" applyBorder="1" applyAlignment="1">
      <alignment horizontal="center" vertical="center" wrapText="1" shrinkToFit="1"/>
    </xf>
    <xf numFmtId="0" fontId="14" fillId="0" borderId="10" xfId="3" applyFont="1" applyBorder="1" applyAlignment="1">
      <alignment horizontal="center" vertical="center" wrapText="1" shrinkToFit="1"/>
    </xf>
    <xf numFmtId="0" fontId="14" fillId="0" borderId="45" xfId="3" applyFont="1" applyBorder="1" applyAlignment="1">
      <alignment horizontal="center" vertical="center" wrapText="1" shrinkToFit="1"/>
    </xf>
    <xf numFmtId="0" fontId="14" fillId="0" borderId="56" xfId="3" applyFont="1" applyBorder="1" applyAlignment="1">
      <alignment horizontal="center" vertical="center" wrapText="1" shrinkToFit="1"/>
    </xf>
    <xf numFmtId="0" fontId="2" fillId="0" borderId="8" xfId="3" applyFont="1" applyBorder="1" applyAlignment="1">
      <alignment horizontal="center" vertical="center" wrapText="1"/>
    </xf>
    <xf numFmtId="0" fontId="2" fillId="0" borderId="9" xfId="3" applyFont="1" applyBorder="1" applyAlignment="1">
      <alignment horizontal="center" vertical="center" wrapText="1"/>
    </xf>
    <xf numFmtId="0" fontId="2" fillId="0" borderId="10" xfId="3" applyFont="1" applyBorder="1" applyAlignment="1">
      <alignment horizontal="center" vertical="center" wrapText="1"/>
    </xf>
    <xf numFmtId="0" fontId="2" fillId="0" borderId="13" xfId="3" applyFont="1" applyBorder="1" applyAlignment="1">
      <alignment horizontal="center" vertical="center" wrapText="1"/>
    </xf>
    <xf numFmtId="0" fontId="2" fillId="0" borderId="48" xfId="3" applyFont="1" applyBorder="1" applyAlignment="1">
      <alignment horizontal="center" vertical="center"/>
    </xf>
    <xf numFmtId="0" fontId="2" fillId="0" borderId="68" xfId="3" applyFont="1" applyBorder="1" applyAlignment="1">
      <alignment horizontal="center" vertical="center"/>
    </xf>
    <xf numFmtId="0" fontId="2" fillId="0" borderId="93" xfId="3" applyFont="1" applyBorder="1" applyAlignment="1">
      <alignment horizontal="center" vertical="center" wrapText="1" shrinkToFit="1"/>
    </xf>
    <xf numFmtId="0" fontId="2" fillId="0" borderId="10" xfId="3" applyFont="1" applyBorder="1" applyAlignment="1">
      <alignment horizontal="center" vertical="center" wrapText="1" shrinkToFit="1"/>
    </xf>
    <xf numFmtId="0" fontId="2" fillId="0" borderId="129" xfId="3" applyFont="1" applyBorder="1" applyAlignment="1">
      <alignment horizontal="center" vertical="center" wrapText="1" shrinkToFit="1"/>
    </xf>
    <xf numFmtId="0" fontId="2" fillId="0" borderId="56" xfId="3" applyFont="1" applyBorder="1" applyAlignment="1">
      <alignment horizontal="center" vertical="center" wrapText="1" shrinkToFit="1"/>
    </xf>
    <xf numFmtId="49" fontId="2" fillId="0" borderId="67" xfId="3" applyNumberFormat="1" applyFont="1" applyBorder="1" applyAlignment="1">
      <alignment horizontal="center" vertical="center"/>
    </xf>
    <xf numFmtId="49" fontId="2" fillId="0" borderId="12" xfId="3" applyNumberFormat="1" applyFont="1" applyBorder="1" applyAlignment="1">
      <alignment horizontal="center" vertical="center"/>
    </xf>
    <xf numFmtId="49" fontId="2" fillId="0" borderId="13" xfId="3" applyNumberFormat="1" applyFont="1" applyBorder="1" applyAlignment="1">
      <alignment horizontal="center" vertical="center"/>
    </xf>
    <xf numFmtId="49" fontId="2" fillId="0" borderId="11" xfId="3" applyNumberFormat="1" applyFont="1" applyBorder="1" applyAlignment="1">
      <alignment horizontal="center" vertical="center"/>
    </xf>
    <xf numFmtId="49" fontId="2" fillId="0" borderId="68" xfId="3" applyNumberFormat="1" applyFont="1" applyBorder="1" applyAlignment="1">
      <alignment horizontal="center" vertical="center"/>
    </xf>
    <xf numFmtId="49" fontId="2" fillId="0" borderId="83" xfId="3" applyNumberFormat="1" applyFont="1" applyBorder="1" applyAlignment="1">
      <alignment horizontal="distributed" vertical="center"/>
    </xf>
    <xf numFmtId="49" fontId="2" fillId="0" borderId="155" xfId="3" applyNumberFormat="1" applyFont="1" applyBorder="1" applyAlignment="1">
      <alignment horizontal="distributed" vertical="center"/>
    </xf>
    <xf numFmtId="0" fontId="2" fillId="0" borderId="83" xfId="3" applyFont="1" applyBorder="1" applyAlignment="1">
      <alignment horizontal="distributed" vertical="center" wrapText="1"/>
    </xf>
    <xf numFmtId="0" fontId="2" fillId="0" borderId="22" xfId="3" applyFont="1" applyBorder="1" applyAlignment="1">
      <alignment horizontal="distributed" vertical="center" wrapText="1"/>
    </xf>
    <xf numFmtId="0" fontId="2" fillId="0" borderId="16" xfId="3" applyFont="1" applyBorder="1" applyAlignment="1">
      <alignment horizontal="distributed" vertical="center"/>
    </xf>
    <xf numFmtId="0" fontId="2" fillId="0" borderId="86" xfId="3" applyFont="1" applyBorder="1" applyAlignment="1">
      <alignment horizontal="distributed" vertical="center"/>
    </xf>
    <xf numFmtId="49" fontId="2" fillId="0" borderId="36" xfId="3" applyNumberFormat="1" applyFont="1" applyBorder="1" applyAlignment="1" applyProtection="1">
      <alignment horizontal="right" vertical="center"/>
      <protection locked="0"/>
    </xf>
    <xf numFmtId="49" fontId="2" fillId="0" borderId="28" xfId="3" applyNumberFormat="1" applyFont="1" applyBorder="1" applyAlignment="1">
      <alignment horizontal="distributed" vertical="center" shrinkToFit="1"/>
    </xf>
    <xf numFmtId="49" fontId="2" fillId="0" borderId="159" xfId="3" applyNumberFormat="1" applyFont="1" applyBorder="1" applyAlignment="1">
      <alignment horizontal="distributed" vertical="center" shrinkToFit="1"/>
    </xf>
    <xf numFmtId="49" fontId="2" fillId="0" borderId="47" xfId="3" applyNumberFormat="1" applyFont="1" applyBorder="1" applyAlignment="1">
      <alignment horizontal="distributed" vertical="center"/>
    </xf>
    <xf numFmtId="49" fontId="2" fillId="0" borderId="14" xfId="3" applyNumberFormat="1" applyFont="1" applyBorder="1" applyAlignment="1">
      <alignment horizontal="distributed" vertical="center"/>
    </xf>
    <xf numFmtId="49" fontId="2" fillId="0" borderId="45" xfId="3" applyNumberFormat="1" applyFont="1" applyBorder="1" applyAlignment="1">
      <alignment horizontal="distributed" vertical="center"/>
    </xf>
    <xf numFmtId="49" fontId="2" fillId="0" borderId="83" xfId="3" applyNumberFormat="1" applyFont="1" applyBorder="1" applyAlignment="1">
      <alignment horizontal="distributed" vertical="center" shrinkToFit="1"/>
    </xf>
    <xf numFmtId="49" fontId="2" fillId="0" borderId="155" xfId="3" applyNumberFormat="1" applyFont="1" applyBorder="1" applyAlignment="1">
      <alignment horizontal="distributed" vertical="center" shrinkToFit="1"/>
    </xf>
    <xf numFmtId="49" fontId="12" fillId="0" borderId="94" xfId="3" applyNumberFormat="1" applyFont="1" applyBorder="1" applyAlignment="1">
      <alignment horizontal="distributed" vertical="center" shrinkToFit="1"/>
    </xf>
    <xf numFmtId="49" fontId="12" fillId="0" borderId="95" xfId="3" applyNumberFormat="1" applyFont="1" applyBorder="1" applyAlignment="1">
      <alignment horizontal="distributed" vertical="center" shrinkToFit="1"/>
    </xf>
    <xf numFmtId="49" fontId="12" fillId="0" borderId="96" xfId="3" applyNumberFormat="1" applyFont="1" applyBorder="1" applyAlignment="1">
      <alignment horizontal="distributed" vertical="center" shrinkToFit="1"/>
    </xf>
    <xf numFmtId="0" fontId="2" fillId="0" borderId="24" xfId="3" applyFont="1" applyBorder="1" applyAlignment="1">
      <alignment horizontal="distributed" vertical="center"/>
    </xf>
    <xf numFmtId="49" fontId="2" fillId="0" borderId="112" xfId="3" applyNumberFormat="1" applyFont="1" applyBorder="1" applyAlignment="1">
      <alignment horizontal="distributed" vertical="center" shrinkToFit="1"/>
    </xf>
    <xf numFmtId="0" fontId="2" fillId="0" borderId="81" xfId="3" applyFont="1" applyBorder="1" applyAlignment="1">
      <alignment horizontal="distributed" vertical="center"/>
    </xf>
    <xf numFmtId="0" fontId="2" fillId="0" borderId="79" xfId="3" applyFont="1" applyBorder="1" applyAlignment="1">
      <alignment horizontal="distributed" vertical="center"/>
    </xf>
    <xf numFmtId="49" fontId="2" fillId="0" borderId="165" xfId="3" applyNumberFormat="1" applyFont="1" applyBorder="1" applyAlignment="1">
      <alignment horizontal="center" vertical="center" textRotation="255" shrinkToFit="1"/>
    </xf>
    <xf numFmtId="49" fontId="2" fillId="0" borderId="171" xfId="3" applyNumberFormat="1" applyFont="1" applyBorder="1" applyAlignment="1">
      <alignment horizontal="center" vertical="center" textRotation="255" shrinkToFit="1"/>
    </xf>
    <xf numFmtId="49" fontId="2" fillId="0" borderId="176" xfId="3" applyNumberFormat="1" applyFont="1" applyBorder="1" applyAlignment="1">
      <alignment horizontal="center" vertical="center" textRotation="255" shrinkToFit="1"/>
    </xf>
    <xf numFmtId="49" fontId="2" fillId="0" borderId="166" xfId="3" applyNumberFormat="1" applyFont="1" applyBorder="1" applyAlignment="1">
      <alignment horizontal="distributed" vertical="center" shrinkToFit="1"/>
    </xf>
    <xf numFmtId="49" fontId="2" fillId="0" borderId="167" xfId="3" applyNumberFormat="1" applyFont="1" applyBorder="1" applyAlignment="1">
      <alignment horizontal="distributed" vertical="center" shrinkToFit="1"/>
    </xf>
    <xf numFmtId="49" fontId="2" fillId="0" borderId="168" xfId="3" applyNumberFormat="1" applyFont="1" applyBorder="1" applyAlignment="1">
      <alignment horizontal="distributed" vertical="center" shrinkToFit="1"/>
    </xf>
    <xf numFmtId="0" fontId="2" fillId="0" borderId="147" xfId="3" applyFont="1" applyBorder="1" applyAlignment="1">
      <alignment horizontal="distributed" vertical="center"/>
    </xf>
    <xf numFmtId="49" fontId="14" fillId="0" borderId="132" xfId="3" applyNumberFormat="1" applyFont="1" applyBorder="1" applyAlignment="1">
      <alignment horizontal="distributed" vertical="center" shrinkToFit="1"/>
    </xf>
    <xf numFmtId="49" fontId="14" fillId="0" borderId="105" xfId="3" applyNumberFormat="1" applyFont="1" applyBorder="1" applyAlignment="1">
      <alignment horizontal="distributed" vertical="center" shrinkToFit="1"/>
    </xf>
    <xf numFmtId="49" fontId="14" fillId="0" borderId="177" xfId="3" applyNumberFormat="1" applyFont="1" applyBorder="1" applyAlignment="1">
      <alignment horizontal="distributed" vertical="center" shrinkToFit="1"/>
    </xf>
    <xf numFmtId="0" fontId="2" fillId="0" borderId="112" xfId="3" applyFont="1" applyBorder="1" applyAlignment="1">
      <alignment horizontal="distributed" vertical="center"/>
    </xf>
    <xf numFmtId="0" fontId="2" fillId="0" borderId="162" xfId="3" applyFont="1" applyBorder="1" applyAlignment="1">
      <alignment horizontal="center" vertical="center"/>
    </xf>
    <xf numFmtId="0" fontId="2" fillId="0" borderId="16" xfId="3" applyFont="1" applyBorder="1" applyAlignment="1">
      <alignment horizontal="center" vertical="center"/>
    </xf>
    <xf numFmtId="0" fontId="2" fillId="0" borderId="11" xfId="3" applyFont="1" applyBorder="1" applyAlignment="1">
      <alignment horizontal="distributed" vertical="center"/>
    </xf>
    <xf numFmtId="49" fontId="2" fillId="0" borderId="85" xfId="3" applyNumberFormat="1" applyFont="1" applyBorder="1" applyAlignment="1">
      <alignment horizontal="center" vertical="center" textRotation="255" shrinkToFit="1"/>
    </xf>
    <xf numFmtId="49" fontId="2" fillId="0" borderId="66" xfId="3" applyNumberFormat="1" applyFont="1" applyBorder="1" applyAlignment="1">
      <alignment horizontal="center" vertical="center" textRotation="255" shrinkToFit="1"/>
    </xf>
    <xf numFmtId="49" fontId="2" fillId="0" borderId="130" xfId="3" applyNumberFormat="1" applyFont="1" applyBorder="1" applyAlignment="1">
      <alignment horizontal="center" vertical="center" textRotation="255" shrinkToFit="1"/>
    </xf>
    <xf numFmtId="49" fontId="2" fillId="0" borderId="179" xfId="3" applyNumberFormat="1" applyFont="1" applyBorder="1" applyAlignment="1">
      <alignment horizontal="distributed" vertical="center" shrinkToFit="1"/>
    </xf>
    <xf numFmtId="49" fontId="2" fillId="0" borderId="98" xfId="3" applyNumberFormat="1" applyFont="1" applyBorder="1" applyAlignment="1">
      <alignment horizontal="center" vertical="center"/>
    </xf>
    <xf numFmtId="49" fontId="2" fillId="0" borderId="99" xfId="3" applyNumberFormat="1" applyFont="1" applyBorder="1" applyAlignment="1">
      <alignment horizontal="center" vertical="center"/>
    </xf>
    <xf numFmtId="49" fontId="2" fillId="0" borderId="163" xfId="3" applyNumberFormat="1" applyFont="1" applyBorder="1" applyAlignment="1">
      <alignment horizontal="center" vertical="center"/>
    </xf>
    <xf numFmtId="49" fontId="12" fillId="0" borderId="180" xfId="3" applyNumberFormat="1" applyFont="1" applyBorder="1" applyAlignment="1">
      <alignment horizontal="distributed" vertical="center" shrinkToFit="1"/>
    </xf>
    <xf numFmtId="49" fontId="12" fillId="0" borderId="24" xfId="3" applyNumberFormat="1" applyFont="1" applyBorder="1" applyAlignment="1">
      <alignment horizontal="distributed" vertical="center" shrinkToFit="1"/>
    </xf>
    <xf numFmtId="49" fontId="12" fillId="0" borderId="157" xfId="3" applyNumberFormat="1" applyFont="1" applyBorder="1" applyAlignment="1">
      <alignment horizontal="distributed" vertical="center" shrinkToFit="1"/>
    </xf>
    <xf numFmtId="49" fontId="12" fillId="0" borderId="181" xfId="3" applyNumberFormat="1" applyFont="1" applyBorder="1" applyAlignment="1">
      <alignment horizontal="distributed" vertical="center" shrinkToFit="1"/>
    </xf>
    <xf numFmtId="49" fontId="12" fillId="0" borderId="153" xfId="3" applyNumberFormat="1" applyFont="1" applyBorder="1" applyAlignment="1">
      <alignment horizontal="distributed" vertical="center" shrinkToFit="1"/>
    </xf>
    <xf numFmtId="49" fontId="12" fillId="0" borderId="182" xfId="3" applyNumberFormat="1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distributed" vertical="center"/>
    </xf>
    <xf numFmtId="0" fontId="12" fillId="0" borderId="25" xfId="3" applyFont="1" applyBorder="1" applyAlignment="1">
      <alignment horizontal="distributed" vertical="center"/>
    </xf>
    <xf numFmtId="0" fontId="12" fillId="0" borderId="37" xfId="3" applyFont="1" applyBorder="1" applyAlignment="1">
      <alignment horizontal="distributed" vertical="center"/>
    </xf>
    <xf numFmtId="0" fontId="2" fillId="0" borderId="15" xfId="3" applyFont="1" applyBorder="1" applyAlignment="1">
      <alignment horizontal="distributed" vertical="center"/>
    </xf>
    <xf numFmtId="49" fontId="0" fillId="0" borderId="22" xfId="0" applyNumberFormat="1" applyBorder="1" applyAlignment="1" applyProtection="1">
      <alignment horizontal="right" vertical="center"/>
      <protection locked="0"/>
    </xf>
    <xf numFmtId="49" fontId="0" fillId="0" borderId="92" xfId="0" applyNumberFormat="1" applyBorder="1" applyAlignment="1" applyProtection="1">
      <alignment horizontal="right" vertical="center"/>
      <protection locked="0"/>
    </xf>
    <xf numFmtId="49" fontId="2" fillId="0" borderId="180" xfId="3" applyNumberFormat="1" applyFont="1" applyBorder="1" applyAlignment="1">
      <alignment horizontal="distributed" vertical="center" shrinkToFit="1"/>
    </xf>
    <xf numFmtId="0" fontId="2" fillId="0" borderId="174" xfId="3" applyFont="1" applyBorder="1" applyAlignment="1">
      <alignment horizontal="center" vertical="center"/>
    </xf>
    <xf numFmtId="49" fontId="2" fillId="0" borderId="147" xfId="3" applyNumberFormat="1" applyFont="1" applyBorder="1" applyAlignment="1">
      <alignment horizontal="distributed" vertical="center" shrinkToFit="1"/>
    </xf>
    <xf numFmtId="49" fontId="2" fillId="0" borderId="33" xfId="3" applyNumberFormat="1" applyFont="1" applyBorder="1" applyAlignment="1">
      <alignment horizontal="distributed" vertical="center" shrinkToFit="1"/>
    </xf>
    <xf numFmtId="49" fontId="2" fillId="0" borderId="184" xfId="3" applyNumberFormat="1" applyFont="1" applyBorder="1" applyAlignment="1">
      <alignment horizontal="distributed" vertical="center" shrinkToFit="1"/>
    </xf>
    <xf numFmtId="176" fontId="11" fillId="0" borderId="19" xfId="3" applyNumberFormat="1" applyFont="1" applyBorder="1" applyAlignment="1">
      <alignment horizontal="left" vertical="center"/>
    </xf>
    <xf numFmtId="176" fontId="11" fillId="0" borderId="20" xfId="3" applyNumberFormat="1" applyFont="1" applyBorder="1" applyAlignment="1">
      <alignment horizontal="left" vertical="center"/>
    </xf>
    <xf numFmtId="176" fontId="11" fillId="0" borderId="21" xfId="3" applyNumberFormat="1" applyFont="1" applyBorder="1" applyAlignment="1">
      <alignment horizontal="left" vertical="center"/>
    </xf>
    <xf numFmtId="0" fontId="2" fillId="0" borderId="186" xfId="3" applyFont="1" applyBorder="1" applyAlignment="1">
      <alignment horizontal="distributed" vertical="center"/>
    </xf>
    <xf numFmtId="0" fontId="2" fillId="0" borderId="148" xfId="3" applyFont="1" applyBorder="1" applyAlignment="1">
      <alignment horizontal="distributed" vertical="center"/>
    </xf>
    <xf numFmtId="0" fontId="2" fillId="0" borderId="149" xfId="3" applyFont="1" applyBorder="1" applyAlignment="1">
      <alignment horizontal="distributed" vertical="center"/>
    </xf>
    <xf numFmtId="49" fontId="2" fillId="0" borderId="147" xfId="3" applyNumberFormat="1" applyFont="1" applyBorder="1" applyAlignment="1" applyProtection="1">
      <alignment horizontal="right" vertical="center"/>
      <protection locked="0"/>
    </xf>
    <xf numFmtId="49" fontId="0" fillId="0" borderId="33" xfId="0" applyNumberFormat="1" applyBorder="1" applyAlignment="1" applyProtection="1">
      <alignment horizontal="right" vertical="center"/>
      <protection locked="0"/>
    </xf>
    <xf numFmtId="49" fontId="0" fillId="0" borderId="35" xfId="0" applyNumberFormat="1" applyBorder="1" applyAlignment="1" applyProtection="1">
      <alignment horizontal="right" vertical="center"/>
      <protection locked="0"/>
    </xf>
    <xf numFmtId="0" fontId="9" fillId="0" borderId="93" xfId="3" applyFont="1" applyBorder="1" applyAlignment="1">
      <alignment horizontal="distributed" vertical="center"/>
    </xf>
    <xf numFmtId="0" fontId="9" fillId="0" borderId="9" xfId="3" applyFont="1" applyBorder="1" applyAlignment="1">
      <alignment horizontal="distributed" vertical="center"/>
    </xf>
    <xf numFmtId="0" fontId="9" fillId="0" borderId="10" xfId="3" applyFont="1" applyBorder="1" applyAlignment="1">
      <alignment horizontal="distributed" vertical="center"/>
    </xf>
    <xf numFmtId="49" fontId="2" fillId="0" borderId="212" xfId="3" applyNumberFormat="1" applyFont="1" applyBorder="1" applyAlignment="1" applyProtection="1">
      <alignment horizontal="right" vertical="center"/>
      <protection locked="0"/>
    </xf>
    <xf numFmtId="49" fontId="2" fillId="0" borderId="213" xfId="3" applyNumberFormat="1" applyFont="1" applyBorder="1" applyAlignment="1" applyProtection="1">
      <alignment horizontal="right" vertical="center"/>
      <protection locked="0"/>
    </xf>
    <xf numFmtId="49" fontId="2" fillId="0" borderId="214" xfId="3" applyNumberFormat="1" applyFont="1" applyBorder="1" applyAlignment="1" applyProtection="1">
      <alignment horizontal="right" vertical="center"/>
      <protection locked="0"/>
    </xf>
    <xf numFmtId="49" fontId="2" fillId="0" borderId="248" xfId="3" applyNumberFormat="1" applyFont="1" applyBorder="1" applyAlignment="1" applyProtection="1">
      <alignment horizontal="right" vertical="center"/>
      <protection locked="0"/>
    </xf>
    <xf numFmtId="49" fontId="2" fillId="0" borderId="249" xfId="3" applyNumberFormat="1" applyFont="1" applyBorder="1" applyAlignment="1" applyProtection="1">
      <alignment horizontal="right" vertical="center"/>
      <protection locked="0"/>
    </xf>
    <xf numFmtId="49" fontId="2" fillId="0" borderId="251" xfId="3" applyNumberFormat="1" applyFont="1" applyBorder="1" applyAlignment="1" applyProtection="1">
      <alignment horizontal="right" vertical="center"/>
      <protection locked="0"/>
    </xf>
    <xf numFmtId="49" fontId="2" fillId="0" borderId="240" xfId="3" applyNumberFormat="1" applyFont="1" applyBorder="1" applyAlignment="1" applyProtection="1">
      <alignment horizontal="right" vertical="center"/>
      <protection locked="0"/>
    </xf>
    <xf numFmtId="0" fontId="2" fillId="3" borderId="87" xfId="3" applyFont="1" applyFill="1" applyBorder="1" applyAlignment="1">
      <alignment horizontal="center" vertical="center"/>
    </xf>
    <xf numFmtId="0" fontId="2" fillId="3" borderId="88" xfId="3" applyFont="1" applyFill="1" applyBorder="1" applyAlignment="1">
      <alignment horizontal="center" vertical="center"/>
    </xf>
    <xf numFmtId="0" fontId="2" fillId="3" borderId="89" xfId="3" applyFont="1" applyFill="1" applyBorder="1" applyAlignment="1">
      <alignment horizontal="center" vertical="center"/>
    </xf>
    <xf numFmtId="0" fontId="2" fillId="3" borderId="90" xfId="3" quotePrefix="1" applyFont="1" applyFill="1" applyBorder="1" applyAlignment="1">
      <alignment horizontal="center" vertical="center"/>
    </xf>
    <xf numFmtId="179" fontId="2" fillId="3" borderId="90" xfId="3" applyNumberFormat="1" applyFont="1" applyFill="1" applyBorder="1" applyAlignment="1">
      <alignment horizontal="center" vertical="center"/>
    </xf>
    <xf numFmtId="179" fontId="2" fillId="3" borderId="88" xfId="3" applyNumberFormat="1" applyFont="1" applyFill="1" applyBorder="1" applyAlignment="1">
      <alignment horizontal="center" vertical="center"/>
    </xf>
    <xf numFmtId="179" fontId="2" fillId="3" borderId="89" xfId="3" applyNumberFormat="1" applyFont="1" applyFill="1" applyBorder="1" applyAlignment="1">
      <alignment horizontal="center" vertical="center"/>
    </xf>
    <xf numFmtId="49" fontId="2" fillId="0" borderId="96" xfId="3" applyNumberFormat="1" applyFont="1" applyBorder="1" applyAlignment="1" applyProtection="1">
      <alignment horizontal="right" vertical="center"/>
      <protection locked="0"/>
    </xf>
    <xf numFmtId="49" fontId="2" fillId="0" borderId="247" xfId="3" applyNumberFormat="1" applyFont="1" applyBorder="1" applyAlignment="1" applyProtection="1">
      <alignment horizontal="right" vertical="center"/>
      <protection locked="0"/>
    </xf>
    <xf numFmtId="49" fontId="2" fillId="0" borderId="250" xfId="3" applyNumberFormat="1" applyFont="1" applyBorder="1" applyAlignment="1" applyProtection="1">
      <alignment horizontal="right" vertical="center"/>
      <protection locked="0"/>
    </xf>
    <xf numFmtId="49" fontId="2" fillId="0" borderId="5" xfId="3" applyNumberFormat="1" applyFont="1" applyBorder="1" applyAlignment="1" applyProtection="1">
      <alignment horizontal="right" vertical="center"/>
      <protection locked="0"/>
    </xf>
    <xf numFmtId="49" fontId="2" fillId="0" borderId="4" xfId="3" applyNumberFormat="1" applyFont="1" applyBorder="1" applyAlignment="1" applyProtection="1">
      <alignment horizontal="right" vertical="center"/>
      <protection locked="0"/>
    </xf>
    <xf numFmtId="49" fontId="2" fillId="0" borderId="18" xfId="3" applyNumberFormat="1" applyFont="1" applyBorder="1" applyAlignment="1" applyProtection="1">
      <alignment horizontal="right" vertical="center"/>
      <protection locked="0"/>
    </xf>
    <xf numFmtId="49" fontId="2" fillId="3" borderId="5" xfId="3" applyNumberFormat="1" applyFont="1" applyFill="1" applyBorder="1" applyAlignment="1">
      <alignment horizontal="right" vertical="center"/>
    </xf>
    <xf numFmtId="49" fontId="2" fillId="3" borderId="4" xfId="3" applyNumberFormat="1" applyFont="1" applyFill="1" applyBorder="1" applyAlignment="1">
      <alignment horizontal="right" vertical="center"/>
    </xf>
    <xf numFmtId="49" fontId="2" fillId="3" borderId="18" xfId="3" applyNumberFormat="1" applyFont="1" applyFill="1" applyBorder="1" applyAlignment="1">
      <alignment horizontal="right" vertical="center"/>
    </xf>
    <xf numFmtId="49" fontId="2" fillId="0" borderId="90" xfId="3" applyNumberFormat="1" applyFont="1" applyBorder="1" applyAlignment="1" applyProtection="1">
      <alignment horizontal="right" vertical="center"/>
      <protection locked="0"/>
    </xf>
    <xf numFmtId="49" fontId="2" fillId="0" borderId="88" xfId="3" applyNumberFormat="1" applyFont="1" applyBorder="1" applyAlignment="1" applyProtection="1">
      <alignment horizontal="right" vertical="center"/>
      <protection locked="0"/>
    </xf>
    <xf numFmtId="49" fontId="2" fillId="0" borderId="91" xfId="3" applyNumberFormat="1" applyFont="1" applyBorder="1" applyAlignment="1" applyProtection="1">
      <alignment horizontal="right" vertical="center"/>
      <protection locked="0"/>
    </xf>
    <xf numFmtId="49" fontId="2" fillId="0" borderId="6" xfId="3" applyNumberFormat="1" applyFont="1" applyBorder="1" applyAlignment="1" applyProtection="1">
      <alignment horizontal="right" vertical="center"/>
      <protection locked="0"/>
    </xf>
    <xf numFmtId="49" fontId="2" fillId="3" borderId="39" xfId="3" applyNumberFormat="1" applyFont="1" applyFill="1" applyBorder="1" applyAlignment="1">
      <alignment horizontal="right" vertical="center"/>
    </xf>
    <xf numFmtId="0" fontId="9" fillId="0" borderId="38" xfId="3" applyFont="1" applyBorder="1" applyAlignment="1">
      <alignment horizontal="distributed" vertical="center"/>
    </xf>
    <xf numFmtId="0" fontId="9" fillId="0" borderId="29" xfId="3" applyFont="1" applyBorder="1" applyAlignment="1">
      <alignment horizontal="distributed" vertical="center"/>
    </xf>
    <xf numFmtId="0" fontId="9" fillId="0" borderId="39" xfId="3" applyFont="1" applyBorder="1" applyAlignment="1">
      <alignment horizontal="distributed" vertical="center"/>
    </xf>
    <xf numFmtId="49" fontId="2" fillId="0" borderId="204" xfId="3" applyNumberFormat="1" applyFont="1" applyBorder="1" applyAlignment="1">
      <alignment horizontal="center" vertical="center"/>
    </xf>
    <xf numFmtId="49" fontId="2" fillId="0" borderId="205" xfId="3" applyNumberFormat="1" applyFont="1" applyBorder="1" applyAlignment="1">
      <alignment horizontal="center" vertical="center"/>
    </xf>
    <xf numFmtId="49" fontId="2" fillId="0" borderId="206" xfId="3" applyNumberFormat="1" applyFont="1" applyBorder="1" applyAlignment="1">
      <alignment horizontal="center" vertical="center"/>
    </xf>
    <xf numFmtId="0" fontId="2" fillId="0" borderId="85" xfId="3" applyFont="1" applyBorder="1" applyAlignment="1">
      <alignment horizontal="center" vertical="center"/>
    </xf>
    <xf numFmtId="0" fontId="2" fillId="0" borderId="66" xfId="3" applyFont="1" applyBorder="1" applyAlignment="1">
      <alignment horizontal="center" vertical="center"/>
    </xf>
    <xf numFmtId="0" fontId="2" fillId="0" borderId="191" xfId="3" applyFont="1" applyBorder="1" applyAlignment="1">
      <alignment horizontal="center" vertical="center"/>
    </xf>
    <xf numFmtId="49" fontId="2" fillId="3" borderId="6" xfId="3" applyNumberFormat="1" applyFont="1" applyFill="1" applyBorder="1" applyAlignment="1">
      <alignment horizontal="right" vertical="center"/>
    </xf>
    <xf numFmtId="0" fontId="2" fillId="0" borderId="173" xfId="3" applyFont="1" applyBorder="1" applyAlignment="1">
      <alignment horizontal="center" vertical="center" shrinkToFit="1"/>
    </xf>
    <xf numFmtId="0" fontId="2" fillId="0" borderId="174" xfId="3" applyFont="1" applyBorder="1" applyAlignment="1">
      <alignment horizontal="center" vertical="center" shrinkToFit="1"/>
    </xf>
    <xf numFmtId="0" fontId="2" fillId="0" borderId="187" xfId="3" applyFont="1" applyBorder="1" applyAlignment="1">
      <alignment horizontal="center" vertical="center" shrinkToFit="1"/>
    </xf>
    <xf numFmtId="0" fontId="2" fillId="0" borderId="20" xfId="3" applyFont="1" applyBorder="1" applyAlignment="1">
      <alignment horizontal="center" vertical="center" shrinkToFit="1"/>
    </xf>
    <xf numFmtId="0" fontId="2" fillId="0" borderId="188" xfId="3" applyFont="1" applyBorder="1" applyAlignment="1">
      <alignment horizontal="center" vertical="center" shrinkToFit="1"/>
    </xf>
    <xf numFmtId="0" fontId="2" fillId="0" borderId="189" xfId="3" applyFont="1" applyBorder="1" applyAlignment="1">
      <alignment horizontal="center" vertical="center" shrinkToFit="1"/>
    </xf>
    <xf numFmtId="0" fontId="2" fillId="0" borderId="21" xfId="3" applyFont="1" applyBorder="1" applyAlignment="1">
      <alignment horizontal="center" vertical="center" shrinkToFit="1"/>
    </xf>
    <xf numFmtId="0" fontId="11" fillId="0" borderId="42" xfId="3" applyFont="1" applyBorder="1" applyAlignment="1">
      <alignment horizontal="center" vertical="center"/>
    </xf>
    <xf numFmtId="1" fontId="2" fillId="3" borderId="90" xfId="3" applyNumberFormat="1" applyFont="1" applyFill="1" applyBorder="1" applyAlignment="1">
      <alignment horizontal="center" vertical="center"/>
    </xf>
    <xf numFmtId="1" fontId="2" fillId="3" borderId="88" xfId="3" applyNumberFormat="1" applyFont="1" applyFill="1" applyBorder="1" applyAlignment="1">
      <alignment horizontal="center" vertical="center"/>
    </xf>
    <xf numFmtId="1" fontId="2" fillId="3" borderId="91" xfId="3" applyNumberFormat="1" applyFont="1" applyFill="1" applyBorder="1" applyAlignment="1">
      <alignment horizontal="center" vertical="center"/>
    </xf>
    <xf numFmtId="0" fontId="11" fillId="0" borderId="19" xfId="3" applyFont="1" applyBorder="1" applyAlignment="1">
      <alignment horizontal="left" vertical="center" shrinkToFit="1"/>
    </xf>
    <xf numFmtId="0" fontId="11" fillId="0" borderId="20" xfId="3" applyFont="1" applyBorder="1" applyAlignment="1">
      <alignment horizontal="left" vertical="center" shrinkToFit="1"/>
    </xf>
    <xf numFmtId="0" fontId="11" fillId="0" borderId="21" xfId="3" applyFont="1" applyBorder="1" applyAlignment="1">
      <alignment horizontal="left" vertical="center" shrinkToFit="1"/>
    </xf>
    <xf numFmtId="0" fontId="2" fillId="0" borderId="17" xfId="3" applyFont="1" applyBorder="1" applyAlignment="1">
      <alignment horizontal="center" vertical="center" textRotation="255"/>
    </xf>
    <xf numFmtId="0" fontId="2" fillId="0" borderId="66" xfId="3" applyFont="1" applyBorder="1" applyAlignment="1">
      <alignment horizontal="center" vertical="center" textRotation="255"/>
    </xf>
    <xf numFmtId="0" fontId="2" fillId="0" borderId="67" xfId="3" applyFont="1" applyBorder="1" applyAlignment="1">
      <alignment horizontal="center" vertical="center" textRotation="255"/>
    </xf>
    <xf numFmtId="0" fontId="2" fillId="0" borderId="191" xfId="3" applyFont="1" applyBorder="1" applyAlignment="1">
      <alignment horizontal="center" vertical="center" textRotation="255"/>
    </xf>
    <xf numFmtId="0" fontId="2" fillId="0" borderId="51" xfId="3" applyFont="1" applyBorder="1" applyAlignment="1">
      <alignment horizontal="center" vertical="center" textRotation="255" shrinkToFit="1"/>
    </xf>
    <xf numFmtId="0" fontId="2" fillId="0" borderId="66" xfId="3" applyFont="1" applyBorder="1" applyAlignment="1">
      <alignment horizontal="center" vertical="center" textRotation="255" shrinkToFit="1"/>
    </xf>
    <xf numFmtId="0" fontId="2" fillId="0" borderId="81" xfId="3" applyFont="1" applyBorder="1" applyAlignment="1">
      <alignment horizontal="center" vertical="center" textRotation="255" shrinkToFit="1"/>
    </xf>
    <xf numFmtId="0" fontId="2" fillId="0" borderId="80" xfId="3" applyFont="1" applyBorder="1" applyAlignment="1">
      <alignment horizontal="center" vertical="center" textRotation="255" shrinkToFit="1"/>
    </xf>
    <xf numFmtId="0" fontId="2" fillId="0" borderId="81" xfId="3" applyFont="1" applyBorder="1" applyAlignment="1">
      <alignment horizontal="distributed" vertical="center" shrinkToFit="1"/>
    </xf>
    <xf numFmtId="0" fontId="2" fillId="0" borderId="41" xfId="3" applyFont="1" applyBorder="1" applyAlignment="1">
      <alignment horizontal="distributed" vertical="center" shrinkToFit="1"/>
    </xf>
    <xf numFmtId="0" fontId="2" fillId="0" borderId="80" xfId="3" applyFont="1" applyBorder="1" applyAlignment="1">
      <alignment horizontal="distributed" vertical="center" shrinkToFit="1"/>
    </xf>
    <xf numFmtId="0" fontId="2" fillId="0" borderId="85" xfId="3" applyFont="1" applyBorder="1" applyAlignment="1">
      <alignment horizontal="center" vertical="center" wrapText="1"/>
    </xf>
    <xf numFmtId="0" fontId="2" fillId="0" borderId="66" xfId="3" applyFont="1" applyBorder="1" applyAlignment="1">
      <alignment horizontal="center" vertical="center" wrapText="1"/>
    </xf>
    <xf numFmtId="0" fontId="2" fillId="0" borderId="191" xfId="3" applyFont="1" applyBorder="1" applyAlignment="1">
      <alignment horizontal="center" vertical="center" wrapText="1"/>
    </xf>
    <xf numFmtId="0" fontId="2" fillId="0" borderId="22" xfId="3" applyFont="1" applyBorder="1" applyAlignment="1">
      <alignment horizontal="distributed" vertical="center" shrinkToFit="1"/>
    </xf>
    <xf numFmtId="0" fontId="2" fillId="0" borderId="155" xfId="3" applyFont="1" applyBorder="1" applyAlignment="1">
      <alignment horizontal="distributed" vertical="center" shrinkToFit="1"/>
    </xf>
    <xf numFmtId="0" fontId="2" fillId="0" borderId="67" xfId="3" applyFont="1" applyBorder="1" applyAlignment="1">
      <alignment horizontal="center" vertical="center" shrinkToFit="1"/>
    </xf>
    <xf numFmtId="0" fontId="2" fillId="0" borderId="12" xfId="3" applyFont="1" applyBorder="1" applyAlignment="1">
      <alignment horizontal="center" vertical="center" shrinkToFit="1"/>
    </xf>
    <xf numFmtId="0" fontId="2" fillId="0" borderId="13" xfId="3" applyFont="1" applyBorder="1" applyAlignment="1">
      <alignment horizontal="center" vertical="center" shrinkToFit="1"/>
    </xf>
    <xf numFmtId="0" fontId="9" fillId="0" borderId="11" xfId="3" applyFont="1" applyBorder="1" applyAlignment="1">
      <alignment horizontal="center" vertical="center"/>
    </xf>
    <xf numFmtId="0" fontId="9" fillId="0" borderId="12" xfId="3" applyFont="1" applyBorder="1" applyAlignment="1">
      <alignment horizontal="center" vertical="center"/>
    </xf>
    <xf numFmtId="0" fontId="9" fillId="0" borderId="13" xfId="3" applyFont="1" applyBorder="1" applyAlignment="1">
      <alignment horizontal="center" vertical="center"/>
    </xf>
    <xf numFmtId="0" fontId="9" fillId="0" borderId="68" xfId="3" applyFont="1" applyBorder="1" applyAlignment="1">
      <alignment horizontal="center" vertical="center"/>
    </xf>
    <xf numFmtId="0" fontId="2" fillId="0" borderId="32" xfId="3" applyFont="1" applyBorder="1" applyAlignment="1">
      <alignment horizontal="distributed" vertical="center" shrinkToFit="1"/>
    </xf>
    <xf numFmtId="0" fontId="2" fillId="0" borderId="25" xfId="3" applyFont="1" applyBorder="1" applyAlignment="1">
      <alignment horizontal="distributed" vertical="center" shrinkToFit="1"/>
    </xf>
    <xf numFmtId="0" fontId="2" fillId="0" borderId="157" xfId="3" applyFont="1" applyBorder="1" applyAlignment="1">
      <alignment horizontal="distributed" vertical="center" shrinkToFit="1"/>
    </xf>
    <xf numFmtId="0" fontId="2" fillId="0" borderId="125" xfId="3" applyFont="1" applyBorder="1" applyAlignment="1">
      <alignment horizontal="distributed" vertical="center"/>
    </xf>
    <xf numFmtId="0" fontId="2" fillId="0" borderId="82" xfId="3" applyFont="1" applyBorder="1" applyAlignment="1">
      <alignment horizontal="distributed" vertical="center"/>
    </xf>
    <xf numFmtId="0" fontId="2" fillId="0" borderId="192" xfId="3" applyFont="1" applyBorder="1" applyAlignment="1">
      <alignment horizontal="distributed" vertical="center"/>
    </xf>
    <xf numFmtId="49" fontId="2" fillId="0" borderId="193" xfId="3" applyNumberFormat="1" applyFont="1" applyBorder="1" applyAlignment="1">
      <alignment horizontal="center" vertical="center"/>
    </xf>
    <xf numFmtId="49" fontId="2" fillId="0" borderId="194" xfId="3" applyNumberFormat="1" applyFont="1" applyBorder="1" applyAlignment="1">
      <alignment horizontal="center" vertical="center"/>
    </xf>
    <xf numFmtId="49" fontId="2" fillId="0" borderId="195" xfId="3" applyNumberFormat="1" applyFont="1" applyBorder="1" applyAlignment="1">
      <alignment horizontal="center" vertical="center"/>
    </xf>
    <xf numFmtId="0" fontId="9" fillId="0" borderId="126" xfId="3" applyFont="1" applyBorder="1" applyAlignment="1">
      <alignment horizontal="distributed" vertical="center"/>
    </xf>
    <xf numFmtId="0" fontId="9" fillId="0" borderId="196" xfId="3" applyFont="1" applyBorder="1" applyAlignment="1">
      <alignment horizontal="distributed" vertical="center"/>
    </xf>
    <xf numFmtId="0" fontId="9" fillId="0" borderId="197" xfId="3" applyFont="1" applyBorder="1" applyAlignment="1">
      <alignment horizontal="distributed" vertical="center"/>
    </xf>
    <xf numFmtId="0" fontId="9" fillId="0" borderId="78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6" xfId="3" applyFont="1" applyBorder="1" applyAlignment="1">
      <alignment horizontal="center" vertical="center"/>
    </xf>
    <xf numFmtId="49" fontId="9" fillId="0" borderId="5" xfId="3" applyNumberFormat="1" applyFont="1" applyBorder="1" applyAlignment="1">
      <alignment horizontal="center" vertical="center"/>
    </xf>
    <xf numFmtId="49" fontId="9" fillId="0" borderId="4" xfId="3" applyNumberFormat="1" applyFont="1" applyBorder="1" applyAlignment="1">
      <alignment horizontal="center" vertical="center"/>
    </xf>
    <xf numFmtId="49" fontId="9" fillId="0" borderId="6" xfId="3" applyNumberFormat="1" applyFont="1" applyBorder="1" applyAlignment="1">
      <alignment horizontal="center" vertical="center"/>
    </xf>
    <xf numFmtId="0" fontId="9" fillId="0" borderId="7" xfId="3" applyFont="1" applyBorder="1" applyAlignment="1">
      <alignment horizontal="center" vertical="center"/>
    </xf>
    <xf numFmtId="0" fontId="17" fillId="0" borderId="7" xfId="3" applyFont="1" applyBorder="1" applyAlignment="1">
      <alignment horizontal="center" vertical="center"/>
    </xf>
    <xf numFmtId="0" fontId="2" fillId="0" borderId="53" xfId="3" applyFont="1" applyBorder="1" applyAlignment="1">
      <alignment horizontal="distributed" vertical="center"/>
    </xf>
    <xf numFmtId="0" fontId="2" fillId="0" borderId="198" xfId="3" applyFont="1" applyBorder="1" applyAlignment="1">
      <alignment horizontal="distributed" vertical="center"/>
    </xf>
    <xf numFmtId="49" fontId="2" fillId="0" borderId="199" xfId="3" applyNumberFormat="1" applyFont="1" applyBorder="1" applyAlignment="1">
      <alignment horizontal="center" vertical="center"/>
    </xf>
    <xf numFmtId="49" fontId="2" fillId="0" borderId="200" xfId="3" applyNumberFormat="1" applyFont="1" applyBorder="1" applyAlignment="1">
      <alignment horizontal="center" vertical="center"/>
    </xf>
    <xf numFmtId="49" fontId="2" fillId="0" borderId="201" xfId="3" applyNumberFormat="1" applyFont="1" applyBorder="1" applyAlignment="1">
      <alignment horizontal="center" vertical="center"/>
    </xf>
    <xf numFmtId="0" fontId="2" fillId="0" borderId="24" xfId="3" applyFont="1" applyBorder="1" applyAlignment="1">
      <alignment horizontal="center" vertical="center" shrinkToFit="1"/>
    </xf>
    <xf numFmtId="0" fontId="2" fillId="0" borderId="0" xfId="3" applyFont="1" applyAlignment="1">
      <alignment horizontal="center" vertical="center" textRotation="255"/>
    </xf>
    <xf numFmtId="0" fontId="2" fillId="0" borderId="12" xfId="3" applyFont="1" applyBorder="1" applyAlignment="1">
      <alignment horizontal="center" vertical="center" textRotation="255"/>
    </xf>
    <xf numFmtId="0" fontId="2" fillId="0" borderId="81" xfId="3" applyFont="1" applyBorder="1" applyAlignment="1">
      <alignment horizontal="center" vertical="center" textRotation="255" wrapText="1" shrinkToFit="1"/>
    </xf>
    <xf numFmtId="0" fontId="2" fillId="0" borderId="32" xfId="3" applyFont="1" applyBorder="1" applyAlignment="1">
      <alignment horizontal="center" vertical="center" textRotation="255" shrinkToFit="1"/>
    </xf>
    <xf numFmtId="0" fontId="2" fillId="0" borderId="157" xfId="3" applyFont="1" applyBorder="1" applyAlignment="1">
      <alignment horizontal="center" vertical="center" textRotation="255" shrinkToFit="1"/>
    </xf>
    <xf numFmtId="0" fontId="12" fillId="0" borderId="202" xfId="3" applyFont="1" applyBorder="1" applyAlignment="1">
      <alignment horizontal="distributed" vertical="center"/>
    </xf>
    <xf numFmtId="0" fontId="12" fillId="0" borderId="25" xfId="3" applyFont="1" applyBorder="1" applyAlignment="1">
      <alignment horizontal="center" vertical="center" shrinkToFit="1"/>
    </xf>
    <xf numFmtId="0" fontId="2" fillId="0" borderId="12" xfId="3" applyFont="1" applyBorder="1" applyAlignment="1">
      <alignment horizontal="distributed" vertical="center" shrinkToFit="1"/>
    </xf>
    <xf numFmtId="0" fontId="2" fillId="0" borderId="191" xfId="3" applyFont="1" applyBorder="1" applyAlignment="1">
      <alignment horizontal="distributed" vertical="center" shrinkToFit="1"/>
    </xf>
    <xf numFmtId="0" fontId="2" fillId="0" borderId="51" xfId="3" applyFont="1" applyBorder="1" applyAlignment="1">
      <alignment horizontal="center" vertical="center" wrapText="1"/>
    </xf>
    <xf numFmtId="0" fontId="2" fillId="0" borderId="81" xfId="3" applyFont="1" applyBorder="1" applyAlignment="1">
      <alignment horizontal="center" vertical="center"/>
    </xf>
    <xf numFmtId="0" fontId="2" fillId="0" borderId="80" xfId="3" applyFont="1" applyBorder="1" applyAlignment="1">
      <alignment horizontal="center" vertical="center"/>
    </xf>
    <xf numFmtId="0" fontId="12" fillId="0" borderId="53" xfId="3" applyFont="1" applyBorder="1" applyAlignment="1">
      <alignment horizontal="distributed" vertical="center"/>
    </xf>
    <xf numFmtId="0" fontId="2" fillId="0" borderId="202" xfId="3" applyFont="1" applyBorder="1" applyAlignment="1">
      <alignment horizontal="distributed" vertical="center"/>
    </xf>
    <xf numFmtId="0" fontId="2" fillId="0" borderId="157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/>
    </xf>
    <xf numFmtId="0" fontId="2" fillId="0" borderId="207" xfId="3" applyFont="1" applyBorder="1" applyAlignment="1">
      <alignment horizontal="center" vertical="center"/>
    </xf>
    <xf numFmtId="0" fontId="2" fillId="0" borderId="55" xfId="3" applyFont="1" applyBorder="1" applyAlignment="1">
      <alignment horizontal="center" vertical="center"/>
    </xf>
    <xf numFmtId="0" fontId="2" fillId="0" borderId="208" xfId="3" applyFont="1" applyBorder="1" applyAlignment="1">
      <alignment horizontal="distributed" vertical="center"/>
    </xf>
    <xf numFmtId="0" fontId="14" fillId="0" borderId="4" xfId="3" applyFont="1" applyBorder="1" applyAlignment="1">
      <alignment horizontal="distributed" vertical="center" shrinkToFit="1"/>
    </xf>
    <xf numFmtId="0" fontId="14" fillId="0" borderId="6" xfId="3" applyFont="1" applyBorder="1" applyAlignment="1">
      <alignment horizontal="distributed" vertical="center" shrinkToFit="1"/>
    </xf>
    <xf numFmtId="0" fontId="2" fillId="0" borderId="93" xfId="3" applyFont="1" applyBorder="1" applyAlignment="1">
      <alignment horizontal="center" vertical="center" textRotation="255"/>
    </xf>
    <xf numFmtId="0" fontId="2" fillId="0" borderId="85" xfId="3" applyFont="1" applyBorder="1" applyAlignment="1">
      <alignment horizontal="center" vertical="center" textRotation="255"/>
    </xf>
    <xf numFmtId="0" fontId="2" fillId="0" borderId="190" xfId="3" applyFont="1" applyBorder="1" applyAlignment="1">
      <alignment horizontal="center" vertical="center" textRotation="255"/>
    </xf>
    <xf numFmtId="0" fontId="2" fillId="0" borderId="51" xfId="3" applyFont="1" applyBorder="1" applyAlignment="1">
      <alignment horizontal="center" vertical="center" textRotation="255"/>
    </xf>
    <xf numFmtId="0" fontId="2" fillId="0" borderId="81" xfId="3" applyFont="1" applyBorder="1" applyAlignment="1">
      <alignment horizontal="center" vertical="center" textRotation="255"/>
    </xf>
    <xf numFmtId="0" fontId="2" fillId="0" borderId="80" xfId="3" applyFont="1" applyBorder="1" applyAlignment="1">
      <alignment horizontal="center" vertical="center" textRotation="255"/>
    </xf>
    <xf numFmtId="0" fontId="2" fillId="0" borderId="84" xfId="3" applyFont="1" applyBorder="1" applyAlignment="1">
      <alignment horizontal="distributed" vertical="center" shrinkToFit="1"/>
    </xf>
    <xf numFmtId="0" fontId="2" fillId="0" borderId="38" xfId="3" applyFont="1" applyBorder="1" applyAlignment="1">
      <alignment horizontal="distributed" vertical="center" shrinkToFit="1"/>
    </xf>
    <xf numFmtId="0" fontId="2" fillId="0" borderId="29" xfId="3" applyFont="1" applyBorder="1" applyAlignment="1">
      <alignment horizontal="distributed" vertical="center" shrinkToFit="1"/>
    </xf>
    <xf numFmtId="0" fontId="2" fillId="0" borderId="159" xfId="3" applyFont="1" applyBorder="1" applyAlignment="1">
      <alignment horizontal="distributed" vertical="center" shrinkToFit="1"/>
    </xf>
    <xf numFmtId="0" fontId="2" fillId="0" borderId="9" xfId="3" applyFont="1" applyBorder="1" applyAlignment="1">
      <alignment horizontal="left" vertical="center" textRotation="255"/>
    </xf>
    <xf numFmtId="0" fontId="2" fillId="0" borderId="0" xfId="3" applyFont="1" applyAlignment="1">
      <alignment horizontal="left" vertical="center" textRotation="255"/>
    </xf>
    <xf numFmtId="0" fontId="2" fillId="0" borderId="12" xfId="3" applyFont="1" applyBorder="1" applyAlignment="1">
      <alignment horizontal="left" vertical="center" textRotation="255"/>
    </xf>
    <xf numFmtId="0" fontId="2" fillId="0" borderId="84" xfId="3" applyFont="1" applyBorder="1" applyAlignment="1">
      <alignment horizontal="distributed" vertical="center" wrapText="1"/>
    </xf>
    <xf numFmtId="0" fontId="2" fillId="0" borderId="36" xfId="3" applyFont="1" applyBorder="1" applyAlignment="1">
      <alignment horizontal="distributed" vertical="center" wrapText="1"/>
    </xf>
    <xf numFmtId="0" fontId="2" fillId="0" borderId="191" xfId="3" applyFont="1" applyBorder="1" applyAlignment="1">
      <alignment horizontal="distributed" vertical="center"/>
    </xf>
    <xf numFmtId="0" fontId="2" fillId="0" borderId="112" xfId="3" applyFont="1" applyBorder="1" applyAlignment="1">
      <alignment horizontal="center" vertical="center" shrinkToFit="1"/>
    </xf>
    <xf numFmtId="0" fontId="2" fillId="0" borderId="47" xfId="3" applyFont="1" applyBorder="1" applyAlignment="1">
      <alignment horizontal="center" vertical="center" shrinkToFit="1"/>
    </xf>
    <xf numFmtId="0" fontId="2" fillId="0" borderId="50" xfId="3" applyFont="1" applyBorder="1" applyAlignment="1">
      <alignment horizontal="center" vertical="center" shrinkToFit="1"/>
    </xf>
    <xf numFmtId="0" fontId="2" fillId="0" borderId="4" xfId="3" applyFont="1" applyBorder="1" applyAlignment="1">
      <alignment horizontal="distributed" vertical="center" wrapText="1"/>
    </xf>
    <xf numFmtId="0" fontId="2" fillId="0" borderId="6" xfId="3" applyFont="1" applyBorder="1" applyAlignment="1">
      <alignment horizontal="distributed" vertical="center" wrapText="1"/>
    </xf>
    <xf numFmtId="49" fontId="2" fillId="0" borderId="209" xfId="3" applyNumberFormat="1" applyFont="1" applyBorder="1" applyAlignment="1">
      <alignment horizontal="center" vertical="center"/>
    </xf>
    <xf numFmtId="49" fontId="2" fillId="0" borderId="210" xfId="3" applyNumberFormat="1" applyFont="1" applyBorder="1" applyAlignment="1">
      <alignment horizontal="center" vertical="center"/>
    </xf>
    <xf numFmtId="49" fontId="2" fillId="0" borderId="211" xfId="3" applyNumberFormat="1" applyFont="1" applyBorder="1" applyAlignment="1">
      <alignment horizontal="center" vertical="center"/>
    </xf>
    <xf numFmtId="0" fontId="2" fillId="0" borderId="32" xfId="3" applyFont="1" applyBorder="1" applyAlignment="1">
      <alignment horizontal="distributed" vertical="center" textRotation="255"/>
    </xf>
    <xf numFmtId="0" fontId="2" fillId="0" borderId="157" xfId="3" applyFont="1" applyBorder="1" applyAlignment="1">
      <alignment horizontal="distributed" vertical="center" textRotation="255"/>
    </xf>
    <xf numFmtId="0" fontId="2" fillId="0" borderId="38" xfId="3" applyFont="1" applyBorder="1" applyAlignment="1">
      <alignment horizontal="distributed" vertical="center" textRotation="255"/>
    </xf>
    <xf numFmtId="0" fontId="2" fillId="0" borderId="159" xfId="3" applyFont="1" applyBorder="1" applyAlignment="1">
      <alignment horizontal="distributed" vertical="center" textRotation="255"/>
    </xf>
    <xf numFmtId="0" fontId="2" fillId="0" borderId="84" xfId="3" applyFont="1" applyBorder="1" applyAlignment="1">
      <alignment horizontal="distributed" vertical="center"/>
    </xf>
    <xf numFmtId="0" fontId="9" fillId="0" borderId="55" xfId="3" applyFont="1" applyBorder="1" applyAlignment="1">
      <alignment horizontal="distributed" vertical="center"/>
    </xf>
    <xf numFmtId="0" fontId="9" fillId="0" borderId="12" xfId="3" applyFont="1" applyBorder="1" applyAlignment="1">
      <alignment horizontal="distributed" vertical="center"/>
    </xf>
    <xf numFmtId="0" fontId="9" fillId="0" borderId="13" xfId="3" applyFont="1" applyBorder="1" applyAlignment="1">
      <alignment horizontal="distributed" vertical="center"/>
    </xf>
    <xf numFmtId="0" fontId="2" fillId="0" borderId="159" xfId="3" applyFont="1" applyBorder="1" applyAlignment="1">
      <alignment horizontal="distributed" vertical="center"/>
    </xf>
    <xf numFmtId="0" fontId="9" fillId="0" borderId="38" xfId="3" applyFont="1" applyBorder="1" applyAlignment="1">
      <alignment horizontal="center" vertical="center"/>
    </xf>
    <xf numFmtId="0" fontId="9" fillId="0" borderId="29" xfId="3" applyFont="1" applyBorder="1" applyAlignment="1">
      <alignment horizontal="center" vertical="center"/>
    </xf>
    <xf numFmtId="0" fontId="9" fillId="0" borderId="39" xfId="3" applyFont="1" applyBorder="1" applyAlignment="1">
      <alignment horizontal="center" vertical="center"/>
    </xf>
    <xf numFmtId="0" fontId="2" fillId="0" borderId="155" xfId="3" applyFont="1" applyBorder="1" applyAlignment="1">
      <alignment horizontal="distributed" vertical="center"/>
    </xf>
    <xf numFmtId="0" fontId="9" fillId="0" borderId="191" xfId="3" applyFont="1" applyBorder="1" applyAlignment="1">
      <alignment horizontal="distributed" vertical="center"/>
    </xf>
    <xf numFmtId="0" fontId="9" fillId="0" borderId="82" xfId="3" applyFont="1" applyBorder="1" applyAlignment="1">
      <alignment horizontal="distributed" vertical="center"/>
    </xf>
    <xf numFmtId="0" fontId="9" fillId="0" borderId="192" xfId="3" applyFont="1" applyBorder="1" applyAlignment="1">
      <alignment horizontal="distributed" vertical="center"/>
    </xf>
    <xf numFmtId="49" fontId="2" fillId="0" borderId="215" xfId="3" applyNumberFormat="1" applyFont="1" applyBorder="1" applyAlignment="1">
      <alignment horizontal="center" vertical="center"/>
    </xf>
    <xf numFmtId="49" fontId="2" fillId="0" borderId="216" xfId="3" applyNumberFormat="1" applyFont="1" applyBorder="1" applyAlignment="1">
      <alignment horizontal="center" vertical="center"/>
    </xf>
    <xf numFmtId="49" fontId="2" fillId="0" borderId="217" xfId="3" applyNumberFormat="1" applyFont="1" applyBorder="1" applyAlignment="1">
      <alignment horizontal="center" vertical="center"/>
    </xf>
    <xf numFmtId="0" fontId="12" fillId="0" borderId="9" xfId="3" applyFont="1" applyBorder="1" applyAlignment="1">
      <alignment horizontal="center" vertical="center" wrapText="1"/>
    </xf>
    <xf numFmtId="0" fontId="12" fillId="0" borderId="85" xfId="3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 wrapText="1"/>
    </xf>
    <xf numFmtId="0" fontId="12" fillId="0" borderId="66" xfId="3" applyFont="1" applyBorder="1" applyAlignment="1">
      <alignment horizontal="center" vertical="center" wrapText="1"/>
    </xf>
    <xf numFmtId="0" fontId="12" fillId="0" borderId="12" xfId="3" applyFont="1" applyBorder="1" applyAlignment="1">
      <alignment horizontal="center" vertical="center" wrapText="1"/>
    </xf>
    <xf numFmtId="0" fontId="12" fillId="0" borderId="191" xfId="3" applyFont="1" applyBorder="1" applyAlignment="1">
      <alignment horizontal="center" vertical="center" wrapText="1"/>
    </xf>
    <xf numFmtId="0" fontId="2" fillId="0" borderId="84" xfId="3" applyFont="1" applyBorder="1" applyAlignment="1">
      <alignment vertical="center" shrinkToFit="1"/>
    </xf>
    <xf numFmtId="0" fontId="2" fillId="0" borderId="22" xfId="3" applyFont="1" applyBorder="1" applyAlignment="1">
      <alignment vertical="center" shrinkToFit="1"/>
    </xf>
    <xf numFmtId="0" fontId="2" fillId="0" borderId="36" xfId="3" applyFont="1" applyBorder="1" applyAlignment="1">
      <alignment vertical="center" shrinkToFit="1"/>
    </xf>
    <xf numFmtId="0" fontId="2" fillId="0" borderId="81" xfId="3" applyFont="1" applyBorder="1" applyAlignment="1">
      <alignment horizontal="distributed" vertical="center" wrapText="1"/>
    </xf>
    <xf numFmtId="0" fontId="2" fillId="0" borderId="80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 textRotation="255"/>
    </xf>
    <xf numFmtId="0" fontId="2" fillId="0" borderId="207" xfId="3" applyFont="1" applyBorder="1" applyAlignment="1">
      <alignment horizontal="center" vertical="center" textRotation="255"/>
    </xf>
    <xf numFmtId="0" fontId="2" fillId="0" borderId="55" xfId="3" applyFont="1" applyBorder="1" applyAlignment="1">
      <alignment horizontal="center" vertical="center" textRotation="255"/>
    </xf>
    <xf numFmtId="0" fontId="2" fillId="0" borderId="9" xfId="3" applyFont="1" applyBorder="1" applyAlignment="1">
      <alignment horizontal="center" vertical="center" textRotation="255"/>
    </xf>
    <xf numFmtId="0" fontId="9" fillId="0" borderId="66" xfId="3" applyFont="1" applyBorder="1" applyAlignment="1">
      <alignment horizontal="distributed" vertical="center"/>
    </xf>
    <xf numFmtId="0" fontId="9" fillId="0" borderId="53" xfId="3" applyFont="1" applyBorder="1" applyAlignment="1">
      <alignment horizontal="distributed" vertical="center"/>
    </xf>
    <xf numFmtId="0" fontId="9" fillId="0" borderId="198" xfId="3" applyFont="1" applyBorder="1" applyAlignment="1">
      <alignment horizontal="distributed" vertical="center"/>
    </xf>
    <xf numFmtId="0" fontId="2" fillId="0" borderId="4" xfId="3" applyFont="1" applyBorder="1" applyAlignment="1">
      <alignment horizontal="distributed" vertical="center"/>
    </xf>
    <xf numFmtId="0" fontId="2" fillId="0" borderId="6" xfId="3" applyFont="1" applyBorder="1" applyAlignment="1">
      <alignment horizontal="distributed" vertical="center"/>
    </xf>
    <xf numFmtId="0" fontId="9" fillId="0" borderId="33" xfId="3" applyFont="1" applyBorder="1" applyAlignment="1">
      <alignment vertical="center" shrinkToFit="1"/>
    </xf>
    <xf numFmtId="0" fontId="9" fillId="0" borderId="44" xfId="3" applyFont="1" applyBorder="1" applyAlignment="1">
      <alignment vertical="center" shrinkToFit="1"/>
    </xf>
    <xf numFmtId="0" fontId="2" fillId="0" borderId="32" xfId="3" applyFont="1" applyBorder="1" applyAlignment="1">
      <alignment horizontal="center" vertical="center" wrapText="1"/>
    </xf>
    <xf numFmtId="0" fontId="2" fillId="0" borderId="25" xfId="3" applyFont="1" applyBorder="1" applyAlignment="1">
      <alignment horizontal="center" vertical="center" wrapText="1"/>
    </xf>
    <xf numFmtId="0" fontId="2" fillId="0" borderId="37" xfId="3" applyFont="1" applyBorder="1" applyAlignment="1">
      <alignment horizontal="center" vertical="center" wrapText="1"/>
    </xf>
    <xf numFmtId="0" fontId="2" fillId="0" borderId="81" xfId="3" applyFont="1" applyBorder="1" applyAlignment="1">
      <alignment horizontal="distributed" vertical="center" textRotation="255"/>
    </xf>
    <xf numFmtId="0" fontId="2" fillId="0" borderId="80" xfId="3" applyFont="1" applyBorder="1" applyAlignment="1">
      <alignment horizontal="distributed" vertical="center" textRotation="255"/>
    </xf>
    <xf numFmtId="0" fontId="17" fillId="0" borderId="208" xfId="3" applyFont="1" applyBorder="1" applyAlignment="1">
      <alignment horizontal="distributed" vertical="center"/>
    </xf>
    <xf numFmtId="0" fontId="17" fillId="0" borderId="160" xfId="3" applyFont="1" applyBorder="1" applyAlignment="1">
      <alignment horizontal="distributed" vertical="center"/>
    </xf>
    <xf numFmtId="0" fontId="2" fillId="0" borderId="85" xfId="3" applyFont="1" applyBorder="1" applyAlignment="1">
      <alignment horizontal="center" vertical="center" textRotation="255" wrapText="1"/>
    </xf>
    <xf numFmtId="0" fontId="2" fillId="0" borderId="66" xfId="3" applyFont="1" applyBorder="1" applyAlignment="1">
      <alignment horizontal="center" vertical="center" textRotation="255" wrapText="1"/>
    </xf>
    <xf numFmtId="0" fontId="2" fillId="0" borderId="191" xfId="3" applyFont="1" applyBorder="1" applyAlignment="1">
      <alignment horizontal="center" vertical="center" textRotation="255" wrapText="1"/>
    </xf>
    <xf numFmtId="0" fontId="2" fillId="0" borderId="218" xfId="3" applyFont="1" applyBorder="1" applyAlignment="1">
      <alignment horizontal="distributed" vertical="center"/>
    </xf>
    <xf numFmtId="49" fontId="2" fillId="0" borderId="221" xfId="3" applyNumberFormat="1" applyFont="1" applyBorder="1" applyAlignment="1">
      <alignment horizontal="center" vertical="center"/>
    </xf>
    <xf numFmtId="0" fontId="14" fillId="0" borderId="38" xfId="3" applyFont="1" applyBorder="1" applyAlignment="1">
      <alignment horizontal="distributed" vertical="center" wrapText="1"/>
    </xf>
    <xf numFmtId="0" fontId="14" fillId="0" borderId="29" xfId="3" applyFont="1" applyBorder="1" applyAlignment="1">
      <alignment horizontal="distributed" vertical="center" wrapText="1"/>
    </xf>
    <xf numFmtId="0" fontId="9" fillId="0" borderId="32" xfId="3" applyFont="1" applyBorder="1" applyAlignment="1">
      <alignment horizontal="distributed" vertical="center"/>
    </xf>
    <xf numFmtId="0" fontId="9" fillId="0" borderId="25" xfId="3" applyFont="1" applyBorder="1" applyAlignment="1">
      <alignment horizontal="distributed" vertical="center"/>
    </xf>
    <xf numFmtId="0" fontId="9" fillId="0" borderId="157" xfId="3" applyFont="1" applyBorder="1" applyAlignment="1">
      <alignment horizontal="distributed" vertical="center"/>
    </xf>
    <xf numFmtId="0" fontId="9" fillId="0" borderId="159" xfId="3" applyFont="1" applyBorder="1" applyAlignment="1">
      <alignment horizontal="distributed" vertical="center"/>
    </xf>
    <xf numFmtId="0" fontId="9" fillId="0" borderId="37" xfId="3" applyFont="1" applyBorder="1" applyAlignment="1">
      <alignment horizontal="distributed" vertical="center"/>
    </xf>
    <xf numFmtId="0" fontId="2" fillId="0" borderId="55" xfId="3" applyFont="1" applyBorder="1" applyAlignment="1">
      <alignment horizontal="distributed" vertical="center"/>
    </xf>
    <xf numFmtId="0" fontId="2" fillId="0" borderId="12" xfId="3" applyFont="1" applyBorder="1" applyAlignment="1">
      <alignment horizontal="distributed" vertical="center"/>
    </xf>
    <xf numFmtId="0" fontId="2" fillId="0" borderId="13" xfId="3" applyFont="1" applyBorder="1" applyAlignment="1">
      <alignment horizontal="distributed" vertical="center"/>
    </xf>
    <xf numFmtId="0" fontId="10" fillId="0" borderId="19" xfId="3" applyFont="1" applyBorder="1" applyAlignment="1">
      <alignment horizontal="left" vertical="center"/>
    </xf>
    <xf numFmtId="0" fontId="10" fillId="0" borderId="20" xfId="3" applyFont="1" applyBorder="1" applyAlignment="1">
      <alignment horizontal="left" vertical="center"/>
    </xf>
    <xf numFmtId="0" fontId="2" fillId="0" borderId="113" xfId="3" applyFont="1" applyBorder="1" applyAlignment="1">
      <alignment horizontal="center" vertical="center" wrapText="1"/>
    </xf>
    <xf numFmtId="0" fontId="2" fillId="0" borderId="70" xfId="3" applyFont="1" applyBorder="1" applyAlignment="1">
      <alignment horizontal="center" vertical="center" wrapText="1"/>
    </xf>
    <xf numFmtId="0" fontId="2" fillId="0" borderId="125" xfId="3" applyFont="1" applyBorder="1" applyAlignment="1">
      <alignment horizontal="center" vertical="center" wrapText="1"/>
    </xf>
    <xf numFmtId="0" fontId="2" fillId="0" borderId="190" xfId="3" applyFont="1" applyBorder="1" applyAlignment="1">
      <alignment horizontal="distributed" vertical="center" wrapText="1"/>
    </xf>
    <xf numFmtId="0" fontId="2" fillId="0" borderId="85" xfId="3" applyFont="1" applyBorder="1" applyAlignment="1">
      <alignment horizontal="distributed" vertical="center" wrapText="1"/>
    </xf>
    <xf numFmtId="0" fontId="2" fillId="0" borderId="51" xfId="3" applyFont="1" applyBorder="1" applyAlignment="1">
      <alignment horizontal="distributed" vertical="center" wrapText="1"/>
    </xf>
    <xf numFmtId="0" fontId="2" fillId="0" borderId="66" xfId="3" applyFont="1" applyBorder="1" applyAlignment="1">
      <alignment horizontal="distributed" vertical="center" wrapText="1"/>
    </xf>
    <xf numFmtId="0" fontId="20" fillId="0" borderId="23" xfId="3" applyFont="1" applyBorder="1" applyAlignment="1">
      <alignment horizontal="distributed" vertical="center" wrapText="1"/>
    </xf>
    <xf numFmtId="0" fontId="20" fillId="0" borderId="22" xfId="3" applyFont="1" applyBorder="1" applyAlignment="1">
      <alignment horizontal="distributed" vertical="center" wrapText="1"/>
    </xf>
    <xf numFmtId="0" fontId="20" fillId="0" borderId="30" xfId="3" applyFont="1" applyBorder="1" applyAlignment="1">
      <alignment horizontal="distributed" vertical="center" wrapText="1"/>
    </xf>
    <xf numFmtId="0" fontId="20" fillId="0" borderId="29" xfId="3" applyFont="1" applyBorder="1" applyAlignment="1">
      <alignment horizontal="distributed" vertical="center" wrapText="1"/>
    </xf>
    <xf numFmtId="0" fontId="12" fillId="0" borderId="84" xfId="3" applyFont="1" applyBorder="1" applyAlignment="1">
      <alignment horizontal="distributed" vertical="center"/>
    </xf>
    <xf numFmtId="0" fontId="12" fillId="0" borderId="36" xfId="3" applyFont="1" applyBorder="1" applyAlignment="1">
      <alignment horizontal="distributed" vertical="center"/>
    </xf>
    <xf numFmtId="0" fontId="19" fillId="0" borderId="49" xfId="3" applyFont="1" applyBorder="1" applyAlignment="1">
      <alignment horizontal="distributed" vertical="center"/>
    </xf>
    <xf numFmtId="0" fontId="19" fillId="0" borderId="50" xfId="3" applyFont="1" applyBorder="1" applyAlignment="1">
      <alignment horizontal="distributed" vertical="center"/>
    </xf>
    <xf numFmtId="0" fontId="2" fillId="0" borderId="147" xfId="3" applyFont="1" applyBorder="1" applyAlignment="1">
      <alignment horizontal="center" vertical="center" shrinkToFit="1"/>
    </xf>
    <xf numFmtId="0" fontId="2" fillId="0" borderId="33" xfId="3" applyFont="1" applyBorder="1" applyAlignment="1">
      <alignment horizontal="center" vertical="center" shrinkToFit="1"/>
    </xf>
    <xf numFmtId="0" fontId="2" fillId="0" borderId="44" xfId="3" applyFont="1" applyBorder="1" applyAlignment="1">
      <alignment horizontal="center" vertical="center" shrinkToFit="1"/>
    </xf>
    <xf numFmtId="0" fontId="2" fillId="0" borderId="55" xfId="3" applyFont="1" applyBorder="1" applyAlignment="1">
      <alignment horizontal="distributed" vertical="center" shrinkToFit="1"/>
    </xf>
    <xf numFmtId="0" fontId="2" fillId="0" borderId="219" xfId="3" applyFont="1" applyBorder="1" applyAlignment="1">
      <alignment horizontal="distributed" vertical="center"/>
    </xf>
    <xf numFmtId="0" fontId="20" fillId="0" borderId="49" xfId="3" applyFont="1" applyBorder="1" applyAlignment="1">
      <alignment horizontal="distributed" vertical="center" shrinkToFit="1"/>
    </xf>
    <xf numFmtId="0" fontId="20" fillId="0" borderId="47" xfId="3" applyFont="1" applyBorder="1" applyAlignment="1">
      <alignment horizontal="distributed" vertical="center" shrinkToFit="1"/>
    </xf>
    <xf numFmtId="0" fontId="20" fillId="0" borderId="50" xfId="3" applyFont="1" applyBorder="1" applyAlignment="1">
      <alignment horizontal="distributed" vertical="center" shrinkToFit="1"/>
    </xf>
    <xf numFmtId="0" fontId="19" fillId="0" borderId="32" xfId="3" applyFont="1" applyBorder="1" applyAlignment="1">
      <alignment horizontal="distributed" vertical="center"/>
    </xf>
    <xf numFmtId="0" fontId="19" fillId="0" borderId="37" xfId="3" applyFont="1" applyBorder="1" applyAlignment="1">
      <alignment horizontal="distributed" vertical="center"/>
    </xf>
    <xf numFmtId="0" fontId="17" fillId="0" borderId="49" xfId="3" applyFont="1" applyBorder="1" applyAlignment="1">
      <alignment horizontal="distributed" vertical="center" shrinkToFit="1"/>
    </xf>
    <xf numFmtId="0" fontId="17" fillId="0" borderId="47" xfId="3" applyFont="1" applyBorder="1" applyAlignment="1">
      <alignment horizontal="distributed" vertical="center" shrinkToFit="1"/>
    </xf>
    <xf numFmtId="0" fontId="17" fillId="0" borderId="50" xfId="3" applyFont="1" applyBorder="1" applyAlignment="1">
      <alignment horizontal="distributed" vertical="center" shrinkToFit="1"/>
    </xf>
    <xf numFmtId="0" fontId="2" fillId="0" borderId="49" xfId="3" applyFont="1" applyBorder="1" applyAlignment="1">
      <alignment horizontal="distributed" vertical="center" wrapText="1"/>
    </xf>
    <xf numFmtId="0" fontId="2" fillId="0" borderId="207" xfId="3" applyFont="1" applyBorder="1" applyAlignment="1">
      <alignment horizontal="distributed" vertical="center" wrapText="1"/>
    </xf>
    <xf numFmtId="0" fontId="2" fillId="0" borderId="80" xfId="3" applyFont="1" applyBorder="1" applyAlignment="1">
      <alignment horizontal="distributed" vertical="center" wrapText="1"/>
    </xf>
    <xf numFmtId="0" fontId="2" fillId="0" borderId="51" xfId="3" applyFont="1" applyBorder="1" applyAlignment="1">
      <alignment horizontal="center" vertical="center"/>
    </xf>
    <xf numFmtId="0" fontId="2" fillId="0" borderId="25" xfId="3" applyFont="1" applyBorder="1" applyAlignment="1">
      <alignment horizontal="center" vertical="center" wrapText="1" shrinkToFit="1"/>
    </xf>
    <xf numFmtId="0" fontId="2" fillId="0" borderId="157" xfId="3" applyFont="1" applyBorder="1" applyAlignment="1">
      <alignment horizontal="center" vertical="center" wrapText="1" shrinkToFit="1"/>
    </xf>
    <xf numFmtId="0" fontId="2" fillId="0" borderId="29" xfId="3" applyFont="1" applyBorder="1" applyAlignment="1">
      <alignment horizontal="center" vertical="center" wrapText="1" shrinkToFit="1"/>
    </xf>
    <xf numFmtId="0" fontId="2" fillId="0" borderId="159" xfId="3" applyFont="1" applyBorder="1" applyAlignment="1">
      <alignment horizontal="center" vertical="center" wrapText="1" shrinkToFit="1"/>
    </xf>
    <xf numFmtId="0" fontId="2" fillId="0" borderId="102" xfId="3" applyFont="1" applyBorder="1" applyAlignment="1">
      <alignment horizontal="distributed" vertical="center"/>
    </xf>
    <xf numFmtId="0" fontId="2" fillId="0" borderId="23" xfId="3" applyFont="1" applyBorder="1" applyAlignment="1">
      <alignment horizontal="center" vertical="center" textRotation="255"/>
    </xf>
    <xf numFmtId="0" fontId="2" fillId="0" borderId="155" xfId="3" applyFont="1" applyBorder="1" applyAlignment="1">
      <alignment horizontal="center" vertical="center" textRotation="255"/>
    </xf>
    <xf numFmtId="0" fontId="2" fillId="0" borderId="26" xfId="3" applyFont="1" applyBorder="1" applyAlignment="1">
      <alignment horizontal="center" vertical="center" textRotation="255"/>
    </xf>
    <xf numFmtId="0" fontId="2" fillId="0" borderId="157" xfId="3" applyFont="1" applyBorder="1" applyAlignment="1">
      <alignment horizontal="center" vertical="center" textRotation="255"/>
    </xf>
    <xf numFmtId="0" fontId="2" fillId="0" borderId="30" xfId="3" applyFont="1" applyBorder="1" applyAlignment="1">
      <alignment horizontal="center" vertical="center" textRotation="255"/>
    </xf>
    <xf numFmtId="0" fontId="2" fillId="0" borderId="159" xfId="3" applyFont="1" applyBorder="1" applyAlignment="1">
      <alignment horizontal="center" vertical="center" textRotation="255"/>
    </xf>
    <xf numFmtId="0" fontId="2" fillId="0" borderId="160" xfId="3" applyFont="1" applyBorder="1" applyAlignment="1">
      <alignment horizontal="distributed" vertical="center"/>
    </xf>
    <xf numFmtId="0" fontId="2" fillId="0" borderId="129" xfId="3" applyFont="1" applyBorder="1" applyAlignment="1">
      <alignment horizontal="center" vertical="center" textRotation="255"/>
    </xf>
    <xf numFmtId="0" fontId="2" fillId="0" borderId="42" xfId="3" applyFont="1" applyBorder="1" applyAlignment="1">
      <alignment horizontal="center" vertical="center" textRotation="255"/>
    </xf>
    <xf numFmtId="0" fontId="2" fillId="0" borderId="72" xfId="3" applyFont="1" applyBorder="1" applyAlignment="1">
      <alignment horizontal="center" vertical="center" textRotation="255"/>
    </xf>
    <xf numFmtId="0" fontId="2" fillId="0" borderId="130" xfId="3" applyFont="1" applyBorder="1" applyAlignment="1">
      <alignment horizontal="center" vertical="center" textRotation="255"/>
    </xf>
    <xf numFmtId="0" fontId="2" fillId="0" borderId="9" xfId="3" applyFont="1" applyBorder="1" applyAlignment="1">
      <alignment horizontal="distributed" vertical="center" shrinkToFit="1"/>
    </xf>
    <xf numFmtId="0" fontId="2" fillId="0" borderId="85" xfId="3" applyFont="1" applyBorder="1" applyAlignment="1">
      <alignment horizontal="distributed" vertical="center" shrinkToFit="1"/>
    </xf>
    <xf numFmtId="0" fontId="2" fillId="0" borderId="14" xfId="3" applyFont="1" applyBorder="1" applyAlignment="1">
      <alignment horizontal="center" vertical="center" textRotation="255"/>
    </xf>
    <xf numFmtId="0" fontId="2" fillId="0" borderId="11" xfId="3" applyFont="1" applyBorder="1" applyAlignment="1">
      <alignment horizontal="center" vertical="center" textRotation="255"/>
    </xf>
    <xf numFmtId="0" fontId="2" fillId="0" borderId="81" xfId="3" applyFont="1" applyBorder="1" applyAlignment="1">
      <alignment horizontal="center" vertical="center" wrapText="1"/>
    </xf>
    <xf numFmtId="0" fontId="2" fillId="0" borderId="80" xfId="3" applyFont="1" applyBorder="1" applyAlignment="1">
      <alignment horizontal="center" vertical="center" wrapText="1"/>
    </xf>
    <xf numFmtId="0" fontId="2" fillId="0" borderId="38" xfId="3" applyFont="1" applyBorder="1" applyAlignment="1">
      <alignment horizontal="center" vertical="center" wrapText="1"/>
    </xf>
    <xf numFmtId="0" fontId="2" fillId="0" borderId="159" xfId="3" applyFont="1" applyBorder="1" applyAlignment="1">
      <alignment horizontal="center" vertical="center" wrapText="1"/>
    </xf>
    <xf numFmtId="0" fontId="2" fillId="0" borderId="184" xfId="3" applyFont="1" applyBorder="1" applyAlignment="1">
      <alignment horizontal="distributed" vertical="center"/>
    </xf>
    <xf numFmtId="0" fontId="2" fillId="0" borderId="42" xfId="3" applyFont="1" applyBorder="1" applyAlignment="1">
      <alignment horizontal="distributed" vertical="center" shrinkToFit="1"/>
    </xf>
    <xf numFmtId="0" fontId="2" fillId="0" borderId="130" xfId="3" applyFont="1" applyBorder="1" applyAlignment="1">
      <alignment horizontal="distributed" vertical="center" shrinkToFit="1"/>
    </xf>
    <xf numFmtId="0" fontId="17" fillId="0" borderId="32" xfId="3" applyFont="1" applyBorder="1" applyAlignment="1">
      <alignment horizontal="distributed" vertical="center"/>
    </xf>
    <xf numFmtId="0" fontId="17" fillId="0" borderId="25" xfId="3" applyFont="1" applyBorder="1" applyAlignment="1">
      <alignment horizontal="distributed" vertical="center"/>
    </xf>
    <xf numFmtId="0" fontId="17" fillId="0" borderId="37" xfId="3" applyFont="1" applyBorder="1" applyAlignment="1">
      <alignment horizontal="distributed" vertical="center"/>
    </xf>
    <xf numFmtId="0" fontId="9" fillId="0" borderId="43" xfId="3" applyFont="1" applyBorder="1" applyAlignment="1">
      <alignment horizontal="distributed" vertical="center"/>
    </xf>
    <xf numFmtId="0" fontId="9" fillId="0" borderId="33" xfId="3" applyFont="1" applyBorder="1" applyAlignment="1">
      <alignment horizontal="distributed" vertical="center"/>
    </xf>
    <xf numFmtId="0" fontId="9" fillId="0" borderId="44" xfId="3" applyFont="1" applyBorder="1" applyAlignment="1">
      <alignment horizontal="distributed" vertical="center"/>
    </xf>
    <xf numFmtId="0" fontId="9" fillId="0" borderId="87" xfId="3" applyFont="1" applyBorder="1" applyAlignment="1">
      <alignment horizontal="distributed" vertical="center"/>
    </xf>
    <xf numFmtId="0" fontId="9" fillId="0" borderId="88" xfId="3" applyFont="1" applyBorder="1" applyAlignment="1">
      <alignment horizontal="distributed" vertical="center"/>
    </xf>
    <xf numFmtId="49" fontId="2" fillId="0" borderId="226" xfId="3" applyNumberFormat="1" applyFont="1" applyBorder="1" applyAlignment="1">
      <alignment horizontal="center" vertical="center"/>
    </xf>
    <xf numFmtId="49" fontId="2" fillId="0" borderId="227" xfId="3" applyNumberFormat="1" applyFont="1" applyBorder="1" applyAlignment="1">
      <alignment horizontal="center" vertical="center"/>
    </xf>
    <xf numFmtId="49" fontId="2" fillId="0" borderId="228" xfId="3" applyNumberFormat="1" applyFont="1" applyBorder="1" applyAlignment="1">
      <alignment horizontal="center" vertical="center"/>
    </xf>
    <xf numFmtId="0" fontId="20" fillId="0" borderId="32" xfId="3" applyFont="1" applyBorder="1" applyAlignment="1">
      <alignment horizontal="distributed" vertical="center" shrinkToFit="1"/>
    </xf>
    <xf numFmtId="0" fontId="20" fillId="0" borderId="25" xfId="3" applyFont="1" applyBorder="1" applyAlignment="1">
      <alignment horizontal="distributed" vertical="center" shrinkToFit="1"/>
    </xf>
    <xf numFmtId="0" fontId="20" fillId="0" borderId="37" xfId="3" applyFont="1" applyBorder="1" applyAlignment="1">
      <alignment horizontal="distributed" vertical="center" shrinkToFit="1"/>
    </xf>
    <xf numFmtId="0" fontId="20" fillId="0" borderId="32" xfId="3" applyFont="1" applyBorder="1" applyAlignment="1">
      <alignment horizontal="distributed" vertical="center"/>
    </xf>
    <xf numFmtId="0" fontId="20" fillId="0" borderId="25" xfId="3" applyFont="1" applyBorder="1" applyAlignment="1">
      <alignment horizontal="distributed" vertical="center"/>
    </xf>
    <xf numFmtId="0" fontId="20" fillId="0" borderId="37" xfId="3" applyFont="1" applyBorder="1" applyAlignment="1">
      <alignment horizontal="distributed" vertical="center"/>
    </xf>
    <xf numFmtId="0" fontId="10" fillId="0" borderId="21" xfId="3" applyFont="1" applyBorder="1" applyAlignment="1">
      <alignment horizontal="left" vertical="center"/>
    </xf>
    <xf numFmtId="0" fontId="9" fillId="0" borderId="49" xfId="3" applyFont="1" applyBorder="1" applyAlignment="1">
      <alignment horizontal="distributed" vertical="center"/>
    </xf>
    <xf numFmtId="0" fontId="9" fillId="0" borderId="17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9" fillId="0" borderId="15" xfId="3" applyFont="1" applyBorder="1" applyAlignment="1">
      <alignment horizontal="center" vertical="center"/>
    </xf>
    <xf numFmtId="0" fontId="9" fillId="0" borderId="8" xfId="3" applyFont="1" applyBorder="1" applyAlignment="1">
      <alignment horizontal="center" vertical="center" wrapText="1"/>
    </xf>
    <xf numFmtId="0" fontId="9" fillId="0" borderId="9" xfId="3" applyFont="1" applyBorder="1" applyAlignment="1">
      <alignment horizontal="center" vertical="center" wrapText="1"/>
    </xf>
    <xf numFmtId="0" fontId="9" fillId="0" borderId="10" xfId="3" applyFont="1" applyBorder="1" applyAlignment="1">
      <alignment horizontal="center" vertical="center" wrapText="1"/>
    </xf>
    <xf numFmtId="0" fontId="9" fillId="0" borderId="11" xfId="3" applyFont="1" applyBorder="1" applyAlignment="1">
      <alignment horizontal="center" vertical="center" wrapText="1"/>
    </xf>
    <xf numFmtId="0" fontId="9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horizontal="center" vertical="center" wrapText="1"/>
    </xf>
    <xf numFmtId="0" fontId="9" fillId="0" borderId="5" xfId="3" applyFont="1" applyBorder="1" applyAlignment="1">
      <alignment horizontal="center" vertical="center" shrinkToFit="1"/>
    </xf>
    <xf numFmtId="0" fontId="9" fillId="0" borderId="4" xfId="3" applyFont="1" applyBorder="1" applyAlignment="1">
      <alignment horizontal="center" vertical="center" shrinkToFit="1"/>
    </xf>
    <xf numFmtId="0" fontId="9" fillId="0" borderId="6" xfId="3" applyFont="1" applyBorder="1" applyAlignment="1">
      <alignment horizontal="center" vertical="center" shrinkToFit="1"/>
    </xf>
    <xf numFmtId="0" fontId="9" fillId="0" borderId="57" xfId="3" applyFont="1" applyBorder="1" applyAlignment="1">
      <alignment horizontal="center" vertical="center" shrinkToFit="1"/>
    </xf>
    <xf numFmtId="0" fontId="9" fillId="0" borderId="58" xfId="3" applyFont="1" applyBorder="1" applyAlignment="1">
      <alignment horizontal="center" vertical="center" shrinkToFit="1"/>
    </xf>
    <xf numFmtId="0" fontId="9" fillId="0" borderId="59" xfId="3" applyFont="1" applyBorder="1" applyAlignment="1">
      <alignment horizontal="center" vertical="center" shrinkToFit="1"/>
    </xf>
    <xf numFmtId="0" fontId="9" fillId="0" borderId="93" xfId="3" applyFont="1" applyBorder="1" applyAlignment="1">
      <alignment horizontal="center" vertical="center" wrapText="1"/>
    </xf>
    <xf numFmtId="0" fontId="9" fillId="0" borderId="9" xfId="3" applyFont="1" applyBorder="1" applyAlignment="1">
      <alignment horizontal="center" vertical="center"/>
    </xf>
    <xf numFmtId="0" fontId="9" fillId="0" borderId="85" xfId="3" applyFont="1" applyBorder="1" applyAlignment="1">
      <alignment horizontal="center" vertical="center"/>
    </xf>
    <xf numFmtId="0" fontId="9" fillId="0" borderId="66" xfId="3" applyFont="1" applyBorder="1" applyAlignment="1">
      <alignment horizontal="center" vertical="center"/>
    </xf>
    <xf numFmtId="0" fontId="9" fillId="0" borderId="67" xfId="3" applyFont="1" applyBorder="1" applyAlignment="1">
      <alignment horizontal="center" vertical="center"/>
    </xf>
    <xf numFmtId="0" fontId="9" fillId="0" borderId="191" xfId="3" applyFont="1" applyBorder="1" applyAlignment="1">
      <alignment horizontal="center" vertical="center"/>
    </xf>
    <xf numFmtId="0" fontId="9" fillId="0" borderId="84" xfId="3" applyFont="1" applyBorder="1" applyAlignment="1">
      <alignment horizontal="distributed" vertical="center"/>
    </xf>
    <xf numFmtId="0" fontId="9" fillId="0" borderId="36" xfId="3" applyFont="1" applyBorder="1" applyAlignment="1">
      <alignment horizontal="distributed" vertical="center"/>
    </xf>
    <xf numFmtId="0" fontId="20" fillId="0" borderId="32" xfId="3" applyFont="1" applyBorder="1" applyAlignment="1">
      <alignment horizontal="center" vertical="center" wrapText="1"/>
    </xf>
    <xf numFmtId="0" fontId="20" fillId="0" borderId="25" xfId="3" applyFont="1" applyBorder="1" applyAlignment="1">
      <alignment horizontal="center" vertical="center" wrapText="1"/>
    </xf>
    <xf numFmtId="0" fontId="20" fillId="0" borderId="37" xfId="3" applyFont="1" applyBorder="1" applyAlignment="1">
      <alignment horizontal="center" vertical="center" wrapText="1"/>
    </xf>
    <xf numFmtId="49" fontId="9" fillId="0" borderId="100" xfId="3" applyNumberFormat="1" applyFont="1" applyBorder="1" applyAlignment="1">
      <alignment horizontal="center" vertical="center"/>
    </xf>
    <xf numFmtId="49" fontId="9" fillId="0" borderId="101" xfId="3" applyNumberFormat="1" applyFont="1" applyBorder="1" applyAlignment="1">
      <alignment horizontal="center" vertical="center"/>
    </xf>
    <xf numFmtId="49" fontId="9" fillId="0" borderId="203" xfId="3" applyNumberFormat="1" applyFont="1" applyBorder="1" applyAlignment="1">
      <alignment horizontal="center" vertical="center"/>
    </xf>
    <xf numFmtId="0" fontId="17" fillId="0" borderId="49" xfId="3" applyFont="1" applyBorder="1" applyAlignment="1">
      <alignment horizontal="distributed" vertical="center"/>
    </xf>
    <xf numFmtId="0" fontId="17" fillId="0" borderId="47" xfId="3" applyFont="1" applyBorder="1" applyAlignment="1">
      <alignment horizontal="distributed" vertical="center"/>
    </xf>
    <xf numFmtId="0" fontId="17" fillId="0" borderId="50" xfId="3" applyFont="1" applyBorder="1" applyAlignment="1">
      <alignment horizontal="distributed" vertical="center"/>
    </xf>
    <xf numFmtId="49" fontId="9" fillId="0" borderId="204" xfId="3" applyNumberFormat="1" applyFont="1" applyBorder="1" applyAlignment="1">
      <alignment horizontal="center" vertical="center"/>
    </xf>
    <xf numFmtId="49" fontId="9" fillId="0" borderId="205" xfId="3" applyNumberFormat="1" applyFont="1" applyBorder="1" applyAlignment="1">
      <alignment horizontal="center" vertical="center"/>
    </xf>
    <xf numFmtId="49" fontId="9" fillId="0" borderId="206" xfId="3" applyNumberFormat="1" applyFont="1" applyBorder="1" applyAlignment="1">
      <alignment horizontal="center" vertical="center"/>
    </xf>
    <xf numFmtId="0" fontId="9" fillId="0" borderId="129" xfId="3" applyFont="1" applyBorder="1" applyAlignment="1">
      <alignment horizontal="center" vertical="center"/>
    </xf>
    <xf numFmtId="0" fontId="9" fillId="0" borderId="42" xfId="3" applyFont="1" applyBorder="1" applyAlignment="1">
      <alignment horizontal="center" vertical="center"/>
    </xf>
    <xf numFmtId="0" fontId="9" fillId="0" borderId="130" xfId="3" applyFont="1" applyBorder="1" applyAlignment="1">
      <alignment horizontal="center" vertical="center"/>
    </xf>
    <xf numFmtId="49" fontId="9" fillId="0" borderId="134" xfId="3" applyNumberFormat="1" applyFont="1" applyBorder="1" applyAlignment="1">
      <alignment horizontal="center" vertical="center"/>
    </xf>
    <xf numFmtId="49" fontId="9" fillId="0" borderId="135" xfId="3" applyNumberFormat="1" applyFont="1" applyBorder="1" applyAlignment="1">
      <alignment horizontal="center" vertical="center"/>
    </xf>
    <xf numFmtId="49" fontId="9" fillId="0" borderId="221" xfId="3" applyNumberFormat="1" applyFont="1" applyBorder="1" applyAlignment="1">
      <alignment horizontal="center" vertical="center"/>
    </xf>
    <xf numFmtId="0" fontId="16" fillId="0" borderId="0" xfId="3" applyFont="1" applyAlignment="1">
      <alignment horizontal="center" vertical="center"/>
    </xf>
    <xf numFmtId="49" fontId="2" fillId="0" borderId="24" xfId="3" applyNumberFormat="1" applyFont="1" applyBorder="1" applyAlignment="1" applyProtection="1">
      <alignment horizontal="right" vertical="center" shrinkToFit="1"/>
      <protection locked="0"/>
    </xf>
    <xf numFmtId="49" fontId="2" fillId="0" borderId="37" xfId="3" applyNumberFormat="1" applyFont="1" applyBorder="1" applyAlignment="1" applyProtection="1">
      <alignment horizontal="right" vertical="center" shrinkToFit="1"/>
      <protection locked="0"/>
    </xf>
    <xf numFmtId="49" fontId="2" fillId="0" borderId="30" xfId="3" applyNumberFormat="1" applyFont="1" applyBorder="1" applyAlignment="1" applyProtection="1">
      <alignment horizontal="right" vertical="center" shrinkToFit="1"/>
      <protection locked="0"/>
    </xf>
    <xf numFmtId="49" fontId="2" fillId="0" borderId="29" xfId="3" applyNumberFormat="1" applyFont="1" applyBorder="1" applyAlignment="1" applyProtection="1">
      <alignment horizontal="right" vertical="center" shrinkToFit="1"/>
      <protection locked="0"/>
    </xf>
    <xf numFmtId="49" fontId="2" fillId="0" borderId="31" xfId="3" applyNumberFormat="1" applyFont="1" applyBorder="1" applyAlignment="1" applyProtection="1">
      <alignment horizontal="right" vertical="center" shrinkToFit="1"/>
      <protection locked="0"/>
    </xf>
    <xf numFmtId="49" fontId="2" fillId="3" borderId="258" xfId="3" applyNumberFormat="1" applyFont="1" applyFill="1" applyBorder="1" applyAlignment="1">
      <alignment horizontal="right" vertical="center" shrinkToFit="1"/>
    </xf>
    <xf numFmtId="49" fontId="2" fillId="3" borderId="75" xfId="3" applyNumberFormat="1" applyFont="1" applyFill="1" applyBorder="1" applyAlignment="1">
      <alignment horizontal="right" vertical="center" shrinkToFit="1"/>
    </xf>
    <xf numFmtId="49" fontId="2" fillId="0" borderId="5" xfId="3" applyNumberFormat="1" applyFont="1" applyBorder="1" applyAlignment="1" applyProtection="1">
      <alignment horizontal="right" vertical="center" shrinkToFit="1"/>
      <protection locked="0"/>
    </xf>
    <xf numFmtId="49" fontId="2" fillId="0" borderId="4" xfId="3" applyNumberFormat="1" applyFont="1" applyBorder="1" applyAlignment="1" applyProtection="1">
      <alignment horizontal="right" vertical="center" shrinkToFit="1"/>
      <protection locked="0"/>
    </xf>
    <xf numFmtId="49" fontId="2" fillId="0" borderId="18" xfId="3" applyNumberFormat="1" applyFont="1" applyBorder="1" applyAlignment="1" applyProtection="1">
      <alignment horizontal="right" vertical="center" shrinkToFit="1"/>
      <protection locked="0"/>
    </xf>
    <xf numFmtId="49" fontId="2" fillId="0" borderId="90" xfId="3" applyNumberFormat="1" applyFont="1" applyBorder="1" applyAlignment="1" applyProtection="1">
      <alignment horizontal="right" vertical="center" shrinkToFit="1"/>
      <protection locked="0"/>
    </xf>
    <xf numFmtId="49" fontId="2" fillId="0" borderId="88" xfId="3" applyNumberFormat="1" applyFont="1" applyBorder="1" applyAlignment="1" applyProtection="1">
      <alignment horizontal="right" vertical="center" shrinkToFit="1"/>
      <protection locked="0"/>
    </xf>
    <xf numFmtId="49" fontId="2" fillId="0" borderId="91" xfId="3" applyNumberFormat="1" applyFont="1" applyBorder="1" applyAlignment="1" applyProtection="1">
      <alignment horizontal="right" vertical="center" shrinkToFit="1"/>
      <protection locked="0"/>
    </xf>
    <xf numFmtId="49" fontId="2" fillId="0" borderId="147" xfId="3" applyNumberFormat="1" applyFont="1" applyBorder="1" applyAlignment="1" applyProtection="1">
      <alignment horizontal="right" vertical="center" shrinkToFit="1"/>
      <protection locked="0"/>
    </xf>
    <xf numFmtId="49" fontId="2" fillId="0" borderId="44" xfId="3" applyNumberFormat="1" applyFont="1" applyBorder="1" applyAlignment="1" applyProtection="1">
      <alignment horizontal="right" vertical="center" shrinkToFit="1"/>
      <protection locked="0"/>
    </xf>
    <xf numFmtId="49" fontId="2" fillId="0" borderId="252" xfId="3" applyNumberFormat="1" applyFont="1" applyBorder="1" applyAlignment="1" applyProtection="1">
      <alignment horizontal="right" vertical="center" shrinkToFit="1"/>
      <protection locked="0"/>
    </xf>
    <xf numFmtId="49" fontId="2" fillId="0" borderId="60" xfId="3" applyNumberFormat="1" applyFont="1" applyBorder="1" applyAlignment="1" applyProtection="1">
      <alignment horizontal="right" vertical="center" shrinkToFit="1"/>
      <protection locked="0"/>
    </xf>
    <xf numFmtId="49" fontId="2" fillId="0" borderId="234" xfId="3" applyNumberFormat="1" applyFont="1" applyBorder="1" applyAlignment="1" applyProtection="1">
      <alignment horizontal="right" vertical="center" shrinkToFit="1"/>
      <protection locked="0"/>
    </xf>
    <xf numFmtId="49" fontId="2" fillId="0" borderId="233" xfId="3" applyNumberFormat="1" applyFont="1" applyBorder="1" applyAlignment="1" applyProtection="1">
      <alignment horizontal="right" vertical="center" shrinkToFit="1"/>
      <protection locked="0"/>
    </xf>
    <xf numFmtId="49" fontId="2" fillId="0" borderId="253" xfId="3" applyNumberFormat="1" applyFont="1" applyBorder="1" applyAlignment="1" applyProtection="1">
      <alignment horizontal="right" vertical="center" shrinkToFit="1"/>
      <protection locked="0"/>
    </xf>
    <xf numFmtId="49" fontId="2" fillId="3" borderId="255" xfId="3" applyNumberFormat="1" applyFont="1" applyFill="1" applyBorder="1" applyAlignment="1">
      <alignment horizontal="right" vertical="center" shrinkToFit="1"/>
    </xf>
    <xf numFmtId="49" fontId="2" fillId="3" borderId="257" xfId="3" applyNumberFormat="1" applyFont="1" applyFill="1" applyBorder="1" applyAlignment="1">
      <alignment horizontal="right" vertical="center" shrinkToFit="1"/>
    </xf>
    <xf numFmtId="49" fontId="2" fillId="0" borderId="75" xfId="3" applyNumberFormat="1" applyFont="1" applyBorder="1" applyAlignment="1" applyProtection="1">
      <alignment horizontal="right" vertical="center" shrinkToFit="1"/>
      <protection locked="0"/>
    </xf>
    <xf numFmtId="49" fontId="2" fillId="0" borderId="76" xfId="3" applyNumberFormat="1" applyFont="1" applyBorder="1" applyAlignment="1" applyProtection="1">
      <alignment horizontal="right" vertical="center" shrinkToFit="1"/>
      <protection locked="0"/>
    </xf>
    <xf numFmtId="49" fontId="2" fillId="3" borderId="37" xfId="3" applyNumberFormat="1" applyFont="1" applyFill="1" applyBorder="1" applyAlignment="1">
      <alignment horizontal="right" vertical="center" shrinkToFit="1"/>
    </xf>
    <xf numFmtId="49" fontId="2" fillId="3" borderId="44" xfId="3" applyNumberFormat="1" applyFont="1" applyFill="1" applyBorder="1" applyAlignment="1">
      <alignment horizontal="right" vertical="center" shrinkToFit="1"/>
    </xf>
    <xf numFmtId="49" fontId="2" fillId="3" borderId="254" xfId="3" applyNumberFormat="1" applyFont="1" applyFill="1" applyBorder="1" applyAlignment="1">
      <alignment horizontal="right" vertical="center" shrinkToFit="1"/>
    </xf>
    <xf numFmtId="49" fontId="2" fillId="0" borderId="255" xfId="3" applyNumberFormat="1" applyFont="1" applyBorder="1" applyAlignment="1" applyProtection="1">
      <alignment horizontal="right" vertical="center" shrinkToFit="1"/>
      <protection locked="0"/>
    </xf>
    <xf numFmtId="49" fontId="2" fillId="0" borderId="256" xfId="3" applyNumberFormat="1" applyFont="1" applyBorder="1" applyAlignment="1" applyProtection="1">
      <alignment horizontal="right" vertical="center" shrinkToFit="1"/>
      <protection locked="0"/>
    </xf>
    <xf numFmtId="49" fontId="2" fillId="3" borderId="36" xfId="3" applyNumberFormat="1" applyFont="1" applyFill="1" applyBorder="1" applyAlignment="1">
      <alignment horizontal="right" vertical="center" shrinkToFit="1"/>
    </xf>
    <xf numFmtId="49" fontId="2" fillId="0" borderId="39" xfId="3" applyNumberFormat="1" applyFont="1" applyBorder="1" applyAlignment="1" applyProtection="1">
      <alignment horizontal="right" vertical="center" shrinkToFit="1"/>
      <protection locked="0"/>
    </xf>
    <xf numFmtId="49" fontId="2" fillId="3" borderId="39" xfId="3" applyNumberFormat="1" applyFont="1" applyFill="1" applyBorder="1" applyAlignment="1">
      <alignment horizontal="right" vertical="center" shrinkToFit="1"/>
    </xf>
    <xf numFmtId="0" fontId="25" fillId="0" borderId="25" xfId="3" applyFont="1" applyBorder="1" applyAlignment="1">
      <alignment horizontal="distributed" vertical="center"/>
    </xf>
    <xf numFmtId="0" fontId="25" fillId="0" borderId="37" xfId="3" applyFont="1" applyBorder="1" applyAlignment="1">
      <alignment horizontal="distributed" vertical="center"/>
    </xf>
    <xf numFmtId="0" fontId="2" fillId="0" borderId="73" xfId="3" applyFont="1" applyBorder="1" applyAlignment="1">
      <alignment horizontal="center" vertical="center"/>
    </xf>
    <xf numFmtId="0" fontId="2" fillId="0" borderId="74" xfId="3" applyFont="1" applyBorder="1" applyAlignment="1">
      <alignment horizontal="center" vertical="center"/>
    </xf>
    <xf numFmtId="49" fontId="2" fillId="0" borderId="63" xfId="3" applyNumberFormat="1" applyFont="1" applyBorder="1" applyAlignment="1" applyProtection="1">
      <alignment horizontal="right" vertical="center" shrinkToFit="1"/>
      <protection locked="0"/>
    </xf>
    <xf numFmtId="49" fontId="2" fillId="0" borderId="62" xfId="3" applyNumberFormat="1" applyFont="1" applyBorder="1" applyAlignment="1" applyProtection="1">
      <alignment horizontal="right" vertical="center" shrinkToFit="1"/>
      <protection locked="0"/>
    </xf>
    <xf numFmtId="49" fontId="2" fillId="0" borderId="65" xfId="3" applyNumberFormat="1" applyFont="1" applyBorder="1" applyAlignment="1" applyProtection="1">
      <alignment horizontal="right" vertical="center" shrinkToFit="1"/>
      <protection locked="0"/>
    </xf>
    <xf numFmtId="49" fontId="2" fillId="0" borderId="64" xfId="3" applyNumberFormat="1" applyFont="1" applyBorder="1" applyAlignment="1" applyProtection="1">
      <alignment horizontal="right" vertical="center" shrinkToFit="1"/>
      <protection locked="0"/>
    </xf>
    <xf numFmtId="49" fontId="2" fillId="0" borderId="119" xfId="3" applyNumberFormat="1" applyFont="1" applyBorder="1" applyAlignment="1" applyProtection="1">
      <alignment horizontal="right" vertical="center" shrinkToFit="1"/>
      <protection locked="0"/>
    </xf>
    <xf numFmtId="49" fontId="2" fillId="0" borderId="117" xfId="3" applyNumberFormat="1" applyFont="1" applyBorder="1" applyAlignment="1" applyProtection="1">
      <alignment horizontal="right" vertical="center" shrinkToFit="1"/>
      <protection locked="0"/>
    </xf>
    <xf numFmtId="49" fontId="2" fillId="0" borderId="120" xfId="3" applyNumberFormat="1" applyFont="1" applyBorder="1" applyAlignment="1" applyProtection="1">
      <alignment horizontal="right" vertical="center" shrinkToFit="1"/>
      <protection locked="0"/>
    </xf>
    <xf numFmtId="49" fontId="2" fillId="0" borderId="118" xfId="3" applyNumberFormat="1" applyFont="1" applyBorder="1" applyAlignment="1" applyProtection="1">
      <alignment horizontal="right" vertical="center" shrinkToFit="1"/>
      <protection locked="0"/>
    </xf>
    <xf numFmtId="49" fontId="2" fillId="3" borderId="119" xfId="3" applyNumberFormat="1" applyFont="1" applyFill="1" applyBorder="1" applyAlignment="1">
      <alignment horizontal="right" vertical="center" shrinkToFit="1"/>
    </xf>
    <xf numFmtId="49" fontId="2" fillId="3" borderId="117" xfId="3" applyNumberFormat="1" applyFont="1" applyFill="1" applyBorder="1" applyAlignment="1">
      <alignment horizontal="right" vertical="center" shrinkToFit="1"/>
    </xf>
    <xf numFmtId="49" fontId="2" fillId="3" borderId="118" xfId="3" applyNumberFormat="1" applyFont="1" applyFill="1" applyBorder="1" applyAlignment="1">
      <alignment horizontal="right" vertical="center" shrinkToFit="1"/>
    </xf>
    <xf numFmtId="49" fontId="2" fillId="3" borderId="63" xfId="3" applyNumberFormat="1" applyFont="1" applyFill="1" applyBorder="1" applyAlignment="1">
      <alignment horizontal="right" vertical="center" shrinkToFit="1"/>
    </xf>
    <xf numFmtId="49" fontId="2" fillId="3" borderId="62" xfId="3" applyNumberFormat="1" applyFont="1" applyFill="1" applyBorder="1" applyAlignment="1">
      <alignment horizontal="right" vertical="center" shrinkToFit="1"/>
    </xf>
    <xf numFmtId="49" fontId="2" fillId="3" borderId="64" xfId="3" applyNumberFormat="1" applyFont="1" applyFill="1" applyBorder="1" applyAlignment="1">
      <alignment horizontal="right" vertical="center" shrinkToFit="1"/>
    </xf>
    <xf numFmtId="49" fontId="2" fillId="3" borderId="252" xfId="3" applyNumberFormat="1" applyFont="1" applyFill="1" applyBorder="1" applyAlignment="1">
      <alignment horizontal="right" vertical="center" shrinkToFit="1"/>
    </xf>
    <xf numFmtId="49" fontId="2" fillId="3" borderId="60" xfId="3" applyNumberFormat="1" applyFont="1" applyFill="1" applyBorder="1" applyAlignment="1">
      <alignment horizontal="right" vertical="center" shrinkToFit="1"/>
    </xf>
    <xf numFmtId="49" fontId="2" fillId="3" borderId="253" xfId="3" applyNumberFormat="1" applyFont="1" applyFill="1" applyBorder="1" applyAlignment="1">
      <alignment horizontal="right" vertical="center" shrinkToFit="1"/>
    </xf>
    <xf numFmtId="0" fontId="2" fillId="0" borderId="19" xfId="3" applyFont="1" applyBorder="1" applyAlignment="1">
      <alignment horizontal="center" vertical="center" shrinkToFit="1"/>
    </xf>
    <xf numFmtId="0" fontId="2" fillId="0" borderId="187" xfId="3" applyFont="1" applyBorder="1" applyAlignment="1">
      <alignment horizontal="center" vertical="center"/>
    </xf>
    <xf numFmtId="0" fontId="2" fillId="0" borderId="20" xfId="3" applyFont="1" applyBorder="1" applyAlignment="1">
      <alignment horizontal="center" vertical="center"/>
    </xf>
    <xf numFmtId="0" fontId="2" fillId="0" borderId="188" xfId="3" applyFont="1" applyBorder="1" applyAlignment="1">
      <alignment horizontal="center" vertical="center"/>
    </xf>
    <xf numFmtId="0" fontId="2" fillId="0" borderId="68" xfId="3" applyFont="1" applyBorder="1" applyAlignment="1">
      <alignment horizontal="center" vertical="center" wrapText="1"/>
    </xf>
    <xf numFmtId="0" fontId="2" fillId="0" borderId="23" xfId="3" applyFont="1" applyBorder="1" applyAlignment="1">
      <alignment horizontal="distributed" vertical="center" wrapText="1"/>
    </xf>
    <xf numFmtId="0" fontId="12" fillId="0" borderId="42" xfId="3" applyFont="1" applyBorder="1" applyAlignment="1">
      <alignment horizontal="distributed" vertical="center" wrapText="1"/>
    </xf>
    <xf numFmtId="0" fontId="12" fillId="0" borderId="56" xfId="3" applyFont="1" applyBorder="1" applyAlignment="1">
      <alignment horizontal="distributed" vertical="center" wrapText="1"/>
    </xf>
    <xf numFmtId="0" fontId="12" fillId="0" borderId="0" xfId="3" applyFont="1" applyAlignment="1">
      <alignment horizontal="distributed" vertical="center"/>
    </xf>
    <xf numFmtId="0" fontId="12" fillId="0" borderId="14" xfId="3" applyFont="1" applyBorder="1" applyAlignment="1">
      <alignment horizontal="distributed" vertical="center" wrapText="1"/>
    </xf>
    <xf numFmtId="0" fontId="12" fillId="0" borderId="0" xfId="3" applyFont="1" applyAlignment="1">
      <alignment horizontal="distributed" vertical="center" wrapText="1"/>
    </xf>
    <xf numFmtId="0" fontId="12" fillId="0" borderId="15" xfId="3" applyFont="1" applyBorder="1" applyAlignment="1">
      <alignment horizontal="distributed" vertical="center" wrapText="1"/>
    </xf>
    <xf numFmtId="0" fontId="12" fillId="0" borderId="26" xfId="3" applyFont="1" applyBorder="1" applyAlignment="1">
      <alignment horizontal="distributed" vertical="center" wrapText="1"/>
    </xf>
    <xf numFmtId="0" fontId="12" fillId="0" borderId="25" xfId="3" applyFont="1" applyBorder="1" applyAlignment="1">
      <alignment horizontal="distributed" vertical="center" wrapText="1"/>
    </xf>
    <xf numFmtId="0" fontId="12" fillId="0" borderId="37" xfId="3" applyFont="1" applyBorder="1" applyAlignment="1">
      <alignment horizontal="distributed" vertical="center" wrapText="1"/>
    </xf>
    <xf numFmtId="0" fontId="2" fillId="0" borderId="61" xfId="3" applyFont="1" applyBorder="1" applyAlignment="1">
      <alignment horizontal="distributed"/>
    </xf>
    <xf numFmtId="0" fontId="2" fillId="0" borderId="62" xfId="3" applyFont="1" applyBorder="1" applyAlignment="1">
      <alignment horizontal="distributed"/>
    </xf>
    <xf numFmtId="0" fontId="2" fillId="0" borderId="28" xfId="3" applyFont="1" applyBorder="1" applyAlignment="1">
      <alignment horizontal="distributed" vertical="center"/>
    </xf>
    <xf numFmtId="0" fontId="2" fillId="0" borderId="129" xfId="3" applyFont="1" applyBorder="1" applyAlignment="1">
      <alignment horizontal="center" vertical="center"/>
    </xf>
    <xf numFmtId="0" fontId="2" fillId="0" borderId="42" xfId="3" applyFont="1" applyBorder="1" applyAlignment="1">
      <alignment horizontal="center" vertical="center"/>
    </xf>
    <xf numFmtId="0" fontId="2" fillId="0" borderId="56" xfId="3" applyFont="1" applyBorder="1" applyAlignment="1">
      <alignment horizontal="center" vertical="center"/>
    </xf>
    <xf numFmtId="0" fontId="2" fillId="0" borderId="45" xfId="3" applyFont="1" applyBorder="1" applyAlignment="1">
      <alignment horizontal="center" vertical="center"/>
    </xf>
    <xf numFmtId="0" fontId="2" fillId="0" borderId="90" xfId="3" applyFont="1" applyBorder="1" applyAlignment="1">
      <alignment horizontal="center" vertical="center"/>
    </xf>
    <xf numFmtId="0" fontId="2" fillId="0" borderId="88" xfId="3" applyFont="1" applyBorder="1" applyAlignment="1">
      <alignment horizontal="center" vertical="center"/>
    </xf>
    <xf numFmtId="0" fontId="2" fillId="0" borderId="89" xfId="3" applyFont="1" applyBorder="1" applyAlignment="1">
      <alignment horizontal="center" vertical="center"/>
    </xf>
    <xf numFmtId="0" fontId="2" fillId="0" borderId="91" xfId="3" applyFont="1" applyBorder="1" applyAlignment="1">
      <alignment horizontal="center" vertical="center"/>
    </xf>
    <xf numFmtId="0" fontId="12" fillId="0" borderId="15" xfId="3" applyFont="1" applyBorder="1" applyAlignment="1">
      <alignment horizontal="distributed" vertical="center"/>
    </xf>
    <xf numFmtId="49" fontId="2" fillId="3" borderId="234" xfId="3" applyNumberFormat="1" applyFont="1" applyFill="1" applyBorder="1" applyAlignment="1">
      <alignment horizontal="right" vertical="center" shrinkToFit="1"/>
    </xf>
    <xf numFmtId="0" fontId="2" fillId="0" borderId="62" xfId="3" applyFont="1" applyBorder="1" applyAlignment="1">
      <alignment horizontal="distributed" vertical="center"/>
    </xf>
    <xf numFmtId="0" fontId="2" fillId="0" borderId="64" xfId="3" applyFont="1" applyBorder="1" applyAlignment="1">
      <alignment horizontal="distributed" vertical="center"/>
    </xf>
    <xf numFmtId="0" fontId="2" fillId="0" borderId="158" xfId="3" applyFont="1" applyBorder="1" applyAlignment="1">
      <alignment horizontal="distributed" vertical="center"/>
    </xf>
    <xf numFmtId="0" fontId="2" fillId="0" borderId="42" xfId="3" applyFont="1" applyBorder="1" applyAlignment="1">
      <alignment horizontal="distributed" vertical="center"/>
    </xf>
    <xf numFmtId="0" fontId="2" fillId="0" borderId="56" xfId="3" applyFont="1" applyBorder="1" applyAlignment="1">
      <alignment horizontal="distributed" vertical="center"/>
    </xf>
    <xf numFmtId="0" fontId="4" fillId="0" borderId="67" xfId="3" applyFont="1" applyBorder="1" applyAlignment="1">
      <alignment horizontal="left" vertical="center"/>
    </xf>
    <xf numFmtId="0" fontId="4" fillId="0" borderId="12" xfId="3" applyFont="1" applyBorder="1" applyAlignment="1">
      <alignment horizontal="left" vertical="center"/>
    </xf>
    <xf numFmtId="0" fontId="4" fillId="0" borderId="68" xfId="3" applyFont="1" applyBorder="1" applyAlignment="1">
      <alignment horizontal="left" vertical="center"/>
    </xf>
    <xf numFmtId="0" fontId="12" fillId="0" borderId="218" xfId="3" applyFont="1" applyBorder="1" applyAlignment="1">
      <alignment horizontal="distributed" vertical="center"/>
    </xf>
    <xf numFmtId="0" fontId="12" fillId="0" borderId="161" xfId="3" applyFont="1" applyBorder="1" applyAlignment="1">
      <alignment horizontal="distributed" vertical="center"/>
    </xf>
    <xf numFmtId="0" fontId="2" fillId="0" borderId="4" xfId="3" applyFont="1" applyBorder="1" applyAlignment="1">
      <alignment horizontal="left" vertical="center"/>
    </xf>
    <xf numFmtId="0" fontId="14" fillId="0" borderId="112" xfId="3" applyFont="1" applyBorder="1" applyAlignment="1">
      <alignment horizontal="distributed" vertical="center"/>
    </xf>
    <xf numFmtId="0" fontId="14" fillId="0" borderId="47" xfId="3" applyFont="1" applyBorder="1" applyAlignment="1">
      <alignment horizontal="distributed" vertical="center"/>
    </xf>
    <xf numFmtId="0" fontId="14" fillId="0" borderId="50" xfId="3" applyFont="1" applyBorder="1" applyAlignment="1">
      <alignment horizontal="distributed" vertical="center"/>
    </xf>
    <xf numFmtId="0" fontId="12" fillId="0" borderId="112" xfId="3" applyFont="1" applyBorder="1" applyAlignment="1">
      <alignment horizontal="distributed" vertical="center"/>
    </xf>
    <xf numFmtId="0" fontId="12" fillId="0" borderId="47" xfId="3" applyFont="1" applyBorder="1" applyAlignment="1">
      <alignment horizontal="distributed" vertical="center"/>
    </xf>
    <xf numFmtId="0" fontId="2" fillId="0" borderId="17" xfId="3" applyFont="1" applyBorder="1" applyAlignment="1">
      <alignment vertical="center" shrinkToFit="1"/>
    </xf>
    <xf numFmtId="0" fontId="2" fillId="0" borderId="0" xfId="3" applyFont="1" applyAlignment="1">
      <alignment vertical="center" shrinkToFit="1"/>
    </xf>
    <xf numFmtId="0" fontId="25" fillId="0" borderId="47" xfId="3" applyFont="1" applyBorder="1" applyAlignment="1">
      <alignment horizontal="distributed" vertical="center"/>
    </xf>
    <xf numFmtId="0" fontId="25" fillId="0" borderId="50" xfId="3" applyFont="1" applyBorder="1" applyAlignment="1">
      <alignment horizontal="distributed" vertical="center"/>
    </xf>
    <xf numFmtId="0" fontId="12" fillId="0" borderId="24" xfId="3" applyFont="1" applyBorder="1" applyAlignment="1">
      <alignment horizontal="distributed" vertical="center"/>
    </xf>
    <xf numFmtId="0" fontId="2" fillId="0" borderId="230" xfId="3" applyFont="1" applyBorder="1" applyAlignment="1">
      <alignment horizontal="center" vertical="distributed" textRotation="255" indent="1"/>
    </xf>
    <xf numFmtId="0" fontId="2" fillId="0" borderId="231" xfId="3" applyFont="1" applyBorder="1" applyAlignment="1">
      <alignment horizontal="center" vertical="distributed" textRotation="255" indent="1"/>
    </xf>
    <xf numFmtId="0" fontId="2" fillId="0" borderId="232" xfId="3" applyFont="1" applyBorder="1" applyAlignment="1">
      <alignment horizontal="center" vertical="distributed" textRotation="255" indent="1"/>
    </xf>
    <xf numFmtId="0" fontId="26" fillId="0" borderId="9" xfId="3" applyFont="1" applyBorder="1" applyAlignment="1">
      <alignment horizontal="distributed" vertical="center"/>
    </xf>
    <xf numFmtId="0" fontId="26" fillId="0" borderId="10" xfId="3" applyFont="1" applyBorder="1" applyAlignment="1">
      <alignment horizontal="distributed" vertical="center"/>
    </xf>
    <xf numFmtId="0" fontId="26" fillId="0" borderId="25" xfId="3" applyFont="1" applyBorder="1" applyAlignment="1">
      <alignment horizontal="distributed" vertical="center"/>
    </xf>
    <xf numFmtId="0" fontId="26" fillId="0" borderId="37" xfId="3" applyFont="1" applyBorder="1" applyAlignment="1">
      <alignment horizontal="distributed" vertical="center"/>
    </xf>
    <xf numFmtId="0" fontId="2" fillId="0" borderId="38" xfId="3" applyFont="1" applyBorder="1" applyAlignment="1">
      <alignment horizontal="center" vertical="center"/>
    </xf>
    <xf numFmtId="0" fontId="2" fillId="0" borderId="29" xfId="3" applyFont="1" applyBorder="1" applyAlignment="1">
      <alignment horizontal="center" vertical="center"/>
    </xf>
    <xf numFmtId="0" fontId="2" fillId="0" borderId="39" xfId="3" applyFont="1" applyBorder="1" applyAlignment="1">
      <alignment horizontal="center" vertical="center"/>
    </xf>
    <xf numFmtId="0" fontId="2" fillId="0" borderId="70" xfId="3" applyFont="1" applyBorder="1" applyAlignment="1">
      <alignment vertical="distributed" textRotation="255" indent="1"/>
    </xf>
    <xf numFmtId="0" fontId="26" fillId="0" borderId="70" xfId="3" applyFont="1" applyBorder="1" applyAlignment="1">
      <alignment vertical="distributed" textRotation="255" indent="1"/>
    </xf>
    <xf numFmtId="0" fontId="26" fillId="0" borderId="125" xfId="3" applyFont="1" applyBorder="1" applyAlignment="1">
      <alignment vertical="distributed" textRotation="255" indent="1"/>
    </xf>
    <xf numFmtId="0" fontId="26" fillId="0" borderId="41" xfId="3" applyFont="1" applyBorder="1" applyAlignment="1">
      <alignment horizontal="distributed" vertical="center"/>
    </xf>
    <xf numFmtId="0" fontId="26" fillId="0" borderId="52" xfId="3" applyFont="1" applyBorder="1" applyAlignment="1">
      <alignment horizontal="distributed" vertical="center"/>
    </xf>
    <xf numFmtId="0" fontId="26" fillId="0" borderId="29" xfId="3" applyFont="1" applyBorder="1" applyAlignment="1">
      <alignment horizontal="distributed" vertical="center"/>
    </xf>
    <xf numFmtId="0" fontId="26" fillId="0" borderId="39" xfId="3" applyFont="1" applyBorder="1" applyAlignment="1">
      <alignment horizontal="distributed" vertical="center"/>
    </xf>
    <xf numFmtId="0" fontId="2" fillId="0" borderId="113" xfId="3" applyFont="1" applyBorder="1" applyAlignment="1">
      <alignment vertical="distributed" textRotation="255" indent="1"/>
    </xf>
    <xf numFmtId="0" fontId="26" fillId="0" borderId="0" xfId="3" applyFont="1" applyAlignment="1">
      <alignment horizontal="distributed" vertical="center"/>
    </xf>
    <xf numFmtId="0" fontId="26" fillId="0" borderId="15" xfId="3" applyFont="1" applyBorder="1" applyAlignment="1">
      <alignment horizontal="distributed" vertical="center"/>
    </xf>
    <xf numFmtId="49" fontId="2" fillId="3" borderId="77" xfId="3" applyNumberFormat="1" applyFont="1" applyFill="1" applyBorder="1" applyAlignment="1">
      <alignment horizontal="right" vertical="center" shrinkToFit="1"/>
    </xf>
    <xf numFmtId="0" fontId="12" fillId="0" borderId="93" xfId="3" applyFont="1" applyBorder="1" applyAlignment="1">
      <alignment horizontal="distributed" vertical="center"/>
    </xf>
    <xf numFmtId="0" fontId="25" fillId="0" borderId="9" xfId="3" applyFont="1" applyBorder="1" applyAlignment="1">
      <alignment horizontal="distributed" vertical="center"/>
    </xf>
    <xf numFmtId="0" fontId="25" fillId="0" borderId="10" xfId="3" applyFont="1" applyBorder="1" applyAlignment="1">
      <alignment horizontal="distributed" vertical="center"/>
    </xf>
    <xf numFmtId="0" fontId="2" fillId="0" borderId="87" xfId="3" applyFont="1" applyBorder="1" applyAlignment="1">
      <alignment horizontal="distributed" vertical="center"/>
    </xf>
    <xf numFmtId="0" fontId="26" fillId="0" borderId="88" xfId="3" applyFont="1" applyBorder="1" applyAlignment="1">
      <alignment horizontal="distributed" vertical="center"/>
    </xf>
    <xf numFmtId="0" fontId="26" fillId="0" borderId="89" xfId="3" applyFont="1" applyBorder="1" applyAlignment="1">
      <alignment horizontal="distributed" vertical="center"/>
    </xf>
    <xf numFmtId="49" fontId="2" fillId="0" borderId="93" xfId="3" applyNumberFormat="1" applyFont="1" applyBorder="1" applyAlignment="1" applyProtection="1">
      <alignment horizontal="left" vertical="top"/>
      <protection locked="0"/>
    </xf>
    <xf numFmtId="49" fontId="2" fillId="0" borderId="9" xfId="3" applyNumberFormat="1" applyFont="1" applyBorder="1" applyAlignment="1" applyProtection="1">
      <alignment horizontal="left" vertical="top"/>
      <protection locked="0"/>
    </xf>
    <xf numFmtId="49" fontId="2" fillId="0" borderId="48" xfId="3" applyNumberFormat="1" applyFont="1" applyBorder="1" applyAlignment="1" applyProtection="1">
      <alignment horizontal="left" vertical="top"/>
      <protection locked="0"/>
    </xf>
    <xf numFmtId="49" fontId="2" fillId="0" borderId="17" xfId="3" applyNumberFormat="1" applyFont="1" applyBorder="1" applyAlignment="1" applyProtection="1">
      <alignment horizontal="left" vertical="top"/>
      <protection locked="0"/>
    </xf>
    <xf numFmtId="49" fontId="2" fillId="0" borderId="0" xfId="3" applyNumberFormat="1" applyFont="1" applyAlignment="1" applyProtection="1">
      <alignment horizontal="left" vertical="top"/>
      <protection locked="0"/>
    </xf>
    <xf numFmtId="49" fontId="2" fillId="0" borderId="69" xfId="3" applyNumberFormat="1" applyFont="1" applyBorder="1" applyAlignment="1" applyProtection="1">
      <alignment horizontal="left" vertical="top"/>
      <protection locked="0"/>
    </xf>
    <xf numFmtId="49" fontId="2" fillId="0" borderId="129" xfId="3" applyNumberFormat="1" applyFont="1" applyBorder="1" applyAlignment="1" applyProtection="1">
      <alignment horizontal="left" vertical="top"/>
      <protection locked="0"/>
    </xf>
    <xf numFmtId="49" fontId="2" fillId="0" borderId="42" xfId="3" applyNumberFormat="1" applyFont="1" applyBorder="1" applyAlignment="1" applyProtection="1">
      <alignment horizontal="left" vertical="top"/>
      <protection locked="0"/>
    </xf>
    <xf numFmtId="49" fontId="2" fillId="0" borderId="54" xfId="3" applyNumberFormat="1" applyFont="1" applyBorder="1" applyAlignment="1" applyProtection="1">
      <alignment horizontal="left" vertical="top"/>
      <protection locked="0"/>
    </xf>
    <xf numFmtId="0" fontId="2" fillId="0" borderId="19" xfId="3" applyFont="1" applyBorder="1" applyAlignment="1">
      <alignment horizontal="center" vertical="center"/>
    </xf>
    <xf numFmtId="0" fontId="2" fillId="0" borderId="21" xfId="3" applyFont="1" applyBorder="1" applyAlignment="1">
      <alignment horizontal="center" vertical="center"/>
    </xf>
    <xf numFmtId="0" fontId="11" fillId="3" borderId="87" xfId="3" applyFont="1" applyFill="1" applyBorder="1" applyAlignment="1">
      <alignment horizontal="center" vertical="center"/>
    </xf>
    <xf numFmtId="0" fontId="11" fillId="3" borderId="88" xfId="3" applyFont="1" applyFill="1" applyBorder="1" applyAlignment="1">
      <alignment horizontal="center" vertical="center"/>
    </xf>
    <xf numFmtId="0" fontId="11" fillId="3" borderId="91" xfId="3" applyFont="1" applyFill="1" applyBorder="1" applyAlignment="1">
      <alignment horizontal="center" vertical="center"/>
    </xf>
    <xf numFmtId="0" fontId="11" fillId="0" borderId="67" xfId="3" applyFont="1" applyBorder="1" applyAlignment="1">
      <alignment horizontal="left" vertical="center"/>
    </xf>
    <xf numFmtId="0" fontId="11" fillId="0" borderId="12" xfId="3" applyFont="1" applyBorder="1" applyAlignment="1">
      <alignment horizontal="left" vertical="center"/>
    </xf>
    <xf numFmtId="0" fontId="11" fillId="0" borderId="261" xfId="3" applyFont="1" applyBorder="1" applyAlignment="1">
      <alignment horizontal="left" vertical="center"/>
    </xf>
    <xf numFmtId="0" fontId="11" fillId="0" borderId="262" xfId="3" applyFont="1" applyBorder="1" applyAlignment="1">
      <alignment horizontal="left" vertical="center"/>
    </xf>
    <xf numFmtId="0" fontId="11" fillId="0" borderId="263" xfId="3" applyFont="1" applyBorder="1" applyAlignment="1">
      <alignment horizontal="left" vertical="center"/>
    </xf>
    <xf numFmtId="0" fontId="11" fillId="0" borderId="67" xfId="3" applyFont="1" applyBorder="1" applyAlignment="1">
      <alignment horizontal="left" vertical="distributed"/>
    </xf>
    <xf numFmtId="0" fontId="2" fillId="0" borderId="12" xfId="3" applyFont="1" applyBorder="1" applyAlignment="1">
      <alignment horizontal="left" vertical="distributed"/>
    </xf>
    <xf numFmtId="0" fontId="2" fillId="0" borderId="68" xfId="3" applyFont="1" applyBorder="1" applyAlignment="1">
      <alignment horizontal="left" vertical="distributed"/>
    </xf>
    <xf numFmtId="0" fontId="9" fillId="0" borderId="67" xfId="3" applyFont="1" applyBorder="1" applyAlignment="1">
      <alignment horizontal="distributed" vertical="center" justifyLastLine="1"/>
    </xf>
    <xf numFmtId="0" fontId="9" fillId="0" borderId="12" xfId="3" applyFont="1" applyBorder="1" applyAlignment="1">
      <alignment horizontal="distributed" vertical="center" justifyLastLine="1"/>
    </xf>
    <xf numFmtId="0" fontId="9" fillId="0" borderId="264" xfId="3" applyFont="1" applyBorder="1" applyAlignment="1">
      <alignment horizontal="distributed" vertical="center" justifyLastLine="1"/>
    </xf>
    <xf numFmtId="0" fontId="9" fillId="0" borderId="265" xfId="3" applyFont="1" applyBorder="1" applyAlignment="1">
      <alignment horizontal="distributed" vertical="center" justifyLastLine="1"/>
    </xf>
    <xf numFmtId="0" fontId="2" fillId="0" borderId="11" xfId="3" applyFont="1" applyBorder="1" applyAlignment="1">
      <alignment horizontal="center" vertical="center" shrinkToFit="1"/>
    </xf>
    <xf numFmtId="0" fontId="2" fillId="0" borderId="68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18" xfId="3" applyFont="1" applyBorder="1" applyAlignment="1">
      <alignment horizontal="center" vertical="center" wrapText="1"/>
    </xf>
    <xf numFmtId="49" fontId="9" fillId="3" borderId="248" xfId="3" applyNumberFormat="1" applyFont="1" applyFill="1" applyBorder="1" applyAlignment="1">
      <alignment horizontal="right" vertical="center"/>
    </xf>
    <xf numFmtId="49" fontId="9" fillId="3" borderId="249" xfId="3" applyNumberFormat="1" applyFont="1" applyFill="1" applyBorder="1" applyAlignment="1">
      <alignment horizontal="right" vertical="center"/>
    </xf>
    <xf numFmtId="49" fontId="9" fillId="3" borderId="251" xfId="3" applyNumberFormat="1" applyFont="1" applyFill="1" applyBorder="1" applyAlignment="1">
      <alignment horizontal="right" vertical="center"/>
    </xf>
    <xf numFmtId="0" fontId="9" fillId="0" borderId="17" xfId="3" applyFont="1" applyBorder="1" applyAlignment="1">
      <alignment horizontal="distributed" vertical="center"/>
    </xf>
    <xf numFmtId="0" fontId="9" fillId="0" borderId="0" xfId="3" applyFont="1" applyAlignment="1">
      <alignment horizontal="distributed" vertical="center"/>
    </xf>
    <xf numFmtId="49" fontId="9" fillId="3" borderId="23" xfId="3" applyNumberFormat="1" applyFont="1" applyFill="1" applyBorder="1" applyAlignment="1">
      <alignment horizontal="right" vertical="center"/>
    </xf>
    <xf numFmtId="49" fontId="9" fillId="3" borderId="22" xfId="3" applyNumberFormat="1" applyFont="1" applyFill="1" applyBorder="1" applyAlignment="1">
      <alignment horizontal="right" vertical="center"/>
    </xf>
    <xf numFmtId="0" fontId="9" fillId="0" borderId="266" xfId="3" applyFont="1" applyBorder="1" applyAlignment="1">
      <alignment horizontal="center" vertical="center" textRotation="255" shrinkToFit="1"/>
    </xf>
    <xf numFmtId="0" fontId="9" fillId="0" borderId="268" xfId="3" applyFont="1" applyBorder="1" applyAlignment="1">
      <alignment horizontal="center" vertical="center" textRotation="255" shrinkToFit="1"/>
    </xf>
    <xf numFmtId="0" fontId="9" fillId="0" borderId="270" xfId="3" applyFont="1" applyBorder="1" applyAlignment="1">
      <alignment horizontal="center" vertical="center" textRotation="255" shrinkToFit="1"/>
    </xf>
    <xf numFmtId="0" fontId="9" fillId="0" borderId="84" xfId="3" applyFont="1" applyBorder="1" applyAlignment="1">
      <alignment horizontal="distributed" vertical="center" shrinkToFit="1"/>
    </xf>
    <xf numFmtId="0" fontId="9" fillId="0" borderId="22" xfId="3" applyFont="1" applyBorder="1" applyAlignment="1">
      <alignment horizontal="distributed" vertical="center" shrinkToFit="1"/>
    </xf>
    <xf numFmtId="0" fontId="9" fillId="0" borderId="36" xfId="3" applyFont="1" applyBorder="1" applyAlignment="1">
      <alignment horizontal="distributed" vertical="center" shrinkToFit="1"/>
    </xf>
    <xf numFmtId="49" fontId="9" fillId="3" borderId="267" xfId="3" applyNumberFormat="1" applyFont="1" applyFill="1" applyBorder="1" applyAlignment="1">
      <alignment horizontal="right" vertical="center"/>
    </xf>
    <xf numFmtId="49" fontId="9" fillId="3" borderId="26" xfId="5" applyNumberFormat="1" applyFont="1" applyFill="1" applyBorder="1" applyAlignment="1">
      <alignment horizontal="right" vertical="center"/>
    </xf>
    <xf numFmtId="49" fontId="9" fillId="3" borderId="25" xfId="5" applyNumberFormat="1" applyFont="1" applyFill="1" applyBorder="1" applyAlignment="1">
      <alignment horizontal="right" vertical="center"/>
    </xf>
    <xf numFmtId="0" fontId="9" fillId="0" borderId="32" xfId="3" applyFont="1" applyBorder="1" applyAlignment="1">
      <alignment horizontal="distributed" vertical="center" shrinkToFit="1"/>
    </xf>
    <xf numFmtId="0" fontId="9" fillId="0" borderId="25" xfId="3" applyFont="1" applyBorder="1" applyAlignment="1">
      <alignment horizontal="distributed" vertical="center" shrinkToFit="1"/>
    </xf>
    <xf numFmtId="0" fontId="9" fillId="0" borderId="37" xfId="3" applyFont="1" applyBorder="1" applyAlignment="1">
      <alignment horizontal="distributed" vertical="center" shrinkToFit="1"/>
    </xf>
    <xf numFmtId="49" fontId="9" fillId="3" borderId="26" xfId="3" applyNumberFormat="1" applyFont="1" applyFill="1" applyBorder="1" applyAlignment="1">
      <alignment horizontal="right" vertical="center"/>
    </xf>
    <xf numFmtId="49" fontId="9" fillId="3" borderId="25" xfId="3" applyNumberFormat="1" applyFont="1" applyFill="1" applyBorder="1" applyAlignment="1">
      <alignment horizontal="right" vertical="center"/>
    </xf>
    <xf numFmtId="49" fontId="9" fillId="3" borderId="269" xfId="3" applyNumberFormat="1" applyFont="1" applyFill="1" applyBorder="1" applyAlignment="1">
      <alignment horizontal="right" vertical="center"/>
    </xf>
    <xf numFmtId="49" fontId="9" fillId="3" borderId="30" xfId="3" applyNumberFormat="1" applyFont="1" applyFill="1" applyBorder="1" applyAlignment="1">
      <alignment horizontal="right" vertical="center"/>
    </xf>
    <xf numFmtId="49" fontId="9" fillId="3" borderId="29" xfId="3" applyNumberFormat="1" applyFont="1" applyFill="1" applyBorder="1" applyAlignment="1">
      <alignment horizontal="right" vertical="center"/>
    </xf>
    <xf numFmtId="49" fontId="9" fillId="3" borderId="271" xfId="3" applyNumberFormat="1" applyFont="1" applyFill="1" applyBorder="1" applyAlignment="1">
      <alignment horizontal="right" vertical="center"/>
    </xf>
    <xf numFmtId="49" fontId="9" fillId="3" borderId="27" xfId="3" applyNumberFormat="1" applyFont="1" applyFill="1" applyBorder="1" applyAlignment="1">
      <alignment horizontal="right" vertical="center"/>
    </xf>
    <xf numFmtId="0" fontId="2" fillId="0" borderId="94" xfId="3" applyFont="1" applyBorder="1" applyAlignment="1">
      <alignment horizontal="distributed" vertical="center" shrinkToFit="1"/>
    </xf>
    <xf numFmtId="0" fontId="2" fillId="0" borderId="95" xfId="3" applyFont="1" applyBorder="1" applyAlignment="1">
      <alignment horizontal="distributed" vertical="center" shrinkToFit="1"/>
    </xf>
    <xf numFmtId="0" fontId="2" fillId="0" borderId="96" xfId="3" applyFont="1" applyBorder="1" applyAlignment="1">
      <alignment horizontal="distributed" vertical="center" shrinkToFit="1"/>
    </xf>
    <xf numFmtId="49" fontId="9" fillId="3" borderId="212" xfId="3" applyNumberFormat="1" applyFont="1" applyFill="1" applyBorder="1" applyAlignment="1">
      <alignment horizontal="right" vertical="center"/>
    </xf>
    <xf numFmtId="49" fontId="9" fillId="3" borderId="213" xfId="3" applyNumberFormat="1" applyFont="1" applyFill="1" applyBorder="1" applyAlignment="1">
      <alignment horizontal="right" vertical="center"/>
    </xf>
    <xf numFmtId="49" fontId="9" fillId="3" borderId="214" xfId="3" applyNumberFormat="1" applyFont="1" applyFill="1" applyBorder="1" applyAlignment="1">
      <alignment horizontal="right" vertical="center"/>
    </xf>
    <xf numFmtId="49" fontId="9" fillId="3" borderId="92" xfId="3" applyNumberFormat="1" applyFont="1" applyFill="1" applyBorder="1" applyAlignment="1">
      <alignment horizontal="right" vertical="center"/>
    </xf>
    <xf numFmtId="0" fontId="9" fillId="0" borderId="15" xfId="3" applyFont="1" applyBorder="1" applyAlignment="1">
      <alignment horizontal="distributed" vertical="center"/>
    </xf>
    <xf numFmtId="0" fontId="9" fillId="0" borderId="47" xfId="3" applyFont="1" applyBorder="1" applyAlignment="1">
      <alignment horizontal="distributed" vertical="center"/>
    </xf>
    <xf numFmtId="0" fontId="9" fillId="0" borderId="50" xfId="3" applyFont="1" applyBorder="1" applyAlignment="1">
      <alignment horizontal="distributed" vertical="center"/>
    </xf>
    <xf numFmtId="0" fontId="9" fillId="0" borderId="112" xfId="3" applyFont="1" applyBorder="1" applyAlignment="1">
      <alignment horizontal="distributed" vertical="center"/>
    </xf>
    <xf numFmtId="0" fontId="9" fillId="0" borderId="266" xfId="3" applyFont="1" applyBorder="1" applyAlignment="1">
      <alignment horizontal="center" vertical="center" textRotation="255"/>
    </xf>
    <xf numFmtId="0" fontId="9" fillId="0" borderId="268" xfId="3" applyFont="1" applyBorder="1" applyAlignment="1">
      <alignment horizontal="center" vertical="center" textRotation="255"/>
    </xf>
    <xf numFmtId="0" fontId="9" fillId="0" borderId="270" xfId="3" applyFont="1" applyBorder="1" applyAlignment="1">
      <alignment horizontal="center" vertical="center" textRotation="255"/>
    </xf>
    <xf numFmtId="49" fontId="9" fillId="3" borderId="104" xfId="3" applyNumberFormat="1" applyFont="1" applyFill="1" applyBorder="1" applyAlignment="1">
      <alignment horizontal="right" vertical="center"/>
    </xf>
    <xf numFmtId="49" fontId="9" fillId="3" borderId="105" xfId="3" applyNumberFormat="1" applyFont="1" applyFill="1" applyBorder="1" applyAlignment="1">
      <alignment horizontal="right" vertical="center"/>
    </xf>
    <xf numFmtId="49" fontId="9" fillId="3" borderId="106" xfId="3" applyNumberFormat="1" applyFont="1" applyFill="1" applyBorder="1" applyAlignment="1">
      <alignment horizontal="right" vertical="center"/>
    </xf>
    <xf numFmtId="0" fontId="17" fillId="0" borderId="32" xfId="3" applyFont="1" applyBorder="1" applyAlignment="1">
      <alignment horizontal="distributed" vertical="center" shrinkToFit="1"/>
    </xf>
    <xf numFmtId="0" fontId="17" fillId="0" borderId="25" xfId="3" applyFont="1" applyBorder="1" applyAlignment="1">
      <alignment horizontal="distributed" vertical="center" shrinkToFit="1"/>
    </xf>
    <xf numFmtId="0" fontId="17" fillId="0" borderId="37" xfId="3" applyFont="1" applyBorder="1" applyAlignment="1">
      <alignment horizontal="distributed" vertical="center" shrinkToFit="1"/>
    </xf>
    <xf numFmtId="49" fontId="9" fillId="3" borderId="31" xfId="3" applyNumberFormat="1" applyFont="1" applyFill="1" applyBorder="1" applyAlignment="1">
      <alignment horizontal="right" vertical="center"/>
    </xf>
    <xf numFmtId="0" fontId="9" fillId="0" borderId="93" xfId="3" applyFont="1" applyBorder="1" applyAlignment="1">
      <alignment horizontal="distributed"/>
    </xf>
    <xf numFmtId="0" fontId="9" fillId="0" borderId="9" xfId="3" applyFont="1" applyBorder="1" applyAlignment="1">
      <alignment horizontal="distributed"/>
    </xf>
    <xf numFmtId="0" fontId="9" fillId="0" borderId="10" xfId="3" applyFont="1" applyBorder="1" applyAlignment="1">
      <alignment horizontal="distributed"/>
    </xf>
    <xf numFmtId="49" fontId="9" fillId="3" borderId="272" xfId="3" applyNumberFormat="1" applyFont="1" applyFill="1" applyBorder="1" applyAlignment="1">
      <alignment horizontal="right" vertical="center"/>
    </xf>
    <xf numFmtId="0" fontId="9" fillId="0" borderId="273" xfId="3" applyFont="1" applyBorder="1" applyAlignment="1">
      <alignment horizontal="center" vertical="center"/>
    </xf>
    <xf numFmtId="0" fontId="9" fillId="0" borderId="126" xfId="3" applyFont="1" applyBorder="1" applyAlignment="1">
      <alignment horizontal="center" vertical="center"/>
    </xf>
    <xf numFmtId="0" fontId="9" fillId="0" borderId="127" xfId="3" applyFont="1" applyBorder="1" applyAlignment="1">
      <alignment horizontal="distributed" vertical="center"/>
    </xf>
    <xf numFmtId="0" fontId="9" fillId="0" borderId="4" xfId="3" applyFont="1" applyBorder="1" applyAlignment="1">
      <alignment horizontal="distributed" vertical="center"/>
    </xf>
    <xf numFmtId="0" fontId="9" fillId="0" borderId="6" xfId="3" applyFont="1" applyBorder="1" applyAlignment="1">
      <alignment horizontal="distributed" vertical="center"/>
    </xf>
    <xf numFmtId="49" fontId="9" fillId="3" borderId="5" xfId="3" applyNumberFormat="1" applyFont="1" applyFill="1" applyBorder="1" applyAlignment="1">
      <alignment horizontal="right" vertical="center"/>
    </xf>
    <xf numFmtId="49" fontId="9" fillId="3" borderId="4" xfId="3" applyNumberFormat="1" applyFont="1" applyFill="1" applyBorder="1" applyAlignment="1">
      <alignment horizontal="right" vertical="center"/>
    </xf>
    <xf numFmtId="49" fontId="9" fillId="3" borderId="274" xfId="3" applyNumberFormat="1" applyFont="1" applyFill="1" applyBorder="1" applyAlignment="1">
      <alignment horizontal="right" vertical="center"/>
    </xf>
    <xf numFmtId="0" fontId="2" fillId="0" borderId="88" xfId="3" applyFont="1" applyBorder="1" applyAlignment="1">
      <alignment horizontal="distributed" vertical="center"/>
    </xf>
    <xf numFmtId="0" fontId="2" fillId="0" borderId="89" xfId="3" applyFont="1" applyBorder="1" applyAlignment="1">
      <alignment horizontal="distributed" vertical="center"/>
    </xf>
    <xf numFmtId="49" fontId="9" fillId="3" borderId="90" xfId="3" applyNumberFormat="1" applyFont="1" applyFill="1" applyBorder="1" applyAlignment="1">
      <alignment horizontal="right" vertical="center"/>
    </xf>
    <xf numFmtId="49" fontId="9" fillId="3" borderId="88" xfId="3" applyNumberFormat="1" applyFont="1" applyFill="1" applyBorder="1" applyAlignment="1">
      <alignment horizontal="right" vertical="center"/>
    </xf>
    <xf numFmtId="49" fontId="9" fillId="3" borderId="91" xfId="3" applyNumberFormat="1" applyFont="1" applyFill="1" applyBorder="1" applyAlignment="1">
      <alignment horizontal="right" vertical="center"/>
    </xf>
    <xf numFmtId="0" fontId="12" fillId="0" borderId="94" xfId="3" applyFont="1" applyBorder="1" applyAlignment="1">
      <alignment horizontal="distributed" vertical="center" shrinkToFit="1"/>
    </xf>
    <xf numFmtId="0" fontId="12" fillId="0" borderId="95" xfId="3" applyFont="1" applyBorder="1" applyAlignment="1">
      <alignment horizontal="distributed" vertical="center" shrinkToFit="1"/>
    </xf>
    <xf numFmtId="0" fontId="12" fillId="0" borderId="123" xfId="3" applyFont="1" applyBorder="1" applyAlignment="1">
      <alignment horizontal="distributed" vertical="center" shrinkToFit="1"/>
    </xf>
    <xf numFmtId="49" fontId="9" fillId="3" borderId="34" xfId="3" applyNumberFormat="1" applyFont="1" applyFill="1" applyBorder="1" applyAlignment="1">
      <alignment horizontal="right" vertical="center"/>
    </xf>
    <xf numFmtId="49" fontId="9" fillId="3" borderId="33" xfId="3" applyNumberFormat="1" applyFont="1" applyFill="1" applyBorder="1" applyAlignment="1">
      <alignment horizontal="right" vertical="center"/>
    </xf>
    <xf numFmtId="49" fontId="9" fillId="3" borderId="280" xfId="3" applyNumberFormat="1" applyFont="1" applyFill="1" applyBorder="1" applyAlignment="1">
      <alignment horizontal="right" vertical="center"/>
    </xf>
    <xf numFmtId="0" fontId="9" fillId="0" borderId="275" xfId="3" applyFont="1" applyBorder="1" applyAlignment="1">
      <alignment horizontal="center" vertical="center"/>
    </xf>
    <xf numFmtId="0" fontId="9" fillId="0" borderId="279" xfId="3" applyFont="1" applyBorder="1" applyAlignment="1">
      <alignment horizontal="center" vertical="center"/>
    </xf>
    <xf numFmtId="0" fontId="9" fillId="0" borderId="22" xfId="3" applyFont="1" applyBorder="1" applyAlignment="1">
      <alignment horizontal="distributed" vertical="center"/>
    </xf>
    <xf numFmtId="0" fontId="2" fillId="0" borderId="276" xfId="3" applyFont="1" applyBorder="1" applyAlignment="1">
      <alignment horizontal="distributed" vertical="center"/>
    </xf>
    <xf numFmtId="0" fontId="2" fillId="0" borderId="277" xfId="3" applyFont="1" applyBorder="1" applyAlignment="1">
      <alignment horizontal="distributed" vertical="center"/>
    </xf>
    <xf numFmtId="49" fontId="9" fillId="3" borderId="278" xfId="3" applyNumberFormat="1" applyFont="1" applyFill="1" applyBorder="1" applyAlignment="1">
      <alignment horizontal="right" vertical="center"/>
    </xf>
    <xf numFmtId="49" fontId="9" fillId="3" borderId="186" xfId="3" applyNumberFormat="1" applyFont="1" applyFill="1" applyBorder="1" applyAlignment="1">
      <alignment horizontal="right" vertical="center"/>
    </xf>
    <xf numFmtId="49" fontId="9" fillId="3" borderId="220" xfId="3" applyNumberFormat="1" applyFont="1" applyFill="1" applyBorder="1" applyAlignment="1">
      <alignment horizontal="right" vertical="center"/>
    </xf>
    <xf numFmtId="0" fontId="9" fillId="0" borderId="281" xfId="3" applyFont="1" applyBorder="1" applyAlignment="1">
      <alignment horizontal="distributed" vertical="center" justifyLastLine="1"/>
    </xf>
    <xf numFmtId="0" fontId="9" fillId="0" borderId="20" xfId="3" applyFont="1" applyBorder="1" applyAlignment="1">
      <alignment horizontal="distributed" vertical="center" justifyLastLine="1"/>
    </xf>
    <xf numFmtId="0" fontId="9" fillId="0" borderId="30" xfId="3" applyFont="1" applyBorder="1" applyAlignment="1">
      <alignment horizontal="distributed" vertical="center"/>
    </xf>
    <xf numFmtId="0" fontId="2" fillId="0" borderId="108" xfId="3" applyFont="1" applyBorder="1" applyAlignment="1">
      <alignment horizontal="distributed" vertical="center" shrinkToFit="1"/>
    </xf>
    <xf numFmtId="0" fontId="2" fillId="0" borderId="97" xfId="3" applyFont="1" applyBorder="1" applyAlignment="1">
      <alignment horizontal="distributed" vertical="center" shrinkToFit="1"/>
    </xf>
    <xf numFmtId="0" fontId="2" fillId="0" borderId="282" xfId="3" applyFont="1" applyBorder="1" applyAlignment="1">
      <alignment horizontal="distributed" vertical="center" shrinkToFit="1"/>
    </xf>
    <xf numFmtId="0" fontId="15" fillId="0" borderId="275" xfId="3" applyFont="1" applyBorder="1" applyAlignment="1">
      <alignment horizontal="center" vertical="center" textRotation="255" shrinkToFit="1"/>
    </xf>
    <xf numFmtId="0" fontId="15" fillId="0" borderId="264" xfId="3" applyFont="1" applyBorder="1" applyAlignment="1">
      <alignment horizontal="center" vertical="center" textRotation="255" shrinkToFit="1"/>
    </xf>
    <xf numFmtId="0" fontId="9" fillId="0" borderId="23" xfId="3" applyFont="1" applyBorder="1" applyAlignment="1">
      <alignment horizontal="distributed" vertical="center"/>
    </xf>
    <xf numFmtId="0" fontId="9" fillId="0" borderId="283" xfId="3" applyFont="1" applyBorder="1" applyAlignment="1">
      <alignment horizontal="center" vertical="center" textRotation="255"/>
    </xf>
    <xf numFmtId="0" fontId="9" fillId="0" borderId="279" xfId="3" applyFont="1" applyBorder="1" applyAlignment="1">
      <alignment horizontal="center" vertical="center" textRotation="255"/>
    </xf>
    <xf numFmtId="0" fontId="2" fillId="0" borderId="78" xfId="3" applyFont="1" applyBorder="1" applyAlignment="1">
      <alignment horizontal="distributed" vertical="center" justifyLastLine="1" shrinkToFit="1"/>
    </xf>
    <xf numFmtId="0" fontId="2" fillId="0" borderId="4" xfId="3" applyFont="1" applyBorder="1" applyAlignment="1">
      <alignment horizontal="distributed" vertical="center" justifyLastLine="1" shrinkToFit="1"/>
    </xf>
    <xf numFmtId="0" fontId="2" fillId="0" borderId="18" xfId="3" applyFont="1" applyBorder="1" applyAlignment="1">
      <alignment horizontal="distributed" vertical="center" justifyLastLine="1" shrinkToFit="1"/>
    </xf>
    <xf numFmtId="0" fontId="9" fillId="0" borderId="78" xfId="3" applyFont="1" applyBorder="1" applyAlignment="1">
      <alignment horizontal="distributed" vertical="center" justifyLastLine="1"/>
    </xf>
    <xf numFmtId="0" fontId="9" fillId="0" borderId="4" xfId="3" applyFont="1" applyBorder="1" applyAlignment="1">
      <alignment horizontal="distributed" vertical="center" justifyLastLine="1"/>
    </xf>
    <xf numFmtId="0" fontId="9" fillId="0" borderId="26" xfId="3" applyFont="1" applyBorder="1" applyAlignment="1">
      <alignment horizontal="distributed" vertical="center"/>
    </xf>
    <xf numFmtId="0" fontId="9" fillId="0" borderId="7" xfId="3" applyFont="1" applyBorder="1" applyAlignment="1">
      <alignment horizontal="distributed" vertical="center"/>
    </xf>
    <xf numFmtId="0" fontId="9" fillId="0" borderId="284" xfId="3" applyFont="1" applyBorder="1" applyAlignment="1">
      <alignment horizontal="distributed" vertical="center"/>
    </xf>
    <xf numFmtId="0" fontId="14" fillId="0" borderId="93" xfId="3" applyFont="1" applyBorder="1" applyAlignment="1">
      <alignment horizontal="center" vertical="center" wrapText="1" shrinkToFit="1"/>
    </xf>
    <xf numFmtId="0" fontId="2" fillId="0" borderId="240" xfId="3" applyFont="1" applyBorder="1" applyAlignment="1">
      <alignment horizontal="distributed" vertical="center" shrinkToFit="1"/>
    </xf>
    <xf numFmtId="0" fontId="2" fillId="0" borderId="285" xfId="3" applyFont="1" applyBorder="1" applyAlignment="1">
      <alignment horizontal="distributed" vertical="center" shrinkToFit="1"/>
    </xf>
    <xf numFmtId="49" fontId="9" fillId="3" borderId="240" xfId="3" applyNumberFormat="1" applyFont="1" applyFill="1" applyBorder="1" applyAlignment="1">
      <alignment horizontal="right" vertical="center"/>
    </xf>
    <xf numFmtId="49" fontId="9" fillId="3" borderId="167" xfId="3" applyNumberFormat="1" applyFont="1" applyFill="1" applyBorder="1" applyAlignment="1">
      <alignment horizontal="right" vertical="center"/>
    </xf>
    <xf numFmtId="49" fontId="9" fillId="3" borderId="170" xfId="3" applyNumberFormat="1" applyFont="1" applyFill="1" applyBorder="1" applyAlignment="1">
      <alignment horizontal="right" vertical="center"/>
    </xf>
    <xf numFmtId="49" fontId="9" fillId="3" borderId="40" xfId="3" applyNumberFormat="1" applyFont="1" applyFill="1" applyBorder="1" applyAlignment="1">
      <alignment horizontal="right" vertical="center"/>
    </xf>
    <xf numFmtId="49" fontId="9" fillId="3" borderId="41" xfId="3" applyNumberFormat="1" applyFont="1" applyFill="1" applyBorder="1" applyAlignment="1">
      <alignment horizontal="right" vertical="center"/>
    </xf>
    <xf numFmtId="0" fontId="9" fillId="0" borderId="46" xfId="3" applyFont="1" applyBorder="1" applyAlignment="1">
      <alignment horizontal="distributed" vertical="center" wrapText="1"/>
    </xf>
    <xf numFmtId="0" fontId="9" fillId="0" borderId="47" xfId="3" applyFont="1" applyBorder="1" applyAlignment="1">
      <alignment horizontal="distributed" vertical="center" wrapText="1"/>
    </xf>
    <xf numFmtId="0" fontId="9" fillId="0" borderId="14" xfId="3" applyFont="1" applyBorder="1" applyAlignment="1">
      <alignment horizontal="distributed" vertical="center" wrapText="1"/>
    </xf>
    <xf numFmtId="0" fontId="9" fillId="0" borderId="0" xfId="3" applyFont="1" applyAlignment="1">
      <alignment horizontal="distributed" vertical="center" wrapText="1"/>
    </xf>
    <xf numFmtId="0" fontId="9" fillId="0" borderId="40" xfId="3" applyFont="1" applyBorder="1" applyAlignment="1">
      <alignment horizontal="distributed" vertical="center" wrapText="1"/>
    </xf>
    <xf numFmtId="0" fontId="9" fillId="0" borderId="41" xfId="3" applyFont="1" applyBorder="1" applyAlignment="1">
      <alignment horizontal="distributed" vertical="center" wrapText="1"/>
    </xf>
    <xf numFmtId="0" fontId="9" fillId="0" borderId="9" xfId="5" applyFont="1" applyBorder="1" applyAlignment="1">
      <alignment horizontal="distributed" vertical="center"/>
    </xf>
    <xf numFmtId="0" fontId="9" fillId="0" borderId="10" xfId="5" applyFont="1" applyBorder="1" applyAlignment="1">
      <alignment horizontal="distributed" vertical="center"/>
    </xf>
    <xf numFmtId="49" fontId="9" fillId="3" borderId="286" xfId="5" applyNumberFormat="1" applyFont="1" applyFill="1" applyBorder="1" applyAlignment="1">
      <alignment horizontal="right" vertical="center"/>
    </xf>
    <xf numFmtId="0" fontId="9" fillId="0" borderId="32" xfId="5" applyFont="1" applyBorder="1" applyAlignment="1">
      <alignment horizontal="distributed" vertical="center"/>
    </xf>
    <xf numFmtId="0" fontId="9" fillId="0" borderId="25" xfId="5" applyFont="1" applyBorder="1" applyAlignment="1">
      <alignment horizontal="distributed" vertical="center"/>
    </xf>
    <xf numFmtId="0" fontId="9" fillId="0" borderId="37" xfId="5" applyFont="1" applyBorder="1" applyAlignment="1">
      <alignment horizontal="distributed" vertical="center"/>
    </xf>
    <xf numFmtId="49" fontId="9" fillId="3" borderId="40" xfId="5" applyNumberFormat="1" applyFont="1" applyFill="1" applyBorder="1" applyAlignment="1">
      <alignment horizontal="right" vertical="center"/>
    </xf>
    <xf numFmtId="49" fontId="9" fillId="3" borderId="41" xfId="5" applyNumberFormat="1" applyFont="1" applyFill="1" applyBorder="1" applyAlignment="1">
      <alignment horizontal="right" vertical="center"/>
    </xf>
    <xf numFmtId="49" fontId="9" fillId="3" borderId="342" xfId="5" applyNumberFormat="1" applyFont="1" applyFill="1" applyBorder="1" applyAlignment="1">
      <alignment horizontal="right" vertical="center"/>
    </xf>
    <xf numFmtId="49" fontId="9" fillId="3" borderId="287" xfId="5" applyNumberFormat="1" applyFont="1" applyFill="1" applyBorder="1" applyAlignment="1">
      <alignment horizontal="right" vertical="center"/>
    </xf>
    <xf numFmtId="49" fontId="9" fillId="3" borderId="8" xfId="3" applyNumberFormat="1" applyFont="1" applyFill="1" applyBorder="1" applyAlignment="1">
      <alignment horizontal="right" vertical="center"/>
    </xf>
    <xf numFmtId="49" fontId="9" fillId="3" borderId="9" xfId="3" applyNumberFormat="1" applyFont="1" applyFill="1" applyBorder="1" applyAlignment="1">
      <alignment horizontal="right" vertical="center"/>
    </xf>
    <xf numFmtId="49" fontId="9" fillId="3" borderId="48" xfId="3" applyNumberFormat="1" applyFont="1" applyFill="1" applyBorder="1" applyAlignment="1">
      <alignment horizontal="right" vertical="center"/>
    </xf>
    <xf numFmtId="49" fontId="9" fillId="3" borderId="27" xfId="5" applyNumberFormat="1" applyFont="1" applyFill="1" applyBorder="1" applyAlignment="1">
      <alignment horizontal="right" vertical="center"/>
    </xf>
    <xf numFmtId="0" fontId="9" fillId="0" borderId="51" xfId="3" applyFont="1" applyBorder="1" applyAlignment="1">
      <alignment horizontal="distributed" vertical="center"/>
    </xf>
    <xf numFmtId="0" fontId="14" fillId="0" borderId="129" xfId="3" applyFont="1" applyBorder="1" applyAlignment="1">
      <alignment horizontal="center" vertical="center" wrapText="1" shrinkToFit="1"/>
    </xf>
    <xf numFmtId="0" fontId="9" fillId="0" borderId="22" xfId="5" applyFont="1" applyBorder="1" applyAlignment="1">
      <alignment horizontal="distributed" vertical="center"/>
    </xf>
    <xf numFmtId="0" fontId="9" fillId="0" borderId="36" xfId="5" applyFont="1" applyBorder="1" applyAlignment="1">
      <alignment horizontal="distributed" vertical="center"/>
    </xf>
    <xf numFmtId="49" fontId="9" fillId="3" borderId="23" xfId="5" applyNumberFormat="1" applyFont="1" applyFill="1" applyBorder="1" applyAlignment="1">
      <alignment horizontal="right" vertical="center"/>
    </xf>
    <xf numFmtId="49" fontId="9" fillId="3" borderId="22" xfId="5" applyNumberFormat="1" applyFont="1" applyFill="1" applyBorder="1" applyAlignment="1">
      <alignment horizontal="right" vertical="center"/>
    </xf>
    <xf numFmtId="49" fontId="9" fillId="3" borderId="92" xfId="5" applyNumberFormat="1" applyFont="1" applyFill="1" applyBorder="1" applyAlignment="1">
      <alignment horizontal="right" vertical="center"/>
    </xf>
    <xf numFmtId="0" fontId="17" fillId="0" borderId="43" xfId="3" applyFont="1" applyBorder="1" applyAlignment="1">
      <alignment horizontal="distributed" vertical="center"/>
    </xf>
    <xf numFmtId="0" fontId="17" fillId="0" borderId="33" xfId="3" applyFont="1" applyBorder="1" applyAlignment="1">
      <alignment horizontal="distributed" vertical="center"/>
    </xf>
    <xf numFmtId="0" fontId="17" fillId="0" borderId="44" xfId="3" applyFont="1" applyBorder="1" applyAlignment="1">
      <alignment horizontal="distributed" vertical="center"/>
    </xf>
    <xf numFmtId="49" fontId="9" fillId="3" borderId="35" xfId="3" applyNumberFormat="1" applyFont="1" applyFill="1" applyBorder="1" applyAlignment="1">
      <alignment horizontal="right" vertical="center"/>
    </xf>
    <xf numFmtId="0" fontId="9" fillId="0" borderId="49" xfId="5" applyFont="1" applyBorder="1" applyAlignment="1">
      <alignment horizontal="distributed" vertical="center"/>
    </xf>
    <xf numFmtId="0" fontId="9" fillId="0" borderId="47" xfId="5" applyFont="1" applyBorder="1" applyAlignment="1">
      <alignment horizontal="distributed" vertical="center"/>
    </xf>
    <xf numFmtId="0" fontId="9" fillId="0" borderId="50" xfId="5" applyFont="1" applyBorder="1" applyAlignment="1">
      <alignment horizontal="distributed" vertical="center"/>
    </xf>
    <xf numFmtId="49" fontId="9" fillId="3" borderId="30" xfId="5" applyNumberFormat="1" applyFont="1" applyFill="1" applyBorder="1" applyAlignment="1">
      <alignment horizontal="right" vertical="center"/>
    </xf>
    <xf numFmtId="49" fontId="9" fillId="3" borderId="29" xfId="5" applyNumberFormat="1" applyFont="1" applyFill="1" applyBorder="1" applyAlignment="1">
      <alignment horizontal="right" vertical="center"/>
    </xf>
    <xf numFmtId="49" fontId="9" fillId="3" borderId="31" xfId="5" applyNumberFormat="1" applyFont="1" applyFill="1" applyBorder="1" applyAlignment="1">
      <alignment horizontal="right" vertical="center"/>
    </xf>
    <xf numFmtId="0" fontId="17" fillId="0" borderId="32" xfId="3" applyFont="1" applyBorder="1" applyAlignment="1">
      <alignment horizontal="center" vertical="center" wrapText="1"/>
    </xf>
    <xf numFmtId="0" fontId="17" fillId="0" borderId="25" xfId="3" applyFont="1" applyBorder="1" applyAlignment="1">
      <alignment horizontal="center" vertical="center" wrapText="1"/>
    </xf>
    <xf numFmtId="0" fontId="17" fillId="0" borderId="37" xfId="3" applyFont="1" applyBorder="1" applyAlignment="1">
      <alignment horizontal="center" vertical="center" wrapText="1"/>
    </xf>
    <xf numFmtId="0" fontId="2" fillId="0" borderId="83" xfId="3" applyFont="1" applyBorder="1" applyAlignment="1">
      <alignment horizontal="distributed" vertical="center"/>
    </xf>
    <xf numFmtId="0" fontId="9" fillId="0" borderId="24" xfId="3" applyFont="1" applyBorder="1" applyAlignment="1">
      <alignment horizontal="distributed" vertical="center"/>
    </xf>
    <xf numFmtId="0" fontId="9" fillId="0" borderId="42" xfId="5" applyFont="1" applyBorder="1" applyAlignment="1">
      <alignment horizontal="distributed" vertical="center"/>
    </xf>
    <xf numFmtId="0" fontId="9" fillId="0" borderId="56" xfId="5" applyFont="1" applyBorder="1" applyAlignment="1">
      <alignment horizontal="distributed" vertical="center"/>
    </xf>
    <xf numFmtId="49" fontId="9" fillId="3" borderId="34" xfId="5" applyNumberFormat="1" applyFont="1" applyFill="1" applyBorder="1" applyAlignment="1">
      <alignment horizontal="right" vertical="center"/>
    </xf>
    <xf numFmtId="49" fontId="9" fillId="3" borderId="33" xfId="5" applyNumberFormat="1" applyFont="1" applyFill="1" applyBorder="1" applyAlignment="1">
      <alignment horizontal="right" vertical="center"/>
    </xf>
    <xf numFmtId="49" fontId="9" fillId="3" borderId="35" xfId="5" applyNumberFormat="1" applyFont="1" applyFill="1" applyBorder="1" applyAlignment="1">
      <alignment horizontal="right" vertical="center"/>
    </xf>
    <xf numFmtId="0" fontId="2" fillId="0" borderId="24" xfId="3" applyFont="1" applyBorder="1" applyAlignment="1">
      <alignment horizontal="distributed" vertical="center" shrinkToFit="1"/>
    </xf>
    <xf numFmtId="0" fontId="9" fillId="0" borderId="83" xfId="3" applyFont="1" applyBorder="1" applyAlignment="1">
      <alignment horizontal="distributed" vertical="center"/>
    </xf>
    <xf numFmtId="0" fontId="9" fillId="0" borderId="5" xfId="3" applyFont="1" applyBorder="1" applyAlignment="1">
      <alignment horizontal="center" vertical="center"/>
    </xf>
    <xf numFmtId="0" fontId="9" fillId="0" borderId="18" xfId="3" applyFont="1" applyBorder="1" applyAlignment="1">
      <alignment horizontal="center" vertical="center"/>
    </xf>
    <xf numFmtId="0" fontId="10" fillId="0" borderId="173" xfId="3" applyFont="1" applyBorder="1" applyAlignment="1">
      <alignment horizontal="left" vertical="center"/>
    </xf>
    <xf numFmtId="0" fontId="10" fillId="0" borderId="174" xfId="3" applyFont="1" applyBorder="1" applyAlignment="1">
      <alignment horizontal="left" vertical="center"/>
    </xf>
    <xf numFmtId="0" fontId="9" fillId="0" borderId="14" xfId="3" applyFont="1" applyBorder="1" applyAlignment="1">
      <alignment horizontal="distributed" vertical="center"/>
    </xf>
    <xf numFmtId="0" fontId="9" fillId="0" borderId="45" xfId="3" applyFont="1" applyBorder="1" applyAlignment="1">
      <alignment horizontal="distributed" vertical="center"/>
    </xf>
    <xf numFmtId="0" fontId="9" fillId="0" borderId="42" xfId="3" applyFont="1" applyBorder="1" applyAlignment="1">
      <alignment horizontal="distributed" vertical="center"/>
    </xf>
    <xf numFmtId="0" fontId="9" fillId="0" borderId="14" xfId="3" applyFont="1" applyBorder="1" applyAlignment="1">
      <alignment horizontal="center" vertical="center"/>
    </xf>
    <xf numFmtId="0" fontId="17" fillId="0" borderId="147" xfId="3" applyFont="1" applyBorder="1" applyAlignment="1">
      <alignment horizontal="distributed" vertical="center"/>
    </xf>
    <xf numFmtId="49" fontId="9" fillId="3" borderId="36" xfId="3" applyNumberFormat="1" applyFont="1" applyFill="1" applyBorder="1" applyAlignment="1">
      <alignment horizontal="right" vertical="center"/>
    </xf>
    <xf numFmtId="0" fontId="2" fillId="0" borderId="28" xfId="3" applyFont="1" applyBorder="1" applyAlignment="1">
      <alignment horizontal="distributed" vertical="center" shrinkToFit="1"/>
    </xf>
    <xf numFmtId="49" fontId="9" fillId="3" borderId="37" xfId="3" applyNumberFormat="1" applyFont="1" applyFill="1" applyBorder="1" applyAlignment="1">
      <alignment horizontal="right" vertical="center"/>
    </xf>
    <xf numFmtId="0" fontId="2" fillId="0" borderId="83" xfId="3" applyFont="1" applyBorder="1" applyAlignment="1">
      <alignment horizontal="distributed" vertical="center" shrinkToFit="1"/>
    </xf>
    <xf numFmtId="0" fontId="2" fillId="0" borderId="288" xfId="3" applyFont="1" applyBorder="1" applyAlignment="1">
      <alignment horizontal="center" vertical="center" textRotation="255" shrinkToFit="1"/>
    </xf>
    <xf numFmtId="0" fontId="2" fillId="0" borderId="289" xfId="3" applyFont="1" applyBorder="1" applyAlignment="1">
      <alignment horizontal="center" vertical="center" textRotation="255" shrinkToFit="1"/>
    </xf>
    <xf numFmtId="0" fontId="2" fillId="0" borderId="291" xfId="3" applyFont="1" applyBorder="1" applyAlignment="1">
      <alignment horizontal="center" vertical="center" textRotation="255" shrinkToFit="1"/>
    </xf>
    <xf numFmtId="0" fontId="2" fillId="0" borderId="166" xfId="3" applyFont="1" applyBorder="1" applyAlignment="1">
      <alignment horizontal="distributed" vertical="center" shrinkToFit="1"/>
    </xf>
    <xf numFmtId="0" fontId="2" fillId="0" borderId="167" xfId="3" applyFont="1" applyBorder="1" applyAlignment="1">
      <alignment horizontal="distributed" vertical="center" shrinkToFit="1"/>
    </xf>
    <xf numFmtId="0" fontId="2" fillId="0" borderId="168" xfId="3" applyFont="1" applyBorder="1" applyAlignment="1">
      <alignment horizontal="distributed" vertical="center" shrinkToFit="1"/>
    </xf>
    <xf numFmtId="0" fontId="9" fillId="0" borderId="147" xfId="3" applyFont="1" applyBorder="1" applyAlignment="1">
      <alignment horizontal="distributed" vertical="center"/>
    </xf>
    <xf numFmtId="0" fontId="12" fillId="0" borderId="96" xfId="3" applyFont="1" applyBorder="1" applyAlignment="1">
      <alignment horizontal="distributed" vertical="center" shrinkToFit="1"/>
    </xf>
    <xf numFmtId="0" fontId="2" fillId="0" borderId="112" xfId="3" applyFont="1" applyBorder="1" applyAlignment="1">
      <alignment horizontal="distributed" vertical="center" shrinkToFit="1"/>
    </xf>
    <xf numFmtId="49" fontId="9" fillId="3" borderId="290" xfId="3" applyNumberFormat="1" applyFont="1" applyFill="1" applyBorder="1" applyAlignment="1">
      <alignment horizontal="right" vertical="center"/>
    </xf>
    <xf numFmtId="0" fontId="14" fillId="0" borderId="132" xfId="3" applyFont="1" applyBorder="1" applyAlignment="1">
      <alignment horizontal="distributed" vertical="center" shrinkToFit="1"/>
    </xf>
    <xf numFmtId="0" fontId="14" fillId="0" borderId="105" xfId="3" applyFont="1" applyBorder="1" applyAlignment="1">
      <alignment horizontal="distributed" vertical="center" shrinkToFit="1"/>
    </xf>
    <xf numFmtId="0" fontId="14" fillId="0" borderId="177" xfId="3" applyFont="1" applyBorder="1" applyAlignment="1">
      <alignment horizontal="distributed" vertical="center" shrinkToFit="1"/>
    </xf>
    <xf numFmtId="49" fontId="9" fillId="3" borderId="39" xfId="3" applyNumberFormat="1" applyFont="1" applyFill="1" applyBorder="1" applyAlignment="1">
      <alignment horizontal="right" vertical="center"/>
    </xf>
    <xf numFmtId="0" fontId="2" fillId="0" borderId="180" xfId="3" applyFont="1" applyBorder="1" applyAlignment="1">
      <alignment horizontal="distributed" vertical="center" shrinkToFit="1"/>
    </xf>
    <xf numFmtId="49" fontId="9" fillId="3" borderId="44" xfId="3" applyNumberFormat="1" applyFont="1" applyFill="1" applyBorder="1" applyAlignment="1">
      <alignment horizontal="right" vertical="center"/>
    </xf>
    <xf numFmtId="0" fontId="2" fillId="0" borderId="266" xfId="3" applyFont="1" applyBorder="1" applyAlignment="1">
      <alignment horizontal="center" vertical="center" textRotation="255" shrinkToFit="1"/>
    </xf>
    <xf numFmtId="0" fontId="2" fillId="0" borderId="268" xfId="3" applyFont="1" applyBorder="1" applyAlignment="1">
      <alignment horizontal="center" vertical="center" textRotation="255" shrinkToFit="1"/>
    </xf>
    <xf numFmtId="0" fontId="2" fillId="0" borderId="292" xfId="3" applyFont="1" applyBorder="1" applyAlignment="1">
      <alignment horizontal="center" vertical="center" textRotation="255" shrinkToFit="1"/>
    </xf>
    <xf numFmtId="0" fontId="2" fillId="0" borderId="179" xfId="3" applyFont="1" applyBorder="1" applyAlignment="1">
      <alignment horizontal="distributed" vertical="center" shrinkToFit="1"/>
    </xf>
    <xf numFmtId="0" fontId="12" fillId="0" borderId="180" xfId="3" applyFont="1" applyBorder="1" applyAlignment="1">
      <alignment horizontal="distributed" vertical="center" shrinkToFit="1"/>
    </xf>
    <xf numFmtId="0" fontId="9" fillId="0" borderId="293" xfId="3" applyFont="1" applyBorder="1" applyAlignment="1">
      <alignment horizontal="distributed" vertical="center"/>
    </xf>
    <xf numFmtId="0" fontId="12" fillId="0" borderId="24" xfId="3" applyFont="1" applyBorder="1" applyAlignment="1">
      <alignment horizontal="distributed" vertical="center" shrinkToFit="1"/>
    </xf>
    <xf numFmtId="0" fontId="12" fillId="0" borderId="25" xfId="3" applyFont="1" applyBorder="1" applyAlignment="1">
      <alignment horizontal="distributed" vertical="center" shrinkToFit="1"/>
    </xf>
    <xf numFmtId="0" fontId="12" fillId="0" borderId="157" xfId="3" applyFont="1" applyBorder="1" applyAlignment="1">
      <alignment horizontal="distributed" vertical="center" shrinkToFit="1"/>
    </xf>
    <xf numFmtId="0" fontId="12" fillId="0" borderId="181" xfId="3" applyFont="1" applyBorder="1" applyAlignment="1">
      <alignment horizontal="distributed" vertical="center" shrinkToFit="1"/>
    </xf>
    <xf numFmtId="0" fontId="12" fillId="0" borderId="153" xfId="3" applyFont="1" applyBorder="1" applyAlignment="1">
      <alignment horizontal="distributed" vertical="center" shrinkToFit="1"/>
    </xf>
    <xf numFmtId="0" fontId="12" fillId="0" borderId="182" xfId="3" applyFont="1" applyBorder="1" applyAlignment="1">
      <alignment horizontal="distributed" vertical="center" shrinkToFit="1"/>
    </xf>
    <xf numFmtId="0" fontId="9" fillId="0" borderId="344" xfId="3" applyFont="1" applyBorder="1" applyAlignment="1">
      <alignment horizontal="distributed" vertical="center"/>
    </xf>
    <xf numFmtId="0" fontId="9" fillId="0" borderId="343" xfId="3" applyFont="1" applyBorder="1" applyAlignment="1">
      <alignment horizontal="distributed" vertical="center"/>
    </xf>
    <xf numFmtId="49" fontId="9" fillId="3" borderId="343" xfId="3" applyNumberFormat="1" applyFont="1" applyFill="1" applyBorder="1" applyAlignment="1">
      <alignment horizontal="right" vertical="center"/>
    </xf>
    <xf numFmtId="49" fontId="9" fillId="3" borderId="345" xfId="3" applyNumberFormat="1" applyFont="1" applyFill="1" applyBorder="1" applyAlignment="1">
      <alignment horizontal="right" vertical="center"/>
    </xf>
    <xf numFmtId="0" fontId="16" fillId="0" borderId="174" xfId="3" applyFont="1" applyBorder="1" applyAlignment="1">
      <alignment horizontal="center" vertical="center"/>
    </xf>
    <xf numFmtId="0" fontId="2" fillId="0" borderId="147" xfId="3" applyFont="1" applyBorder="1" applyAlignment="1">
      <alignment horizontal="distributed" vertical="center" shrinkToFit="1"/>
    </xf>
    <xf numFmtId="0" fontId="2" fillId="0" borderId="33" xfId="3" applyFont="1" applyBorder="1" applyAlignment="1">
      <alignment horizontal="distributed" vertical="center" shrinkToFit="1"/>
    </xf>
    <xf numFmtId="0" fontId="2" fillId="0" borderId="184" xfId="3" applyFont="1" applyBorder="1" applyAlignment="1">
      <alignment horizontal="distributed" vertical="center" shrinkToFit="1"/>
    </xf>
    <xf numFmtId="0" fontId="9" fillId="0" borderId="294" xfId="3" applyFont="1" applyBorder="1" applyAlignment="1">
      <alignment horizontal="distributed" vertical="center"/>
    </xf>
    <xf numFmtId="0" fontId="9" fillId="0" borderId="295" xfId="3" applyFont="1" applyBorder="1" applyAlignment="1">
      <alignment horizontal="distributed" vertical="center"/>
    </xf>
    <xf numFmtId="0" fontId="9" fillId="0" borderId="296" xfId="3" applyFont="1" applyBorder="1" applyAlignment="1">
      <alignment horizontal="distributed" vertical="center"/>
    </xf>
    <xf numFmtId="0" fontId="9" fillId="0" borderId="297" xfId="3" applyFont="1" applyBorder="1" applyAlignment="1">
      <alignment horizontal="distributed" vertical="center"/>
    </xf>
    <xf numFmtId="49" fontId="9" fillId="3" borderId="298" xfId="3" applyNumberFormat="1" applyFont="1" applyFill="1" applyBorder="1" applyAlignment="1">
      <alignment horizontal="right" vertical="center"/>
    </xf>
    <xf numFmtId="49" fontId="9" fillId="3" borderId="296" xfId="3" applyNumberFormat="1" applyFont="1" applyFill="1" applyBorder="1" applyAlignment="1">
      <alignment horizontal="right" vertical="center"/>
    </xf>
    <xf numFmtId="49" fontId="9" fillId="3" borderId="299" xfId="3" applyNumberFormat="1" applyFont="1" applyFill="1" applyBorder="1" applyAlignment="1">
      <alignment horizontal="right" vertical="center"/>
    </xf>
    <xf numFmtId="0" fontId="9" fillId="0" borderId="300" xfId="3" applyFont="1" applyBorder="1" applyAlignment="1">
      <alignment horizontal="center" vertical="center"/>
    </xf>
    <xf numFmtId="0" fontId="9" fillId="0" borderId="301" xfId="3" applyFont="1" applyBorder="1" applyAlignment="1">
      <alignment horizontal="center" vertical="center"/>
    </xf>
    <xf numFmtId="0" fontId="9" fillId="0" borderId="302" xfId="3" applyFont="1" applyBorder="1" applyAlignment="1">
      <alignment horizontal="center" vertical="center"/>
    </xf>
    <xf numFmtId="49" fontId="2" fillId="3" borderId="12" xfId="3" applyNumberFormat="1" applyFont="1" applyFill="1" applyBorder="1" applyAlignment="1">
      <alignment horizontal="right" vertical="center"/>
    </xf>
    <xf numFmtId="0" fontId="12" fillId="0" borderId="81" xfId="3" applyFont="1" applyBorder="1" applyAlignment="1">
      <alignment horizontal="distributed" vertical="center"/>
    </xf>
    <xf numFmtId="49" fontId="2" fillId="3" borderId="309" xfId="3" applyNumberFormat="1" applyFont="1" applyFill="1" applyBorder="1" applyAlignment="1">
      <alignment horizontal="right" vertical="center"/>
    </xf>
    <xf numFmtId="0" fontId="11" fillId="0" borderId="261" xfId="3" applyFont="1" applyBorder="1" applyAlignment="1">
      <alignment horizontal="left" vertical="center" shrinkToFit="1"/>
    </xf>
    <xf numFmtId="0" fontId="11" fillId="0" borderId="262" xfId="3" applyFont="1" applyBorder="1" applyAlignment="1">
      <alignment horizontal="left" vertical="center" shrinkToFit="1"/>
    </xf>
    <xf numFmtId="0" fontId="11" fillId="0" borderId="263" xfId="3" applyFont="1" applyBorder="1" applyAlignment="1">
      <alignment horizontal="left" vertical="center" shrinkToFit="1"/>
    </xf>
    <xf numFmtId="0" fontId="11" fillId="0" borderId="174" xfId="3" applyFont="1" applyBorder="1" applyAlignment="1">
      <alignment horizontal="left" vertical="center"/>
    </xf>
    <xf numFmtId="0" fontId="2" fillId="0" borderId="275" xfId="3" applyFont="1" applyBorder="1" applyAlignment="1">
      <alignment horizontal="center" vertical="center" textRotation="255"/>
    </xf>
    <xf numFmtId="0" fontId="2" fillId="0" borderId="283" xfId="3" applyFont="1" applyBorder="1" applyAlignment="1">
      <alignment horizontal="center" vertical="center" textRotation="255"/>
    </xf>
    <xf numFmtId="0" fontId="2" fillId="0" borderId="264" xfId="3" applyFont="1" applyBorder="1" applyAlignment="1">
      <alignment horizontal="center" vertical="center" textRotation="255"/>
    </xf>
    <xf numFmtId="0" fontId="2" fillId="0" borderId="190" xfId="3" applyFont="1" applyBorder="1" applyAlignment="1">
      <alignment horizontal="center" vertical="center" textRotation="255" shrinkToFit="1"/>
    </xf>
    <xf numFmtId="0" fontId="2" fillId="0" borderId="85" xfId="3" applyFont="1" applyBorder="1" applyAlignment="1">
      <alignment horizontal="center" vertical="center" textRotation="255" shrinkToFit="1"/>
    </xf>
    <xf numFmtId="0" fontId="2" fillId="0" borderId="8" xfId="3" applyFont="1" applyBorder="1" applyAlignment="1">
      <alignment horizontal="center" vertical="center" textRotation="255"/>
    </xf>
    <xf numFmtId="0" fontId="17" fillId="0" borderId="300" xfId="3" applyFont="1" applyBorder="1" applyAlignment="1">
      <alignment horizontal="center" vertical="center"/>
    </xf>
    <xf numFmtId="0" fontId="17" fillId="0" borderId="301" xfId="3" applyFont="1" applyBorder="1" applyAlignment="1">
      <alignment horizontal="center" vertical="center"/>
    </xf>
    <xf numFmtId="0" fontId="17" fillId="0" borderId="302" xfId="3" applyFont="1" applyBorder="1" applyAlignment="1">
      <alignment horizontal="center" vertical="center"/>
    </xf>
    <xf numFmtId="0" fontId="2" fillId="0" borderId="190" xfId="3" applyFont="1" applyBorder="1" applyAlignment="1">
      <alignment horizontal="center" vertical="center" textRotation="255" wrapText="1" shrinkToFit="1"/>
    </xf>
    <xf numFmtId="0" fontId="2" fillId="0" borderId="9" xfId="3" applyFont="1" applyBorder="1" applyAlignment="1">
      <alignment horizontal="center" vertical="center" textRotation="255" wrapText="1" shrinkToFit="1"/>
    </xf>
    <xf numFmtId="0" fontId="2" fillId="0" borderId="51" xfId="3" applyFont="1" applyBorder="1" applyAlignment="1">
      <alignment horizontal="center" vertical="center" textRotation="255" wrapText="1" shrinkToFit="1"/>
    </xf>
    <xf numFmtId="0" fontId="2" fillId="0" borderId="0" xfId="3" applyFont="1" applyAlignment="1">
      <alignment horizontal="center" vertical="center" textRotation="255" wrapText="1" shrinkToFit="1"/>
    </xf>
    <xf numFmtId="0" fontId="2" fillId="0" borderId="41" xfId="3" applyFont="1" applyBorder="1" applyAlignment="1">
      <alignment horizontal="center" vertical="center" textRotation="255" wrapText="1" shrinkToFit="1"/>
    </xf>
    <xf numFmtId="0" fontId="9" fillId="0" borderId="305" xfId="3" applyFont="1" applyBorder="1" applyAlignment="1">
      <alignment horizontal="distributed" vertical="center"/>
    </xf>
    <xf numFmtId="49" fontId="2" fillId="0" borderId="303" xfId="3" applyNumberFormat="1" applyFont="1" applyBorder="1" applyAlignment="1">
      <alignment horizontal="center" vertical="center"/>
    </xf>
    <xf numFmtId="49" fontId="2" fillId="0" borderId="304" xfId="3" applyNumberFormat="1" applyFont="1" applyBorder="1" applyAlignment="1">
      <alignment horizontal="center" vertical="center"/>
    </xf>
    <xf numFmtId="0" fontId="2" fillId="0" borderId="17" xfId="3" applyFont="1" applyBorder="1" applyAlignment="1">
      <alignment horizontal="distributed" vertical="center" shrinkToFit="1"/>
    </xf>
    <xf numFmtId="0" fontId="2" fillId="0" borderId="0" xfId="3" applyFont="1" applyAlignment="1">
      <alignment horizontal="distributed" vertical="center" shrinkToFit="1"/>
    </xf>
    <xf numFmtId="0" fontId="2" fillId="0" borderId="15" xfId="3" applyFont="1" applyBorder="1" applyAlignment="1">
      <alignment horizontal="distributed" vertical="center" shrinkToFit="1"/>
    </xf>
    <xf numFmtId="49" fontId="2" fillId="3" borderId="286" xfId="3" applyNumberFormat="1" applyFont="1" applyFill="1" applyBorder="1" applyAlignment="1">
      <alignment horizontal="right" vertical="center"/>
    </xf>
    <xf numFmtId="49" fontId="2" fillId="3" borderId="306" xfId="3" applyNumberFormat="1" applyFont="1" applyFill="1" applyBorder="1" applyAlignment="1">
      <alignment horizontal="right" vertical="center"/>
    </xf>
    <xf numFmtId="49" fontId="2" fillId="0" borderId="307" xfId="3" applyNumberFormat="1" applyFont="1" applyBorder="1" applyAlignment="1">
      <alignment horizontal="center" vertical="center"/>
    </xf>
    <xf numFmtId="49" fontId="2" fillId="0" borderId="308" xfId="3" applyNumberFormat="1" applyFont="1" applyBorder="1" applyAlignment="1">
      <alignment horizontal="center" vertical="center"/>
    </xf>
    <xf numFmtId="49" fontId="2" fillId="3" borderId="314" xfId="3" applyNumberFormat="1" applyFont="1" applyFill="1" applyBorder="1" applyAlignment="1">
      <alignment horizontal="right" vertical="center"/>
    </xf>
    <xf numFmtId="49" fontId="2" fillId="0" borderId="310" xfId="3" applyNumberFormat="1" applyFont="1" applyBorder="1" applyAlignment="1">
      <alignment horizontal="center" vertical="center"/>
    </xf>
    <xf numFmtId="49" fontId="2" fillId="0" borderId="311" xfId="3" applyNumberFormat="1" applyFont="1" applyBorder="1" applyAlignment="1">
      <alignment horizontal="center" vertical="center"/>
    </xf>
    <xf numFmtId="49" fontId="2" fillId="3" borderId="272" xfId="3" applyNumberFormat="1" applyFont="1" applyFill="1" applyBorder="1" applyAlignment="1">
      <alignment horizontal="right" vertical="center"/>
    </xf>
    <xf numFmtId="49" fontId="2" fillId="0" borderId="312" xfId="3" applyNumberFormat="1" applyFont="1" applyBorder="1" applyAlignment="1">
      <alignment horizontal="center" vertical="center"/>
    </xf>
    <xf numFmtId="49" fontId="2" fillId="0" borderId="313" xfId="3" applyNumberFormat="1" applyFont="1" applyBorder="1" applyAlignment="1">
      <alignment horizontal="center" vertical="center"/>
    </xf>
    <xf numFmtId="0" fontId="12" fillId="0" borderId="190" xfId="3" applyFont="1" applyBorder="1" applyAlignment="1">
      <alignment horizontal="center" vertical="center" shrinkToFit="1"/>
    </xf>
    <xf numFmtId="0" fontId="12" fillId="0" borderId="9" xfId="3" applyFont="1" applyBorder="1" applyAlignment="1">
      <alignment horizontal="center" vertical="center" shrinkToFit="1"/>
    </xf>
    <xf numFmtId="0" fontId="2" fillId="0" borderId="49" xfId="3" applyFont="1" applyBorder="1" applyAlignment="1">
      <alignment horizontal="distributed" vertical="center" shrinkToFit="1"/>
    </xf>
    <xf numFmtId="0" fontId="2" fillId="0" borderId="8" xfId="3" applyFont="1" applyBorder="1" applyAlignment="1">
      <alignment horizontal="center" vertical="center" textRotation="255" wrapText="1"/>
    </xf>
    <xf numFmtId="0" fontId="2" fillId="0" borderId="9" xfId="3" applyFont="1" applyBorder="1" applyAlignment="1">
      <alignment horizontal="center" vertical="center" textRotation="255" wrapText="1"/>
    </xf>
    <xf numFmtId="0" fontId="2" fillId="0" borderId="14" xfId="3" applyFont="1" applyBorder="1" applyAlignment="1">
      <alignment horizontal="center" vertical="center" textRotation="255" wrapText="1"/>
    </xf>
    <xf numFmtId="0" fontId="2" fillId="0" borderId="0" xfId="3" applyFont="1" applyAlignment="1">
      <alignment horizontal="center" vertical="center" textRotation="255" wrapText="1"/>
    </xf>
    <xf numFmtId="0" fontId="2" fillId="0" borderId="11" xfId="3" applyFont="1" applyBorder="1" applyAlignment="1">
      <alignment horizontal="center" vertical="center" textRotation="255" wrapText="1"/>
    </xf>
    <xf numFmtId="0" fontId="2" fillId="0" borderId="12" xfId="3" applyFont="1" applyBorder="1" applyAlignment="1">
      <alignment horizontal="center" vertical="center" textRotation="255" wrapText="1"/>
    </xf>
    <xf numFmtId="0" fontId="14" fillId="0" borderId="5" xfId="3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distributed" vertical="center" wrapText="1"/>
    </xf>
    <xf numFmtId="0" fontId="2" fillId="0" borderId="5" xfId="3" applyFont="1" applyBorder="1" applyAlignment="1">
      <alignment horizontal="distributed" vertical="center" wrapText="1"/>
    </xf>
    <xf numFmtId="49" fontId="2" fillId="3" borderId="315" xfId="3" applyNumberFormat="1" applyFont="1" applyFill="1" applyBorder="1" applyAlignment="1">
      <alignment horizontal="right" vertical="center"/>
    </xf>
    <xf numFmtId="0" fontId="14" fillId="0" borderId="49" xfId="3" applyFont="1" applyBorder="1" applyAlignment="1">
      <alignment horizontal="distributed" vertical="center"/>
    </xf>
    <xf numFmtId="0" fontId="2" fillId="0" borderId="316" xfId="3" applyFont="1" applyBorder="1" applyAlignment="1">
      <alignment horizontal="distributed" vertical="center"/>
    </xf>
    <xf numFmtId="0" fontId="12" fillId="0" borderId="8" xfId="3" applyFont="1" applyBorder="1" applyAlignment="1">
      <alignment horizontal="center" vertical="center" wrapText="1"/>
    </xf>
    <xf numFmtId="0" fontId="12" fillId="0" borderId="14" xfId="3" applyFont="1" applyBorder="1" applyAlignment="1">
      <alignment horizontal="center" vertical="center" wrapText="1"/>
    </xf>
    <xf numFmtId="0" fontId="12" fillId="0" borderId="11" xfId="3" applyFont="1" applyBorder="1" applyAlignment="1">
      <alignment horizontal="center" vertical="center" wrapText="1"/>
    </xf>
    <xf numFmtId="0" fontId="14" fillId="0" borderId="84" xfId="3" applyFont="1" applyBorder="1" applyAlignment="1">
      <alignment horizontal="distributed" vertical="center"/>
    </xf>
    <xf numFmtId="0" fontId="14" fillId="0" borderId="22" xfId="3" applyFont="1" applyBorder="1" applyAlignment="1">
      <alignment horizontal="distributed" vertical="center"/>
    </xf>
    <xf numFmtId="49" fontId="2" fillId="0" borderId="317" xfId="3" applyNumberFormat="1" applyFont="1" applyBorder="1" applyAlignment="1">
      <alignment horizontal="center" vertical="center"/>
    </xf>
    <xf numFmtId="49" fontId="2" fillId="0" borderId="318" xfId="3" applyNumberFormat="1" applyFont="1" applyBorder="1" applyAlignment="1">
      <alignment horizontal="center" vertical="center"/>
    </xf>
    <xf numFmtId="49" fontId="2" fillId="0" borderId="320" xfId="5" applyNumberFormat="1" applyFont="1" applyBorder="1" applyAlignment="1">
      <alignment horizontal="center" vertical="center"/>
    </xf>
    <xf numFmtId="49" fontId="2" fillId="0" borderId="321" xfId="5" applyNumberFormat="1" applyFont="1" applyBorder="1" applyAlignment="1">
      <alignment horizontal="center" vertical="center"/>
    </xf>
    <xf numFmtId="49" fontId="2" fillId="0" borderId="322" xfId="5" applyNumberFormat="1" applyFont="1" applyBorder="1" applyAlignment="1">
      <alignment horizontal="center" vertical="center"/>
    </xf>
    <xf numFmtId="49" fontId="2" fillId="3" borderId="323" xfId="3" applyNumberFormat="1" applyFont="1" applyFill="1" applyBorder="1" applyAlignment="1">
      <alignment horizontal="right" vertical="center"/>
    </xf>
    <xf numFmtId="49" fontId="2" fillId="3" borderId="296" xfId="3" applyNumberFormat="1" applyFont="1" applyFill="1" applyBorder="1" applyAlignment="1">
      <alignment horizontal="right" vertical="center"/>
    </xf>
    <xf numFmtId="49" fontId="2" fillId="3" borderId="324" xfId="3" applyNumberFormat="1" applyFont="1" applyFill="1" applyBorder="1" applyAlignment="1">
      <alignment horizontal="right" vertical="center"/>
    </xf>
    <xf numFmtId="0" fontId="9" fillId="0" borderId="319" xfId="5" applyFont="1" applyBorder="1" applyAlignment="1">
      <alignment horizontal="distributed" vertical="center"/>
    </xf>
    <xf numFmtId="0" fontId="9" fillId="0" borderId="218" xfId="5" applyFont="1" applyBorder="1" applyAlignment="1">
      <alignment horizontal="distributed" vertical="center"/>
    </xf>
    <xf numFmtId="0" fontId="9" fillId="0" borderId="84" xfId="5" applyFont="1" applyBorder="1" applyAlignment="1">
      <alignment horizontal="distributed" vertical="center"/>
    </xf>
    <xf numFmtId="49" fontId="2" fillId="0" borderId="317" xfId="5" applyNumberFormat="1" applyFont="1" applyBorder="1" applyAlignment="1">
      <alignment horizontal="center" vertical="center"/>
    </xf>
    <xf numFmtId="49" fontId="2" fillId="0" borderId="99" xfId="5" applyNumberFormat="1" applyFont="1" applyBorder="1" applyAlignment="1">
      <alignment horizontal="center" vertical="center"/>
    </xf>
    <xf numFmtId="49" fontId="2" fillId="0" borderId="318" xfId="5" applyNumberFormat="1" applyFont="1" applyBorder="1" applyAlignment="1">
      <alignment horizontal="center" vertical="center"/>
    </xf>
    <xf numFmtId="0" fontId="17" fillId="0" borderId="208" xfId="5" applyFont="1" applyBorder="1" applyAlignment="1">
      <alignment horizontal="distributed" vertical="center"/>
    </xf>
    <xf numFmtId="0" fontId="17" fillId="0" borderId="38" xfId="5" applyFont="1" applyBorder="1" applyAlignment="1">
      <alignment horizontal="distributed" vertical="center"/>
    </xf>
    <xf numFmtId="49" fontId="2" fillId="0" borderId="312" xfId="5" applyNumberFormat="1" applyFont="1" applyBorder="1" applyAlignment="1">
      <alignment horizontal="center" vertical="center"/>
    </xf>
    <xf numFmtId="49" fontId="2" fillId="0" borderId="205" xfId="5" applyNumberFormat="1" applyFont="1" applyBorder="1" applyAlignment="1">
      <alignment horizontal="center" vertical="center"/>
    </xf>
    <xf numFmtId="49" fontId="2" fillId="0" borderId="313" xfId="5" applyNumberFormat="1" applyFont="1" applyBorder="1" applyAlignment="1">
      <alignment horizontal="center" vertical="center"/>
    </xf>
    <xf numFmtId="0" fontId="2" fillId="0" borderId="84" xfId="3" applyFont="1" applyBorder="1" applyAlignment="1">
      <alignment horizontal="distributed" vertical="center" textRotation="255"/>
    </xf>
    <xf numFmtId="0" fontId="2" fillId="0" borderId="155" xfId="3" applyFont="1" applyBorder="1" applyAlignment="1">
      <alignment horizontal="distributed" vertical="center" textRotation="255"/>
    </xf>
    <xf numFmtId="49" fontId="2" fillId="3" borderId="271" xfId="3" applyNumberFormat="1" applyFont="1" applyFill="1" applyBorder="1" applyAlignment="1">
      <alignment horizontal="right" vertical="center"/>
    </xf>
    <xf numFmtId="0" fontId="14" fillId="0" borderId="32" xfId="3" applyFont="1" applyBorder="1" applyAlignment="1">
      <alignment horizontal="distributed" vertical="center" shrinkToFit="1"/>
    </xf>
    <xf numFmtId="0" fontId="14" fillId="0" borderId="25" xfId="3" applyFont="1" applyBorder="1" applyAlignment="1">
      <alignment horizontal="distributed" vertical="center" shrinkToFit="1"/>
    </xf>
    <xf numFmtId="0" fontId="2" fillId="0" borderId="8" xfId="5" applyFont="1" applyBorder="1" applyAlignment="1">
      <alignment horizontal="distributed" vertical="center"/>
    </xf>
    <xf numFmtId="0" fontId="2" fillId="0" borderId="9" xfId="5" applyFont="1" applyBorder="1" applyAlignment="1">
      <alignment horizontal="distributed" vertical="center"/>
    </xf>
    <xf numFmtId="0" fontId="2" fillId="0" borderId="5" xfId="5" applyFont="1" applyBorder="1" applyAlignment="1">
      <alignment horizontal="distributed" vertical="center"/>
    </xf>
    <xf numFmtId="0" fontId="2" fillId="0" borderId="4" xfId="5" applyFont="1" applyBorder="1" applyAlignment="1">
      <alignment horizontal="distributed" vertical="center"/>
    </xf>
    <xf numFmtId="49" fontId="2" fillId="0" borderId="303" xfId="5" applyNumberFormat="1" applyFont="1" applyBorder="1" applyAlignment="1">
      <alignment horizontal="center" vertical="center"/>
    </xf>
    <xf numFmtId="49" fontId="2" fillId="0" borderId="194" xfId="5" applyNumberFormat="1" applyFont="1" applyBorder="1" applyAlignment="1">
      <alignment horizontal="center" vertical="center"/>
    </xf>
    <xf numFmtId="49" fontId="2" fillId="0" borderId="304" xfId="5" applyNumberFormat="1" applyFont="1" applyBorder="1" applyAlignment="1">
      <alignment horizontal="center" vertical="center"/>
    </xf>
    <xf numFmtId="0" fontId="9" fillId="0" borderId="33" xfId="5" applyFont="1" applyBorder="1" applyAlignment="1">
      <alignment vertical="center" shrinkToFit="1"/>
    </xf>
    <xf numFmtId="49" fontId="2" fillId="3" borderId="267" xfId="3" applyNumberFormat="1" applyFont="1" applyFill="1" applyBorder="1" applyAlignment="1">
      <alignment horizontal="right" vertical="center"/>
    </xf>
    <xf numFmtId="49" fontId="2" fillId="3" borderId="269" xfId="3" applyNumberFormat="1" applyFont="1" applyFill="1" applyBorder="1" applyAlignment="1">
      <alignment horizontal="right" vertical="center"/>
    </xf>
    <xf numFmtId="49" fontId="2" fillId="0" borderId="325" xfId="3" applyNumberFormat="1" applyFont="1" applyBorder="1" applyAlignment="1">
      <alignment horizontal="center" vertical="center"/>
    </xf>
    <xf numFmtId="49" fontId="2" fillId="0" borderId="326" xfId="3" applyNumberFormat="1" applyFont="1" applyBorder="1" applyAlignment="1">
      <alignment horizontal="center" vertical="center"/>
    </xf>
    <xf numFmtId="49" fontId="2" fillId="0" borderId="327" xfId="3" applyNumberFormat="1" applyFont="1" applyBorder="1" applyAlignment="1">
      <alignment horizontal="center" vertical="center"/>
    </xf>
    <xf numFmtId="0" fontId="9" fillId="0" borderId="32" xfId="3" applyFont="1" applyBorder="1" applyAlignment="1">
      <alignment horizontal="center" vertical="center" shrinkToFit="1"/>
    </xf>
    <xf numFmtId="0" fontId="9" fillId="0" borderId="25" xfId="3" applyFont="1" applyBorder="1" applyAlignment="1">
      <alignment horizontal="center" vertical="center" shrinkToFit="1"/>
    </xf>
    <xf numFmtId="0" fontId="9" fillId="0" borderId="37" xfId="3" applyFont="1" applyBorder="1" applyAlignment="1">
      <alignment horizontal="center" vertical="center" shrinkToFit="1"/>
    </xf>
    <xf numFmtId="49" fontId="2" fillId="3" borderId="274" xfId="3" applyNumberFormat="1" applyFont="1" applyFill="1" applyBorder="1" applyAlignment="1">
      <alignment horizontal="right" vertical="center"/>
    </xf>
    <xf numFmtId="0" fontId="2" fillId="0" borderId="275" xfId="5" applyFont="1" applyBorder="1" applyAlignment="1">
      <alignment horizontal="center" vertical="center" textRotation="255"/>
    </xf>
    <xf numFmtId="0" fontId="2" fillId="0" borderId="9" xfId="5" applyFont="1" applyBorder="1" applyAlignment="1">
      <alignment horizontal="center" vertical="center" textRotation="255"/>
    </xf>
    <xf numFmtId="0" fontId="2" fillId="0" borderId="283" xfId="5" applyFont="1" applyBorder="1" applyAlignment="1">
      <alignment horizontal="center" vertical="center" textRotation="255"/>
    </xf>
    <xf numFmtId="0" fontId="2" fillId="0" borderId="0" xfId="5" applyFont="1" applyAlignment="1">
      <alignment horizontal="center" vertical="center" textRotation="255"/>
    </xf>
    <xf numFmtId="0" fontId="2" fillId="0" borderId="264" xfId="5" applyFont="1" applyBorder="1" applyAlignment="1">
      <alignment horizontal="center" vertical="center" textRotation="255"/>
    </xf>
    <xf numFmtId="0" fontId="2" fillId="0" borderId="12" xfId="5" applyFont="1" applyBorder="1" applyAlignment="1">
      <alignment horizontal="center" vertical="center" textRotation="255"/>
    </xf>
    <xf numFmtId="0" fontId="2" fillId="0" borderId="190" xfId="5" applyFont="1" applyBorder="1" applyAlignment="1">
      <alignment horizontal="center" vertical="center" textRotation="255"/>
    </xf>
    <xf numFmtId="0" fontId="2" fillId="0" borderId="85" xfId="5" applyFont="1" applyBorder="1" applyAlignment="1">
      <alignment horizontal="center" vertical="center" textRotation="255"/>
    </xf>
    <xf numFmtId="0" fontId="2" fillId="0" borderId="51" xfId="5" applyFont="1" applyBorder="1" applyAlignment="1">
      <alignment horizontal="center" vertical="center" textRotation="255"/>
    </xf>
    <xf numFmtId="0" fontId="2" fillId="0" borderId="66" xfId="5" applyFont="1" applyBorder="1" applyAlignment="1">
      <alignment horizontal="center" vertical="center" textRotation="255"/>
    </xf>
    <xf numFmtId="0" fontId="2" fillId="0" borderId="81" xfId="5" applyFont="1" applyBorder="1" applyAlignment="1">
      <alignment horizontal="center" vertical="center" textRotation="255"/>
    </xf>
    <xf numFmtId="0" fontId="2" fillId="0" borderId="80" xfId="5" applyFont="1" applyBorder="1" applyAlignment="1">
      <alignment horizontal="center" vertical="center" textRotation="255"/>
    </xf>
    <xf numFmtId="0" fontId="2" fillId="0" borderId="84" xfId="5" applyFont="1" applyBorder="1" applyAlignment="1">
      <alignment horizontal="distributed" vertical="center" shrinkToFit="1"/>
    </xf>
    <xf numFmtId="0" fontId="2" fillId="0" borderId="22" xfId="5" applyFont="1" applyBorder="1" applyAlignment="1">
      <alignment horizontal="distributed" vertical="center" shrinkToFit="1"/>
    </xf>
    <xf numFmtId="0" fontId="2" fillId="0" borderId="155" xfId="5" applyFont="1" applyBorder="1" applyAlignment="1">
      <alignment horizontal="distributed" vertical="center" shrinkToFit="1"/>
    </xf>
    <xf numFmtId="0" fontId="2" fillId="0" borderId="85" xfId="3" applyFont="1" applyBorder="1" applyAlignment="1">
      <alignment horizontal="distributed" vertical="center"/>
    </xf>
    <xf numFmtId="0" fontId="2" fillId="0" borderId="49" xfId="5" applyFont="1" applyBorder="1" applyAlignment="1">
      <alignment horizontal="center" vertical="center"/>
    </xf>
    <xf numFmtId="0" fontId="2" fillId="0" borderId="207" xfId="5" applyFont="1" applyBorder="1" applyAlignment="1">
      <alignment horizontal="center" vertical="center"/>
    </xf>
    <xf numFmtId="0" fontId="2" fillId="0" borderId="51" xfId="5" applyFont="1" applyBorder="1" applyAlignment="1">
      <alignment horizontal="center" vertical="center"/>
    </xf>
    <xf numFmtId="0" fontId="2" fillId="0" borderId="66" xfId="5" applyFont="1" applyBorder="1" applyAlignment="1">
      <alignment horizontal="center" vertical="center"/>
    </xf>
    <xf numFmtId="0" fontId="2" fillId="0" borderId="55" xfId="5" applyFont="1" applyBorder="1" applyAlignment="1">
      <alignment horizontal="center" vertical="center"/>
    </xf>
    <xf numFmtId="0" fontId="2" fillId="0" borderId="191" xfId="5" applyFont="1" applyBorder="1" applyAlignment="1">
      <alignment horizontal="center" vertical="center"/>
    </xf>
    <xf numFmtId="0" fontId="2" fillId="0" borderId="32" xfId="5" applyFont="1" applyBorder="1" applyAlignment="1">
      <alignment horizontal="distributed" vertical="center" shrinkToFit="1"/>
    </xf>
    <xf numFmtId="0" fontId="2" fillId="0" borderId="25" xfId="5" applyFont="1" applyBorder="1" applyAlignment="1">
      <alignment horizontal="distributed" vertical="center" shrinkToFit="1"/>
    </xf>
    <xf numFmtId="0" fontId="2" fillId="0" borderId="157" xfId="5" applyFont="1" applyBorder="1" applyAlignment="1">
      <alignment horizontal="distributed" vertical="center" shrinkToFit="1"/>
    </xf>
    <xf numFmtId="0" fontId="19" fillId="0" borderId="47" xfId="3" applyFont="1" applyBorder="1" applyAlignment="1">
      <alignment horizontal="distributed" vertical="center"/>
    </xf>
    <xf numFmtId="0" fontId="2" fillId="0" borderId="49" xfId="5" applyFont="1" applyBorder="1" applyAlignment="1">
      <alignment horizontal="distributed" vertical="center" shrinkToFit="1"/>
    </xf>
    <xf numFmtId="0" fontId="2" fillId="0" borderId="47" xfId="5" applyFont="1" applyBorder="1" applyAlignment="1">
      <alignment horizontal="distributed" vertical="center" shrinkToFit="1"/>
    </xf>
    <xf numFmtId="0" fontId="2" fillId="0" borderId="207" xfId="5" applyFont="1" applyBorder="1" applyAlignment="1">
      <alignment horizontal="distributed" vertical="center" shrinkToFit="1"/>
    </xf>
    <xf numFmtId="0" fontId="12" fillId="0" borderId="22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 wrapText="1" shrinkToFit="1"/>
    </xf>
    <xf numFmtId="0" fontId="2" fillId="0" borderId="207" xfId="3" applyFont="1" applyBorder="1" applyAlignment="1">
      <alignment horizontal="center" vertical="center" wrapText="1" shrinkToFit="1"/>
    </xf>
    <xf numFmtId="0" fontId="2" fillId="0" borderId="51" xfId="3" applyFont="1" applyBorder="1" applyAlignment="1">
      <alignment horizontal="center" vertical="center" wrapText="1" shrinkToFit="1"/>
    </xf>
    <xf numFmtId="0" fontId="2" fillId="0" borderId="66" xfId="3" applyFont="1" applyBorder="1" applyAlignment="1">
      <alignment horizontal="center" vertical="center" wrapText="1" shrinkToFit="1"/>
    </xf>
    <xf numFmtId="0" fontId="2" fillId="0" borderId="55" xfId="3" applyFont="1" applyBorder="1" applyAlignment="1">
      <alignment horizontal="center" vertical="center" wrapText="1" shrinkToFit="1"/>
    </xf>
    <xf numFmtId="0" fontId="2" fillId="0" borderId="191" xfId="3" applyFont="1" applyBorder="1" applyAlignment="1">
      <alignment horizontal="center" vertical="center" wrapText="1" shrinkToFit="1"/>
    </xf>
    <xf numFmtId="0" fontId="19" fillId="0" borderId="219" xfId="3" applyFont="1" applyBorder="1" applyAlignment="1">
      <alignment horizontal="distributed" vertical="center"/>
    </xf>
    <xf numFmtId="0" fontId="2" fillId="0" borderId="9" xfId="5" applyFont="1" applyBorder="1" applyAlignment="1">
      <alignment horizontal="distributed" vertical="center" shrinkToFit="1"/>
    </xf>
    <xf numFmtId="0" fontId="2" fillId="0" borderId="85" xfId="5" applyFont="1" applyBorder="1" applyAlignment="1">
      <alignment horizontal="distributed" vertical="center" shrinkToFit="1"/>
    </xf>
    <xf numFmtId="0" fontId="2" fillId="0" borderId="38" xfId="3" applyFont="1" applyBorder="1" applyAlignment="1">
      <alignment horizontal="distributed" vertical="center" wrapText="1"/>
    </xf>
    <xf numFmtId="0" fontId="2" fillId="0" borderId="159" xfId="3" applyFont="1" applyBorder="1" applyAlignment="1">
      <alignment horizontal="distributed" vertical="center" wrapText="1"/>
    </xf>
    <xf numFmtId="49" fontId="2" fillId="0" borderId="328" xfId="3" applyNumberFormat="1" applyFont="1" applyBorder="1" applyAlignment="1">
      <alignment horizontal="center" vertical="center"/>
    </xf>
    <xf numFmtId="49" fontId="2" fillId="0" borderId="329" xfId="3" applyNumberFormat="1" applyFont="1" applyBorder="1" applyAlignment="1">
      <alignment horizontal="center" vertical="center"/>
    </xf>
    <xf numFmtId="49" fontId="2" fillId="0" borderId="330" xfId="3" applyNumberFormat="1" applyFont="1" applyBorder="1" applyAlignment="1">
      <alignment horizontal="center" vertical="center"/>
    </xf>
    <xf numFmtId="49" fontId="2" fillId="3" borderId="331" xfId="3" applyNumberFormat="1" applyFont="1" applyFill="1" applyBorder="1" applyAlignment="1">
      <alignment horizontal="right" vertical="center"/>
    </xf>
    <xf numFmtId="49" fontId="2" fillId="3" borderId="332" xfId="3" applyNumberFormat="1" applyFont="1" applyFill="1" applyBorder="1" applyAlignment="1">
      <alignment horizontal="right" vertical="center"/>
    </xf>
    <xf numFmtId="49" fontId="2" fillId="3" borderId="333" xfId="3" applyNumberFormat="1" applyFont="1" applyFill="1" applyBorder="1" applyAlignment="1">
      <alignment horizontal="right" vertical="center"/>
    </xf>
    <xf numFmtId="0" fontId="2" fillId="0" borderId="207" xfId="3" applyFont="1" applyBorder="1" applyAlignment="1">
      <alignment horizontal="distributed" vertical="center"/>
    </xf>
    <xf numFmtId="0" fontId="2" fillId="0" borderId="339" xfId="5" applyFont="1" applyBorder="1" applyAlignment="1">
      <alignment horizontal="distributed" vertical="center" shrinkToFit="1"/>
    </xf>
    <xf numFmtId="0" fontId="2" fillId="0" borderId="296" xfId="5" applyFont="1" applyBorder="1" applyAlignment="1">
      <alignment horizontal="distributed" vertical="center" shrinkToFit="1"/>
    </xf>
    <xf numFmtId="0" fontId="2" fillId="0" borderId="340" xfId="5" applyFont="1" applyBorder="1" applyAlignment="1">
      <alignment horizontal="distributed" vertical="center" shrinkToFit="1"/>
    </xf>
    <xf numFmtId="0" fontId="2" fillId="0" borderId="335" xfId="5" applyFont="1" applyBorder="1" applyAlignment="1">
      <alignment horizontal="center" vertical="center" textRotation="255"/>
    </xf>
    <xf numFmtId="0" fontId="2" fillId="0" borderId="336" xfId="5" applyFont="1" applyBorder="1" applyAlignment="1">
      <alignment horizontal="center" vertical="center" textRotation="255"/>
    </xf>
    <xf numFmtId="0" fontId="2" fillId="0" borderId="337" xfId="5" applyFont="1" applyBorder="1" applyAlignment="1">
      <alignment horizontal="center" vertical="center"/>
    </xf>
    <xf numFmtId="0" fontId="2" fillId="0" borderId="338" xfId="5" applyFont="1" applyBorder="1" applyAlignment="1">
      <alignment horizontal="center" vertical="center"/>
    </xf>
    <xf numFmtId="0" fontId="2" fillId="0" borderId="0" xfId="5" applyFont="1" applyAlignment="1">
      <alignment horizontal="distributed" vertical="center" shrinkToFit="1"/>
    </xf>
    <xf numFmtId="0" fontId="2" fillId="0" borderId="66" xfId="5" applyFont="1" applyBorder="1" applyAlignment="1">
      <alignment horizontal="distributed" vertical="center" shrinkToFit="1"/>
    </xf>
    <xf numFmtId="0" fontId="2" fillId="0" borderId="45" xfId="3" applyFont="1" applyBorder="1" applyAlignment="1">
      <alignment horizontal="center" vertical="center" textRotation="255"/>
    </xf>
    <xf numFmtId="0" fontId="2" fillId="0" borderId="15" xfId="3" applyFont="1" applyBorder="1" applyAlignment="1">
      <alignment horizontal="center" vertical="center" wrapText="1"/>
    </xf>
    <xf numFmtId="0" fontId="9" fillId="0" borderId="8" xfId="3" applyFont="1" applyBorder="1" applyAlignment="1">
      <alignment horizontal="center" vertical="center"/>
    </xf>
    <xf numFmtId="0" fontId="9" fillId="0" borderId="48" xfId="3" applyFont="1" applyBorder="1" applyAlignment="1">
      <alignment horizontal="center" vertical="center"/>
    </xf>
    <xf numFmtId="0" fontId="9" fillId="0" borderId="69" xfId="3" applyFont="1" applyBorder="1" applyAlignment="1">
      <alignment horizontal="center" vertical="center"/>
    </xf>
    <xf numFmtId="0" fontId="9" fillId="0" borderId="10" xfId="3" applyFont="1" applyBorder="1" applyAlignment="1">
      <alignment horizontal="center" vertical="center"/>
    </xf>
    <xf numFmtId="0" fontId="14" fillId="0" borderId="17" xfId="3" applyFont="1" applyBorder="1" applyAlignment="1">
      <alignment horizontal="distributed" vertical="center"/>
    </xf>
    <xf numFmtId="0" fontId="14" fillId="0" borderId="0" xfId="3" applyFont="1" applyAlignment="1">
      <alignment horizontal="distributed" vertical="center"/>
    </xf>
    <xf numFmtId="0" fontId="14" fillId="0" borderId="15" xfId="3" applyFont="1" applyBorder="1" applyAlignment="1">
      <alignment horizontal="distributed" vertical="center"/>
    </xf>
    <xf numFmtId="0" fontId="12" fillId="0" borderId="17" xfId="3" applyFont="1" applyBorder="1" applyAlignment="1">
      <alignment horizontal="distributed" vertical="center"/>
    </xf>
    <xf numFmtId="0" fontId="14" fillId="0" borderId="93" xfId="3" applyFont="1" applyBorder="1" applyAlignment="1">
      <alignment horizontal="distributed" vertical="center"/>
    </xf>
    <xf numFmtId="0" fontId="14" fillId="0" borderId="9" xfId="3" applyFont="1" applyBorder="1" applyAlignment="1">
      <alignment horizontal="distributed" vertical="center"/>
    </xf>
    <xf numFmtId="0" fontId="14" fillId="0" borderId="10" xfId="3" applyFont="1" applyBorder="1" applyAlignment="1">
      <alignment horizontal="distributed" vertical="center"/>
    </xf>
    <xf numFmtId="0" fontId="2" fillId="0" borderId="5" xfId="5" applyFont="1" applyBorder="1" applyAlignment="1">
      <alignment horizontal="center" vertical="center"/>
    </xf>
    <xf numFmtId="0" fontId="2" fillId="0" borderId="4" xfId="5" applyFont="1" applyBorder="1" applyAlignment="1">
      <alignment horizontal="center" vertical="center"/>
    </xf>
    <xf numFmtId="0" fontId="2" fillId="0" borderId="6" xfId="5" applyFont="1" applyBorder="1" applyAlignment="1">
      <alignment horizontal="center" vertical="center"/>
    </xf>
    <xf numFmtId="0" fontId="2" fillId="0" borderId="5" xfId="5" applyFont="1" applyBorder="1" applyAlignment="1">
      <alignment horizontal="center" vertical="center" wrapText="1"/>
    </xf>
    <xf numFmtId="0" fontId="2" fillId="0" borderId="4" xfId="5" applyFont="1" applyBorder="1" applyAlignment="1">
      <alignment horizontal="center" vertical="center" wrapText="1"/>
    </xf>
    <xf numFmtId="0" fontId="2" fillId="0" borderId="18" xfId="5" applyFont="1" applyBorder="1" applyAlignment="1">
      <alignment horizontal="center" vertical="center" wrapText="1"/>
    </xf>
    <xf numFmtId="0" fontId="2" fillId="0" borderId="90" xfId="5" applyFont="1" applyBorder="1" applyAlignment="1">
      <alignment horizontal="distributed" vertical="center" wrapText="1"/>
    </xf>
    <xf numFmtId="0" fontId="2" fillId="0" borderId="88" xfId="5" applyFont="1" applyBorder="1" applyAlignment="1">
      <alignment horizontal="distributed" vertical="center" wrapText="1"/>
    </xf>
    <xf numFmtId="0" fontId="2" fillId="0" borderId="89" xfId="5" applyFont="1" applyBorder="1" applyAlignment="1">
      <alignment horizontal="distributed" vertical="center" wrapText="1"/>
    </xf>
    <xf numFmtId="0" fontId="12" fillId="0" borderId="37" xfId="3" applyFont="1" applyBorder="1" applyAlignment="1">
      <alignment horizontal="center" vertical="center"/>
    </xf>
  </cellXfs>
  <cellStyles count="6">
    <cellStyle name="桁区切り 2" xfId="4" xr:uid="{00000000-0005-0000-0000-000000000000}"/>
    <cellStyle name="標準" xfId="0" builtinId="0"/>
    <cellStyle name="標準 2" xfId="1" xr:uid="{00000000-0005-0000-0000-000002000000}"/>
    <cellStyle name="標準 2 4" xfId="2" xr:uid="{00000000-0005-0000-0000-000003000000}"/>
    <cellStyle name="標準 3" xfId="3" xr:uid="{00000000-0005-0000-0000-000004000000}"/>
    <cellStyle name="標準 3 2" xfId="5" xr:uid="{00000000-0005-0000-0000-000005000000}"/>
  </cellStyles>
  <dxfs count="0"/>
  <tableStyles count="0" defaultTableStyle="TableStyleMedium2" defaultPivotStyle="PivotStyleLight16"/>
  <colors>
    <mruColors>
      <color rgb="FFD9D9D9"/>
      <color rgb="FFD6D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BT59"/>
  <sheetViews>
    <sheetView tabSelected="1" view="pageBreakPreview" zoomScale="120" zoomScaleNormal="120" zoomScaleSheetLayoutView="120" workbookViewId="0"/>
  </sheetViews>
  <sheetFormatPr defaultColWidth="9" defaultRowHeight="12" x14ac:dyDescent="0.15"/>
  <cols>
    <col min="1" max="1" width="1.875" style="3" customWidth="1"/>
    <col min="2" max="2" width="1" style="47" customWidth="1"/>
    <col min="3" max="4" width="0.875" style="145" customWidth="1"/>
    <col min="5" max="5" width="5.375" style="145" customWidth="1"/>
    <col min="6" max="6" width="2.125" style="145" customWidth="1"/>
    <col min="7" max="19" width="2" style="47" customWidth="1"/>
    <col min="20" max="20" width="1.125" style="47" customWidth="1"/>
    <col min="21" max="21" width="2.5" style="47" customWidth="1"/>
    <col min="22" max="26" width="2" style="47" customWidth="1"/>
    <col min="27" max="30" width="1" style="47" customWidth="1"/>
    <col min="31" max="31" width="6" style="47" customWidth="1"/>
    <col min="32" max="36" width="2" style="47" customWidth="1"/>
    <col min="37" max="38" width="1.375" style="47" customWidth="1"/>
    <col min="39" max="40" width="1.875" style="47" customWidth="1"/>
    <col min="41" max="41" width="3.625" style="47" customWidth="1"/>
    <col min="42" max="43" width="1.125" style="47" customWidth="1"/>
    <col min="44" max="45" width="1.875" style="47" customWidth="1"/>
    <col min="46" max="46" width="4.125" style="47" customWidth="1"/>
    <col min="47" max="51" width="2" style="47" customWidth="1"/>
    <col min="52" max="54" width="1.375" style="47" customWidth="1"/>
    <col min="55" max="55" width="4.125" style="47" customWidth="1"/>
    <col min="56" max="56" width="1.875" style="47" customWidth="1"/>
    <col min="57" max="61" width="2" style="47" customWidth="1"/>
    <col min="62" max="64" width="1.375" style="47" customWidth="1"/>
    <col min="65" max="65" width="4.125" style="47" customWidth="1"/>
    <col min="66" max="66" width="1.875" style="47" customWidth="1"/>
    <col min="67" max="71" width="2" style="47" customWidth="1"/>
    <col min="72" max="72" width="2.375" style="47" customWidth="1"/>
    <col min="73" max="16384" width="9" style="47"/>
  </cols>
  <sheetData>
    <row r="1" spans="1:72" ht="14.25" customHeight="1" x14ac:dyDescent="0.15">
      <c r="B1" s="545" t="str">
        <f>B5&amp;"年　農業経営統計調査（営農類型別経営統計（法人経営））　個別結果表No.１"</f>
        <v>年　農業経営統計調査（営農類型別経営統計（法人経営））　個別結果表No.１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</row>
    <row r="2" spans="1:72" s="3" customFormat="1" ht="9.75" customHeight="1" thickBot="1" x14ac:dyDescent="0.2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</row>
    <row r="3" spans="1:72" ht="9.75" customHeight="1" x14ac:dyDescent="0.15">
      <c r="B3" s="546" t="s">
        <v>60</v>
      </c>
      <c r="C3" s="547"/>
      <c r="D3" s="547"/>
      <c r="E3" s="547"/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  <c r="V3" s="547"/>
      <c r="W3" s="547"/>
      <c r="X3" s="547"/>
      <c r="Y3" s="547"/>
      <c r="Z3" s="547"/>
      <c r="AA3" s="547"/>
      <c r="AB3" s="547"/>
      <c r="AC3" s="547"/>
      <c r="AD3" s="547"/>
      <c r="AE3" s="547"/>
      <c r="AF3" s="547"/>
      <c r="AG3" s="547"/>
      <c r="AH3" s="547"/>
      <c r="AI3" s="547"/>
      <c r="AJ3" s="547"/>
      <c r="AK3" s="547"/>
      <c r="AL3" s="547"/>
      <c r="AM3" s="547"/>
      <c r="AN3" s="547"/>
      <c r="AO3" s="547"/>
      <c r="AP3" s="547"/>
      <c r="AQ3" s="547"/>
      <c r="AR3" s="547"/>
      <c r="AS3" s="547"/>
      <c r="AT3" s="547"/>
      <c r="AU3" s="547"/>
      <c r="AV3" s="547"/>
      <c r="AW3" s="547"/>
      <c r="AX3" s="547"/>
      <c r="AY3" s="547"/>
      <c r="AZ3" s="547"/>
      <c r="BA3" s="547"/>
      <c r="BB3" s="547"/>
      <c r="BC3" s="547"/>
      <c r="BD3" s="547"/>
      <c r="BE3" s="547"/>
      <c r="BF3" s="547"/>
      <c r="BG3" s="547"/>
      <c r="BH3" s="547"/>
      <c r="BI3" s="547"/>
      <c r="BJ3" s="547"/>
      <c r="BK3" s="547"/>
      <c r="BL3" s="547"/>
      <c r="BM3" s="547"/>
      <c r="BN3" s="547"/>
      <c r="BO3" s="547"/>
      <c r="BP3" s="547"/>
      <c r="BQ3" s="547"/>
      <c r="BR3" s="547"/>
      <c r="BS3" s="548"/>
    </row>
    <row r="4" spans="1:72" ht="9.75" customHeight="1" x14ac:dyDescent="0.15">
      <c r="A4" s="3">
        <v>1</v>
      </c>
      <c r="B4" s="549" t="s">
        <v>0</v>
      </c>
      <c r="C4" s="550"/>
      <c r="D4" s="550"/>
      <c r="E4" s="550"/>
      <c r="F4" s="551"/>
      <c r="G4" s="552" t="s">
        <v>1</v>
      </c>
      <c r="H4" s="553"/>
      <c r="I4" s="553"/>
      <c r="J4" s="553"/>
      <c r="K4" s="554"/>
      <c r="L4" s="552" t="s">
        <v>2</v>
      </c>
      <c r="M4" s="553"/>
      <c r="N4" s="553"/>
      <c r="O4" s="553"/>
      <c r="P4" s="553"/>
      <c r="Q4" s="553"/>
      <c r="R4" s="553"/>
      <c r="S4" s="553"/>
      <c r="T4" s="553"/>
      <c r="U4" s="554"/>
      <c r="V4" s="552" t="s">
        <v>3</v>
      </c>
      <c r="W4" s="553"/>
      <c r="X4" s="553"/>
      <c r="Y4" s="553"/>
      <c r="Z4" s="553"/>
      <c r="AA4" s="553"/>
      <c r="AB4" s="553"/>
      <c r="AC4" s="553"/>
      <c r="AD4" s="553"/>
      <c r="AE4" s="554"/>
      <c r="AF4" s="555" t="s">
        <v>4</v>
      </c>
      <c r="AG4" s="550"/>
      <c r="AH4" s="550"/>
      <c r="AI4" s="550"/>
      <c r="AJ4" s="551"/>
      <c r="AK4" s="555" t="s">
        <v>5</v>
      </c>
      <c r="AL4" s="550"/>
      <c r="AM4" s="550"/>
      <c r="AN4" s="550"/>
      <c r="AO4" s="551"/>
      <c r="AP4" s="555" t="s">
        <v>514</v>
      </c>
      <c r="AQ4" s="550"/>
      <c r="AR4" s="550"/>
      <c r="AS4" s="550"/>
      <c r="AT4" s="551"/>
      <c r="AU4" s="555"/>
      <c r="AV4" s="550"/>
      <c r="AW4" s="550"/>
      <c r="AX4" s="550"/>
      <c r="AY4" s="551"/>
      <c r="AZ4" s="555"/>
      <c r="BA4" s="550"/>
      <c r="BB4" s="550"/>
      <c r="BC4" s="550"/>
      <c r="BD4" s="551"/>
      <c r="BE4" s="556"/>
      <c r="BF4" s="556"/>
      <c r="BG4" s="556"/>
      <c r="BH4" s="556"/>
      <c r="BI4" s="556"/>
      <c r="BJ4" s="556"/>
      <c r="BK4" s="556"/>
      <c r="BL4" s="556"/>
      <c r="BM4" s="556"/>
      <c r="BN4" s="556"/>
      <c r="BO4" s="556" t="s">
        <v>516</v>
      </c>
      <c r="BP4" s="556"/>
      <c r="BQ4" s="556"/>
      <c r="BR4" s="556"/>
      <c r="BS4" s="557"/>
    </row>
    <row r="5" spans="1:72" ht="9.75" customHeight="1" x14ac:dyDescent="0.15">
      <c r="A5" s="3">
        <v>2</v>
      </c>
      <c r="B5" s="520"/>
      <c r="C5" s="521"/>
      <c r="D5" s="521"/>
      <c r="E5" s="521"/>
      <c r="F5" s="522"/>
      <c r="G5" s="523"/>
      <c r="H5" s="524"/>
      <c r="I5" s="524"/>
      <c r="J5" s="524"/>
      <c r="K5" s="525"/>
      <c r="L5" s="526"/>
      <c r="M5" s="527"/>
      <c r="N5" s="527"/>
      <c r="O5" s="527"/>
      <c r="P5" s="527"/>
      <c r="Q5" s="527"/>
      <c r="R5" s="527"/>
      <c r="S5" s="527"/>
      <c r="T5" s="527"/>
      <c r="U5" s="528"/>
      <c r="V5" s="529"/>
      <c r="W5" s="530"/>
      <c r="X5" s="530"/>
      <c r="Y5" s="530"/>
      <c r="Z5" s="530"/>
      <c r="AA5" s="530"/>
      <c r="AB5" s="530"/>
      <c r="AC5" s="530"/>
      <c r="AD5" s="530"/>
      <c r="AE5" s="531"/>
      <c r="AF5" s="532"/>
      <c r="AG5" s="533"/>
      <c r="AH5" s="533"/>
      <c r="AI5" s="533"/>
      <c r="AJ5" s="534"/>
      <c r="AK5" s="535"/>
      <c r="AL5" s="536"/>
      <c r="AM5" s="536"/>
      <c r="AN5" s="536"/>
      <c r="AO5" s="537"/>
      <c r="AP5" s="538"/>
      <c r="AQ5" s="539"/>
      <c r="AR5" s="539"/>
      <c r="AS5" s="539"/>
      <c r="AT5" s="540"/>
      <c r="AU5" s="503"/>
      <c r="AV5" s="504"/>
      <c r="AW5" s="504"/>
      <c r="AX5" s="504"/>
      <c r="AY5" s="505"/>
      <c r="AZ5" s="503"/>
      <c r="BA5" s="504"/>
      <c r="BB5" s="504"/>
      <c r="BC5" s="504"/>
      <c r="BD5" s="505"/>
      <c r="BE5" s="503"/>
      <c r="BF5" s="504"/>
      <c r="BG5" s="504"/>
      <c r="BH5" s="504"/>
      <c r="BI5" s="505"/>
      <c r="BJ5" s="503"/>
      <c r="BK5" s="504"/>
      <c r="BL5" s="504"/>
      <c r="BM5" s="504"/>
      <c r="BN5" s="505"/>
      <c r="BO5" s="503"/>
      <c r="BP5" s="504"/>
      <c r="BQ5" s="504"/>
      <c r="BR5" s="504"/>
      <c r="BS5" s="506"/>
    </row>
    <row r="6" spans="1:72" ht="9.75" customHeight="1" x14ac:dyDescent="0.15">
      <c r="A6" s="3">
        <v>3</v>
      </c>
      <c r="B6" s="541" t="s">
        <v>6</v>
      </c>
      <c r="C6" s="542"/>
      <c r="D6" s="542"/>
      <c r="E6" s="542"/>
      <c r="F6" s="543"/>
      <c r="G6" s="544" t="s">
        <v>7</v>
      </c>
      <c r="H6" s="542"/>
      <c r="I6" s="542"/>
      <c r="J6" s="542"/>
      <c r="K6" s="543"/>
      <c r="L6" s="544" t="s">
        <v>8</v>
      </c>
      <c r="M6" s="542"/>
      <c r="N6" s="542"/>
      <c r="O6" s="542"/>
      <c r="P6" s="543"/>
      <c r="Q6" s="544"/>
      <c r="R6" s="542"/>
      <c r="S6" s="542"/>
      <c r="T6" s="542"/>
      <c r="U6" s="543"/>
      <c r="V6" s="558" t="s">
        <v>9</v>
      </c>
      <c r="W6" s="521"/>
      <c r="X6" s="521"/>
      <c r="Y6" s="521"/>
      <c r="Z6" s="522"/>
      <c r="AA6" s="558" t="s">
        <v>10</v>
      </c>
      <c r="AB6" s="521"/>
      <c r="AC6" s="521"/>
      <c r="AD6" s="521"/>
      <c r="AE6" s="522"/>
      <c r="AF6" s="558" t="s">
        <v>511</v>
      </c>
      <c r="AG6" s="521"/>
      <c r="AH6" s="521"/>
      <c r="AI6" s="521"/>
      <c r="AJ6" s="522"/>
      <c r="AK6" s="558" t="s">
        <v>512</v>
      </c>
      <c r="AL6" s="521"/>
      <c r="AM6" s="521"/>
      <c r="AN6" s="521"/>
      <c r="AO6" s="521"/>
      <c r="AP6" s="558" t="s">
        <v>11</v>
      </c>
      <c r="AQ6" s="521"/>
      <c r="AR6" s="521"/>
      <c r="AS6" s="521"/>
      <c r="AT6" s="522"/>
      <c r="AU6" s="544" t="s">
        <v>449</v>
      </c>
      <c r="AV6" s="542"/>
      <c r="AW6" s="542"/>
      <c r="AX6" s="542"/>
      <c r="AY6" s="543"/>
      <c r="AZ6" s="544" t="s">
        <v>450</v>
      </c>
      <c r="BA6" s="542"/>
      <c r="BB6" s="542"/>
      <c r="BC6" s="542"/>
      <c r="BD6" s="543"/>
      <c r="BE6" s="559" t="s">
        <v>451</v>
      </c>
      <c r="BF6" s="559"/>
      <c r="BG6" s="559"/>
      <c r="BH6" s="559"/>
      <c r="BI6" s="559"/>
      <c r="BJ6" s="559"/>
      <c r="BK6" s="559"/>
      <c r="BL6" s="559"/>
      <c r="BM6" s="559"/>
      <c r="BN6" s="559"/>
      <c r="BO6" s="558"/>
      <c r="BP6" s="521"/>
      <c r="BQ6" s="521"/>
      <c r="BR6" s="521"/>
      <c r="BS6" s="560"/>
    </row>
    <row r="7" spans="1:72" ht="9.75" customHeight="1" thickBot="1" x14ac:dyDescent="0.2">
      <c r="A7" s="3">
        <v>4</v>
      </c>
      <c r="B7" s="507"/>
      <c r="C7" s="508"/>
      <c r="D7" s="508"/>
      <c r="E7" s="508"/>
      <c r="F7" s="509"/>
      <c r="G7" s="510"/>
      <c r="H7" s="508"/>
      <c r="I7" s="508"/>
      <c r="J7" s="508"/>
      <c r="K7" s="509"/>
      <c r="L7" s="511"/>
      <c r="M7" s="512"/>
      <c r="N7" s="512"/>
      <c r="O7" s="512"/>
      <c r="P7" s="513"/>
      <c r="Q7" s="481"/>
      <c r="R7" s="482"/>
      <c r="S7" s="482"/>
      <c r="T7" s="482"/>
      <c r="U7" s="483"/>
      <c r="V7" s="510"/>
      <c r="W7" s="508"/>
      <c r="X7" s="508"/>
      <c r="Y7" s="508"/>
      <c r="Z7" s="509"/>
      <c r="AA7" s="514"/>
      <c r="AB7" s="515"/>
      <c r="AC7" s="515"/>
      <c r="AD7" s="515"/>
      <c r="AE7" s="516"/>
      <c r="AF7" s="517"/>
      <c r="AG7" s="518"/>
      <c r="AH7" s="518"/>
      <c r="AI7" s="518"/>
      <c r="AJ7" s="519"/>
      <c r="AK7" s="517"/>
      <c r="AL7" s="518"/>
      <c r="AM7" s="518"/>
      <c r="AN7" s="518"/>
      <c r="AO7" s="519"/>
      <c r="AP7" s="478"/>
      <c r="AQ7" s="479"/>
      <c r="AR7" s="479"/>
      <c r="AS7" s="479"/>
      <c r="AT7" s="480"/>
      <c r="AU7" s="481"/>
      <c r="AV7" s="482"/>
      <c r="AW7" s="482"/>
      <c r="AX7" s="482"/>
      <c r="AY7" s="483"/>
      <c r="AZ7" s="481"/>
      <c r="BA7" s="482"/>
      <c r="BB7" s="482"/>
      <c r="BC7" s="482"/>
      <c r="BD7" s="483"/>
      <c r="BE7" s="484"/>
      <c r="BF7" s="485"/>
      <c r="BG7" s="485"/>
      <c r="BH7" s="485"/>
      <c r="BI7" s="486"/>
      <c r="BJ7" s="481"/>
      <c r="BK7" s="482"/>
      <c r="BL7" s="482"/>
      <c r="BM7" s="482"/>
      <c r="BN7" s="483"/>
      <c r="BO7" s="481"/>
      <c r="BP7" s="482"/>
      <c r="BQ7" s="482"/>
      <c r="BR7" s="482"/>
      <c r="BS7" s="487"/>
    </row>
    <row r="8" spans="1:72" ht="9.75" customHeight="1" x14ac:dyDescent="0.15">
      <c r="A8" s="3">
        <v>5</v>
      </c>
      <c r="B8" s="546" t="s">
        <v>61</v>
      </c>
      <c r="C8" s="547"/>
      <c r="D8" s="547"/>
      <c r="E8" s="547"/>
      <c r="F8" s="547"/>
      <c r="G8" s="547"/>
      <c r="H8" s="547"/>
      <c r="I8" s="547"/>
      <c r="J8" s="547"/>
      <c r="K8" s="548"/>
      <c r="L8" s="546" t="s">
        <v>62</v>
      </c>
      <c r="M8" s="547"/>
      <c r="N8" s="547"/>
      <c r="O8" s="547"/>
      <c r="P8" s="547"/>
      <c r="Q8" s="547"/>
      <c r="R8" s="547"/>
      <c r="S8" s="547"/>
      <c r="T8" s="547"/>
      <c r="U8" s="547"/>
      <c r="V8" s="547"/>
      <c r="W8" s="547"/>
      <c r="X8" s="547"/>
      <c r="Y8" s="547"/>
      <c r="Z8" s="548"/>
      <c r="AA8" s="546" t="s">
        <v>63</v>
      </c>
      <c r="AB8" s="547"/>
      <c r="AC8" s="547"/>
      <c r="AD8" s="547"/>
      <c r="AE8" s="547"/>
      <c r="AF8" s="547"/>
      <c r="AG8" s="547"/>
      <c r="AH8" s="547"/>
      <c r="AI8" s="547"/>
      <c r="AJ8" s="547"/>
      <c r="AK8" s="547"/>
      <c r="AL8" s="547"/>
      <c r="AM8" s="547"/>
      <c r="AN8" s="547"/>
      <c r="AO8" s="547"/>
      <c r="AP8" s="547"/>
      <c r="AQ8" s="547"/>
      <c r="AR8" s="547"/>
      <c r="AS8" s="547"/>
      <c r="AT8" s="547"/>
      <c r="AU8" s="547"/>
      <c r="AV8" s="547"/>
      <c r="AW8" s="547"/>
      <c r="AX8" s="547"/>
      <c r="AY8" s="548"/>
      <c r="AZ8" s="546" t="s">
        <v>64</v>
      </c>
      <c r="BA8" s="547"/>
      <c r="BB8" s="547"/>
      <c r="BC8" s="547"/>
      <c r="BD8" s="547"/>
      <c r="BE8" s="547"/>
      <c r="BF8" s="547"/>
      <c r="BG8" s="547"/>
      <c r="BH8" s="547"/>
      <c r="BI8" s="548"/>
      <c r="BJ8" s="561" t="s">
        <v>65</v>
      </c>
      <c r="BK8" s="562"/>
      <c r="BL8" s="562"/>
      <c r="BM8" s="562"/>
      <c r="BN8" s="562"/>
      <c r="BO8" s="562"/>
      <c r="BP8" s="562"/>
      <c r="BQ8" s="562"/>
      <c r="BR8" s="562"/>
      <c r="BS8" s="563"/>
    </row>
    <row r="9" spans="1:72" ht="9.75" customHeight="1" x14ac:dyDescent="0.15">
      <c r="A9" s="3">
        <v>6</v>
      </c>
      <c r="B9" s="577" t="s">
        <v>66</v>
      </c>
      <c r="C9" s="578"/>
      <c r="D9" s="578"/>
      <c r="E9" s="578"/>
      <c r="F9" s="578"/>
      <c r="G9" s="578"/>
      <c r="H9" s="578"/>
      <c r="I9" s="578"/>
      <c r="J9" s="578"/>
      <c r="K9" s="579"/>
      <c r="L9" s="577" t="s">
        <v>67</v>
      </c>
      <c r="M9" s="578"/>
      <c r="N9" s="578"/>
      <c r="O9" s="578"/>
      <c r="P9" s="578"/>
      <c r="Q9" s="578"/>
      <c r="R9" s="578"/>
      <c r="S9" s="578"/>
      <c r="T9" s="578"/>
      <c r="U9" s="578"/>
      <c r="V9" s="578"/>
      <c r="W9" s="578"/>
      <c r="X9" s="578"/>
      <c r="Y9" s="578"/>
      <c r="Z9" s="579"/>
      <c r="AA9" s="580" t="s">
        <v>68</v>
      </c>
      <c r="AB9" s="581"/>
      <c r="AC9" s="581"/>
      <c r="AD9" s="581"/>
      <c r="AE9" s="582"/>
      <c r="AF9" s="555" t="s">
        <v>69</v>
      </c>
      <c r="AG9" s="550"/>
      <c r="AH9" s="550"/>
      <c r="AI9" s="550"/>
      <c r="AJ9" s="550"/>
      <c r="AK9" s="550"/>
      <c r="AL9" s="550"/>
      <c r="AM9" s="550"/>
      <c r="AN9" s="550"/>
      <c r="AO9" s="550"/>
      <c r="AP9" s="583" t="s">
        <v>68</v>
      </c>
      <c r="AQ9" s="489"/>
      <c r="AR9" s="489"/>
      <c r="AS9" s="489"/>
      <c r="AT9" s="490"/>
      <c r="AU9" s="572" t="s">
        <v>70</v>
      </c>
      <c r="AV9" s="573"/>
      <c r="AW9" s="573"/>
      <c r="AX9" s="573"/>
      <c r="AY9" s="585"/>
      <c r="AZ9" s="488" t="s">
        <v>71</v>
      </c>
      <c r="BA9" s="489"/>
      <c r="BB9" s="489"/>
      <c r="BC9" s="489"/>
      <c r="BD9" s="490"/>
      <c r="BE9" s="358"/>
      <c r="BF9" s="359"/>
      <c r="BG9" s="359"/>
      <c r="BH9" s="359"/>
      <c r="BI9" s="360"/>
      <c r="BJ9" s="491" t="s">
        <v>72</v>
      </c>
      <c r="BK9" s="492"/>
      <c r="BL9" s="492"/>
      <c r="BM9" s="492"/>
      <c r="BN9" s="493"/>
      <c r="BO9" s="413"/>
      <c r="BP9" s="414"/>
      <c r="BQ9" s="414"/>
      <c r="BR9" s="414"/>
      <c r="BS9" s="415"/>
    </row>
    <row r="10" spans="1:72" ht="9.75" customHeight="1" x14ac:dyDescent="0.15">
      <c r="A10" s="3">
        <v>7</v>
      </c>
      <c r="B10" s="564" t="s">
        <v>73</v>
      </c>
      <c r="C10" s="565"/>
      <c r="D10" s="565"/>
      <c r="E10" s="565"/>
      <c r="F10" s="565"/>
      <c r="G10" s="358"/>
      <c r="H10" s="359"/>
      <c r="I10" s="359"/>
      <c r="J10" s="359"/>
      <c r="K10" s="360"/>
      <c r="L10" s="566" t="s">
        <v>74</v>
      </c>
      <c r="M10" s="569" t="s">
        <v>28</v>
      </c>
      <c r="N10" s="570"/>
      <c r="O10" s="570"/>
      <c r="P10" s="570"/>
      <c r="Q10" s="570"/>
      <c r="R10" s="570"/>
      <c r="S10" s="570"/>
      <c r="T10" s="571"/>
      <c r="U10" s="50" t="s">
        <v>75</v>
      </c>
      <c r="V10" s="442"/>
      <c r="W10" s="443"/>
      <c r="X10" s="443"/>
      <c r="Y10" s="443"/>
      <c r="Z10" s="444"/>
      <c r="AA10" s="580"/>
      <c r="AB10" s="581"/>
      <c r="AC10" s="581"/>
      <c r="AD10" s="581"/>
      <c r="AE10" s="582"/>
      <c r="AF10" s="555"/>
      <c r="AG10" s="550"/>
      <c r="AH10" s="550"/>
      <c r="AI10" s="550"/>
      <c r="AJ10" s="551"/>
      <c r="AK10" s="572" t="s">
        <v>76</v>
      </c>
      <c r="AL10" s="573"/>
      <c r="AM10" s="573"/>
      <c r="AN10" s="573"/>
      <c r="AO10" s="573"/>
      <c r="AP10" s="584"/>
      <c r="AQ10" s="581"/>
      <c r="AR10" s="581"/>
      <c r="AS10" s="581"/>
      <c r="AT10" s="582"/>
      <c r="AU10" s="556"/>
      <c r="AV10" s="556"/>
      <c r="AW10" s="556"/>
      <c r="AX10" s="556"/>
      <c r="AY10" s="557"/>
      <c r="AZ10" s="152"/>
      <c r="BA10" s="419" t="s">
        <v>77</v>
      </c>
      <c r="BB10" s="420"/>
      <c r="BC10" s="420"/>
      <c r="BD10" s="420"/>
      <c r="BE10" s="376"/>
      <c r="BF10" s="377"/>
      <c r="BG10" s="377"/>
      <c r="BH10" s="377"/>
      <c r="BI10" s="416"/>
      <c r="BJ10" s="51"/>
      <c r="BK10" s="574" t="s">
        <v>78</v>
      </c>
      <c r="BL10" s="575"/>
      <c r="BM10" s="575"/>
      <c r="BN10" s="576"/>
      <c r="BO10" s="409"/>
      <c r="BP10" s="401"/>
      <c r="BQ10" s="401"/>
      <c r="BR10" s="401"/>
      <c r="BS10" s="402"/>
    </row>
    <row r="11" spans="1:72" ht="9.75" customHeight="1" x14ac:dyDescent="0.15">
      <c r="A11" s="3">
        <v>8</v>
      </c>
      <c r="B11" s="586" t="s">
        <v>79</v>
      </c>
      <c r="C11" s="587"/>
      <c r="D11" s="587"/>
      <c r="E11" s="587"/>
      <c r="F11" s="587"/>
      <c r="G11" s="376"/>
      <c r="H11" s="377"/>
      <c r="I11" s="377"/>
      <c r="J11" s="377"/>
      <c r="K11" s="416"/>
      <c r="L11" s="567"/>
      <c r="M11" s="588" t="s">
        <v>29</v>
      </c>
      <c r="N11" s="476"/>
      <c r="O11" s="476"/>
      <c r="P11" s="476"/>
      <c r="Q11" s="476"/>
      <c r="R11" s="476"/>
      <c r="S11" s="476"/>
      <c r="T11" s="589"/>
      <c r="U11" s="52" t="s">
        <v>80</v>
      </c>
      <c r="V11" s="445"/>
      <c r="W11" s="446"/>
      <c r="X11" s="446"/>
      <c r="Y11" s="446"/>
      <c r="Z11" s="447"/>
      <c r="AA11" s="494" t="s">
        <v>81</v>
      </c>
      <c r="AB11" s="495"/>
      <c r="AC11" s="495"/>
      <c r="AD11" s="495"/>
      <c r="AE11" s="496"/>
      <c r="AF11" s="358"/>
      <c r="AG11" s="359"/>
      <c r="AH11" s="359"/>
      <c r="AI11" s="359"/>
      <c r="AJ11" s="368"/>
      <c r="AK11" s="497"/>
      <c r="AL11" s="498"/>
      <c r="AM11" s="498"/>
      <c r="AN11" s="498"/>
      <c r="AO11" s="498"/>
      <c r="AP11" s="499" t="s">
        <v>82</v>
      </c>
      <c r="AQ11" s="495"/>
      <c r="AR11" s="495"/>
      <c r="AS11" s="495"/>
      <c r="AT11" s="496"/>
      <c r="AU11" s="358"/>
      <c r="AV11" s="359"/>
      <c r="AW11" s="359"/>
      <c r="AX11" s="359"/>
      <c r="AY11" s="360"/>
      <c r="AZ11" s="152"/>
      <c r="BA11" s="500" t="s">
        <v>83</v>
      </c>
      <c r="BB11" s="501"/>
      <c r="BC11" s="501"/>
      <c r="BD11" s="502"/>
      <c r="BE11" s="376"/>
      <c r="BF11" s="377"/>
      <c r="BG11" s="377"/>
      <c r="BH11" s="377"/>
      <c r="BI11" s="416"/>
      <c r="BJ11" s="51"/>
      <c r="BK11" s="574" t="s">
        <v>84</v>
      </c>
      <c r="BL11" s="575"/>
      <c r="BM11" s="575"/>
      <c r="BN11" s="576"/>
      <c r="BO11" s="409"/>
      <c r="BP11" s="401"/>
      <c r="BQ11" s="401"/>
      <c r="BR11" s="401"/>
      <c r="BS11" s="402"/>
    </row>
    <row r="12" spans="1:72" ht="9.75" customHeight="1" x14ac:dyDescent="0.15">
      <c r="A12" s="3">
        <v>9</v>
      </c>
      <c r="B12" s="586" t="s">
        <v>85</v>
      </c>
      <c r="C12" s="587"/>
      <c r="D12" s="587"/>
      <c r="E12" s="587"/>
      <c r="F12" s="587"/>
      <c r="G12" s="376"/>
      <c r="H12" s="377"/>
      <c r="I12" s="377"/>
      <c r="J12" s="377"/>
      <c r="K12" s="416"/>
      <c r="L12" s="567"/>
      <c r="M12" s="588" t="s">
        <v>30</v>
      </c>
      <c r="N12" s="476"/>
      <c r="O12" s="476"/>
      <c r="P12" s="476"/>
      <c r="Q12" s="476"/>
      <c r="R12" s="476"/>
      <c r="S12" s="476"/>
      <c r="T12" s="589"/>
      <c r="U12" s="52" t="s">
        <v>80</v>
      </c>
      <c r="V12" s="445"/>
      <c r="W12" s="446"/>
      <c r="X12" s="446"/>
      <c r="Y12" s="446"/>
      <c r="Z12" s="447"/>
      <c r="AA12" s="53"/>
      <c r="AB12" s="500" t="s">
        <v>86</v>
      </c>
      <c r="AC12" s="501"/>
      <c r="AD12" s="501"/>
      <c r="AE12" s="502"/>
      <c r="AF12" s="376"/>
      <c r="AG12" s="377"/>
      <c r="AH12" s="377"/>
      <c r="AI12" s="377"/>
      <c r="AJ12" s="378"/>
      <c r="AK12" s="590"/>
      <c r="AL12" s="591"/>
      <c r="AM12" s="591"/>
      <c r="AN12" s="591"/>
      <c r="AO12" s="591"/>
      <c r="AP12" s="54"/>
      <c r="AQ12" s="592" t="s">
        <v>87</v>
      </c>
      <c r="AR12" s="593"/>
      <c r="AS12" s="593"/>
      <c r="AT12" s="594"/>
      <c r="AU12" s="376"/>
      <c r="AV12" s="377"/>
      <c r="AW12" s="377"/>
      <c r="AX12" s="377"/>
      <c r="AY12" s="416"/>
      <c r="AZ12" s="152"/>
      <c r="BA12" s="8"/>
      <c r="BB12" s="500" t="s">
        <v>88</v>
      </c>
      <c r="BC12" s="420"/>
      <c r="BD12" s="420"/>
      <c r="BE12" s="376"/>
      <c r="BF12" s="377"/>
      <c r="BG12" s="377"/>
      <c r="BH12" s="377"/>
      <c r="BI12" s="416"/>
      <c r="BJ12" s="51"/>
      <c r="BK12" s="574" t="s">
        <v>89</v>
      </c>
      <c r="BL12" s="575"/>
      <c r="BM12" s="575"/>
      <c r="BN12" s="576"/>
      <c r="BO12" s="409"/>
      <c r="BP12" s="401"/>
      <c r="BQ12" s="401"/>
      <c r="BR12" s="401"/>
      <c r="BS12" s="402"/>
    </row>
    <row r="13" spans="1:72" ht="9.75" customHeight="1" x14ac:dyDescent="0.15">
      <c r="A13" s="3">
        <v>10</v>
      </c>
      <c r="B13" s="586" t="s">
        <v>90</v>
      </c>
      <c r="C13" s="587"/>
      <c r="D13" s="587"/>
      <c r="E13" s="587"/>
      <c r="F13" s="587"/>
      <c r="G13" s="376"/>
      <c r="H13" s="377"/>
      <c r="I13" s="377"/>
      <c r="J13" s="377"/>
      <c r="K13" s="416"/>
      <c r="L13" s="567"/>
      <c r="M13" s="588" t="s">
        <v>31</v>
      </c>
      <c r="N13" s="476"/>
      <c r="O13" s="476"/>
      <c r="P13" s="476"/>
      <c r="Q13" s="476"/>
      <c r="R13" s="476"/>
      <c r="S13" s="476"/>
      <c r="T13" s="589"/>
      <c r="U13" s="52" t="s">
        <v>80</v>
      </c>
      <c r="V13" s="445"/>
      <c r="W13" s="446"/>
      <c r="X13" s="446"/>
      <c r="Y13" s="446"/>
      <c r="Z13" s="447"/>
      <c r="AA13" s="151"/>
      <c r="AB13" s="55"/>
      <c r="AC13" s="500" t="s">
        <v>91</v>
      </c>
      <c r="AD13" s="501"/>
      <c r="AE13" s="502"/>
      <c r="AF13" s="376"/>
      <c r="AG13" s="377"/>
      <c r="AH13" s="377"/>
      <c r="AI13" s="377"/>
      <c r="AJ13" s="378"/>
      <c r="AK13" s="590"/>
      <c r="AL13" s="591"/>
      <c r="AM13" s="591"/>
      <c r="AN13" s="591"/>
      <c r="AO13" s="591"/>
      <c r="AP13" s="56"/>
      <c r="AQ13" s="55"/>
      <c r="AR13" s="419" t="s">
        <v>92</v>
      </c>
      <c r="AS13" s="420"/>
      <c r="AT13" s="421"/>
      <c r="AU13" s="361"/>
      <c r="AV13" s="356"/>
      <c r="AW13" s="356"/>
      <c r="AX13" s="356"/>
      <c r="AY13" s="357"/>
      <c r="AZ13" s="152"/>
      <c r="BA13" s="8"/>
      <c r="BB13" s="55"/>
      <c r="BC13" s="599" t="s">
        <v>93</v>
      </c>
      <c r="BD13" s="600"/>
      <c r="BE13" s="376"/>
      <c r="BF13" s="377"/>
      <c r="BG13" s="377"/>
      <c r="BH13" s="377"/>
      <c r="BI13" s="416"/>
      <c r="BJ13" s="51"/>
      <c r="BK13" s="574" t="s">
        <v>94</v>
      </c>
      <c r="BL13" s="575"/>
      <c r="BM13" s="575"/>
      <c r="BN13" s="576"/>
      <c r="BO13" s="409"/>
      <c r="BP13" s="401"/>
      <c r="BQ13" s="401"/>
      <c r="BR13" s="401"/>
      <c r="BS13" s="402"/>
    </row>
    <row r="14" spans="1:72" ht="9.75" customHeight="1" x14ac:dyDescent="0.15">
      <c r="A14" s="3">
        <v>11</v>
      </c>
      <c r="B14" s="586" t="s">
        <v>95</v>
      </c>
      <c r="C14" s="587"/>
      <c r="D14" s="587"/>
      <c r="E14" s="587"/>
      <c r="F14" s="587"/>
      <c r="G14" s="376"/>
      <c r="H14" s="377"/>
      <c r="I14" s="377"/>
      <c r="J14" s="377"/>
      <c r="K14" s="416"/>
      <c r="L14" s="567"/>
      <c r="M14" s="588" t="s">
        <v>32</v>
      </c>
      <c r="N14" s="476"/>
      <c r="O14" s="476"/>
      <c r="P14" s="476"/>
      <c r="Q14" s="476"/>
      <c r="R14" s="476"/>
      <c r="S14" s="476"/>
      <c r="T14" s="589"/>
      <c r="U14" s="52" t="s">
        <v>80</v>
      </c>
      <c r="V14" s="445"/>
      <c r="W14" s="446"/>
      <c r="X14" s="446"/>
      <c r="Y14" s="446"/>
      <c r="Z14" s="447"/>
      <c r="AA14" s="151"/>
      <c r="AB14" s="155"/>
      <c r="AC14" s="55"/>
      <c r="AD14" s="595" t="s">
        <v>96</v>
      </c>
      <c r="AE14" s="596"/>
      <c r="AF14" s="361"/>
      <c r="AG14" s="356"/>
      <c r="AH14" s="356"/>
      <c r="AI14" s="356"/>
      <c r="AJ14" s="369"/>
      <c r="AK14" s="590"/>
      <c r="AL14" s="591"/>
      <c r="AM14" s="591"/>
      <c r="AN14" s="591"/>
      <c r="AO14" s="591"/>
      <c r="AP14" s="54"/>
      <c r="AQ14" s="55"/>
      <c r="AR14" s="419" t="s">
        <v>97</v>
      </c>
      <c r="AS14" s="420"/>
      <c r="AT14" s="421"/>
      <c r="AU14" s="361"/>
      <c r="AV14" s="356"/>
      <c r="AW14" s="356"/>
      <c r="AX14" s="356"/>
      <c r="AY14" s="357"/>
      <c r="AZ14" s="152"/>
      <c r="BA14" s="8"/>
      <c r="BB14" s="57"/>
      <c r="BC14" s="597" t="s">
        <v>98</v>
      </c>
      <c r="BD14" s="598"/>
      <c r="BE14" s="376"/>
      <c r="BF14" s="377"/>
      <c r="BG14" s="377"/>
      <c r="BH14" s="377"/>
      <c r="BI14" s="416"/>
      <c r="BJ14" s="51"/>
      <c r="BK14" s="574" t="s">
        <v>99</v>
      </c>
      <c r="BL14" s="575"/>
      <c r="BM14" s="575"/>
      <c r="BN14" s="576"/>
      <c r="BO14" s="409"/>
      <c r="BP14" s="401"/>
      <c r="BQ14" s="401"/>
      <c r="BR14" s="401"/>
      <c r="BS14" s="402"/>
    </row>
    <row r="15" spans="1:72" ht="9.75" customHeight="1" x14ac:dyDescent="0.15">
      <c r="A15" s="3">
        <v>12</v>
      </c>
      <c r="B15" s="609" t="s">
        <v>100</v>
      </c>
      <c r="C15" s="610"/>
      <c r="D15" s="610"/>
      <c r="E15" s="610"/>
      <c r="F15" s="610"/>
      <c r="G15" s="457"/>
      <c r="H15" s="458"/>
      <c r="I15" s="458"/>
      <c r="J15" s="458"/>
      <c r="K15" s="459"/>
      <c r="L15" s="567"/>
      <c r="M15" s="588" t="s">
        <v>33</v>
      </c>
      <c r="N15" s="476"/>
      <c r="O15" s="476"/>
      <c r="P15" s="476"/>
      <c r="Q15" s="476"/>
      <c r="R15" s="476"/>
      <c r="S15" s="476"/>
      <c r="T15" s="589"/>
      <c r="U15" s="52" t="s">
        <v>80</v>
      </c>
      <c r="V15" s="445"/>
      <c r="W15" s="446"/>
      <c r="X15" s="446"/>
      <c r="Y15" s="446"/>
      <c r="Z15" s="447"/>
      <c r="AA15" s="151"/>
      <c r="AB15" s="155"/>
      <c r="AC15" s="58"/>
      <c r="AD15" s="419" t="s">
        <v>108</v>
      </c>
      <c r="AE15" s="421"/>
      <c r="AF15" s="361"/>
      <c r="AG15" s="356"/>
      <c r="AH15" s="356"/>
      <c r="AI15" s="356"/>
      <c r="AJ15" s="369"/>
      <c r="AK15" s="590"/>
      <c r="AL15" s="591"/>
      <c r="AM15" s="591"/>
      <c r="AN15" s="591"/>
      <c r="AO15" s="591"/>
      <c r="AP15" s="54"/>
      <c r="AQ15" s="55"/>
      <c r="AR15" s="419" t="s">
        <v>101</v>
      </c>
      <c r="AS15" s="420"/>
      <c r="AT15" s="421"/>
      <c r="AU15" s="361"/>
      <c r="AV15" s="356"/>
      <c r="AW15" s="356"/>
      <c r="AX15" s="356"/>
      <c r="AY15" s="357"/>
      <c r="AZ15" s="199"/>
      <c r="BA15" s="11"/>
      <c r="BB15" s="611" t="s">
        <v>102</v>
      </c>
      <c r="BC15" s="612"/>
      <c r="BD15" s="613"/>
      <c r="BE15" s="457"/>
      <c r="BF15" s="458"/>
      <c r="BG15" s="458"/>
      <c r="BH15" s="458"/>
      <c r="BI15" s="459"/>
      <c r="BJ15" s="59"/>
      <c r="BK15" s="601" t="s">
        <v>101</v>
      </c>
      <c r="BL15" s="602"/>
      <c r="BM15" s="602"/>
      <c r="BN15" s="603"/>
      <c r="BO15" s="410"/>
      <c r="BP15" s="411"/>
      <c r="BQ15" s="411"/>
      <c r="BR15" s="411"/>
      <c r="BS15" s="412"/>
    </row>
    <row r="16" spans="1:72" ht="9.75" customHeight="1" x14ac:dyDescent="0.15">
      <c r="A16" s="3">
        <v>13</v>
      </c>
      <c r="B16" s="577" t="s">
        <v>103</v>
      </c>
      <c r="C16" s="578"/>
      <c r="D16" s="578"/>
      <c r="E16" s="578"/>
      <c r="F16" s="578"/>
      <c r="G16" s="578"/>
      <c r="H16" s="578"/>
      <c r="I16" s="578"/>
      <c r="J16" s="578"/>
      <c r="K16" s="579"/>
      <c r="L16" s="567"/>
      <c r="M16" s="588" t="s">
        <v>34</v>
      </c>
      <c r="N16" s="476"/>
      <c r="O16" s="476"/>
      <c r="P16" s="476"/>
      <c r="Q16" s="476"/>
      <c r="R16" s="476"/>
      <c r="S16" s="476"/>
      <c r="T16" s="589"/>
      <c r="U16" s="52" t="s">
        <v>80</v>
      </c>
      <c r="V16" s="445"/>
      <c r="W16" s="446"/>
      <c r="X16" s="446"/>
      <c r="Y16" s="446"/>
      <c r="Z16" s="447"/>
      <c r="AA16" s="151"/>
      <c r="AB16" s="155"/>
      <c r="AC16" s="58"/>
      <c r="AD16" s="419" t="s">
        <v>452</v>
      </c>
      <c r="AE16" s="421"/>
      <c r="AF16" s="361"/>
      <c r="AG16" s="356"/>
      <c r="AH16" s="356"/>
      <c r="AI16" s="356"/>
      <c r="AJ16" s="369"/>
      <c r="AK16" s="590"/>
      <c r="AL16" s="591"/>
      <c r="AM16" s="591"/>
      <c r="AN16" s="591"/>
      <c r="AO16" s="591"/>
      <c r="AP16" s="54"/>
      <c r="AQ16" s="500" t="s">
        <v>104</v>
      </c>
      <c r="AR16" s="501"/>
      <c r="AS16" s="501"/>
      <c r="AT16" s="502"/>
      <c r="AU16" s="376"/>
      <c r="AV16" s="377"/>
      <c r="AW16" s="377"/>
      <c r="AX16" s="377"/>
      <c r="AY16" s="416"/>
      <c r="AZ16" s="604" t="s">
        <v>105</v>
      </c>
      <c r="BA16" s="605"/>
      <c r="BB16" s="605"/>
      <c r="BC16" s="605"/>
      <c r="BD16" s="605"/>
      <c r="BE16" s="358"/>
      <c r="BF16" s="359"/>
      <c r="BG16" s="359"/>
      <c r="BH16" s="359"/>
      <c r="BI16" s="360"/>
      <c r="BJ16" s="606" t="s">
        <v>106</v>
      </c>
      <c r="BK16" s="607"/>
      <c r="BL16" s="607"/>
      <c r="BM16" s="607"/>
      <c r="BN16" s="608"/>
      <c r="BO16" s="413"/>
      <c r="BP16" s="414"/>
      <c r="BQ16" s="414"/>
      <c r="BR16" s="414"/>
      <c r="BS16" s="415"/>
    </row>
    <row r="17" spans="1:72" ht="9.75" customHeight="1" x14ac:dyDescent="0.15">
      <c r="A17" s="3">
        <v>14</v>
      </c>
      <c r="B17" s="564" t="s">
        <v>107</v>
      </c>
      <c r="C17" s="565"/>
      <c r="D17" s="565"/>
      <c r="E17" s="565"/>
      <c r="F17" s="565"/>
      <c r="G17" s="358"/>
      <c r="H17" s="359"/>
      <c r="I17" s="359"/>
      <c r="J17" s="359"/>
      <c r="K17" s="360"/>
      <c r="L17" s="568"/>
      <c r="M17" s="633" t="s">
        <v>35</v>
      </c>
      <c r="N17" s="634"/>
      <c r="O17" s="634"/>
      <c r="P17" s="634"/>
      <c r="Q17" s="634"/>
      <c r="R17" s="634"/>
      <c r="S17" s="634"/>
      <c r="T17" s="635"/>
      <c r="U17" s="60" t="s">
        <v>80</v>
      </c>
      <c r="V17" s="454"/>
      <c r="W17" s="455"/>
      <c r="X17" s="455"/>
      <c r="Y17" s="455"/>
      <c r="Z17" s="456"/>
      <c r="AA17" s="151"/>
      <c r="AB17" s="155"/>
      <c r="AC17" s="500" t="s">
        <v>113</v>
      </c>
      <c r="AD17" s="501"/>
      <c r="AE17" s="502"/>
      <c r="AF17" s="361"/>
      <c r="AG17" s="356"/>
      <c r="AH17" s="356"/>
      <c r="AI17" s="356"/>
      <c r="AJ17" s="369"/>
      <c r="AK17" s="590"/>
      <c r="AL17" s="591"/>
      <c r="AM17" s="591"/>
      <c r="AN17" s="591"/>
      <c r="AO17" s="636"/>
      <c r="AP17" s="61"/>
      <c r="AQ17" s="62"/>
      <c r="AR17" s="419" t="s">
        <v>109</v>
      </c>
      <c r="AS17" s="420"/>
      <c r="AT17" s="421"/>
      <c r="AU17" s="361"/>
      <c r="AV17" s="356"/>
      <c r="AW17" s="356"/>
      <c r="AX17" s="356"/>
      <c r="AY17" s="357"/>
      <c r="AZ17" s="152"/>
      <c r="BA17" s="419" t="s">
        <v>77</v>
      </c>
      <c r="BB17" s="420"/>
      <c r="BC17" s="420"/>
      <c r="BD17" s="420"/>
      <c r="BE17" s="361"/>
      <c r="BF17" s="356"/>
      <c r="BG17" s="356"/>
      <c r="BH17" s="356"/>
      <c r="BI17" s="357"/>
      <c r="BJ17" s="51"/>
      <c r="BK17" s="617" t="s">
        <v>110</v>
      </c>
      <c r="BL17" s="618"/>
      <c r="BM17" s="618"/>
      <c r="BN17" s="619"/>
      <c r="BO17" s="403"/>
      <c r="BP17" s="404"/>
      <c r="BQ17" s="404"/>
      <c r="BR17" s="404"/>
      <c r="BS17" s="405"/>
    </row>
    <row r="18" spans="1:72" ht="9.75" customHeight="1" thickBot="1" x14ac:dyDescent="0.2">
      <c r="A18" s="3">
        <v>15</v>
      </c>
      <c r="B18" s="620" t="s">
        <v>111</v>
      </c>
      <c r="C18" s="587"/>
      <c r="D18" s="587"/>
      <c r="E18" s="587"/>
      <c r="F18" s="621"/>
      <c r="G18" s="376"/>
      <c r="H18" s="377"/>
      <c r="I18" s="377"/>
      <c r="J18" s="377"/>
      <c r="K18" s="416"/>
      <c r="L18" s="622" t="s">
        <v>112</v>
      </c>
      <c r="M18" s="569" t="s">
        <v>36</v>
      </c>
      <c r="N18" s="570"/>
      <c r="O18" s="570"/>
      <c r="P18" s="570"/>
      <c r="Q18" s="570"/>
      <c r="R18" s="570"/>
      <c r="S18" s="570"/>
      <c r="T18" s="571"/>
      <c r="U18" s="63" t="s">
        <v>125</v>
      </c>
      <c r="V18" s="358"/>
      <c r="W18" s="359"/>
      <c r="X18" s="359"/>
      <c r="Y18" s="359"/>
      <c r="Z18" s="360"/>
      <c r="AA18" s="151"/>
      <c r="AB18" s="155"/>
      <c r="AC18" s="55"/>
      <c r="AD18" s="419" t="s">
        <v>116</v>
      </c>
      <c r="AE18" s="421"/>
      <c r="AF18" s="361"/>
      <c r="AG18" s="356"/>
      <c r="AH18" s="356"/>
      <c r="AI18" s="356"/>
      <c r="AJ18" s="369"/>
      <c r="AK18" s="590"/>
      <c r="AL18" s="591"/>
      <c r="AM18" s="591"/>
      <c r="AN18" s="591"/>
      <c r="AO18" s="591"/>
      <c r="AP18" s="64"/>
      <c r="AQ18" s="65"/>
      <c r="AR18" s="625" t="s">
        <v>101</v>
      </c>
      <c r="AS18" s="626"/>
      <c r="AT18" s="627"/>
      <c r="AU18" s="423"/>
      <c r="AV18" s="424"/>
      <c r="AW18" s="424"/>
      <c r="AX18" s="424"/>
      <c r="AY18" s="425"/>
      <c r="AZ18" s="152"/>
      <c r="BA18" s="500" t="s">
        <v>83</v>
      </c>
      <c r="BB18" s="501"/>
      <c r="BC18" s="501"/>
      <c r="BD18" s="501"/>
      <c r="BE18" s="376"/>
      <c r="BF18" s="377"/>
      <c r="BG18" s="377"/>
      <c r="BH18" s="377"/>
      <c r="BI18" s="416"/>
      <c r="BJ18" s="66"/>
      <c r="BK18" s="67"/>
      <c r="BL18" s="628" t="s">
        <v>114</v>
      </c>
      <c r="BM18" s="629"/>
      <c r="BN18" s="630"/>
      <c r="BO18" s="388"/>
      <c r="BP18" s="401"/>
      <c r="BQ18" s="401"/>
      <c r="BR18" s="401"/>
      <c r="BS18" s="402"/>
    </row>
    <row r="19" spans="1:72" ht="9.75" customHeight="1" thickTop="1" x14ac:dyDescent="0.15">
      <c r="A19" s="3">
        <v>16</v>
      </c>
      <c r="B19" s="68"/>
      <c r="C19" s="631" t="s">
        <v>115</v>
      </c>
      <c r="D19" s="565"/>
      <c r="E19" s="565"/>
      <c r="F19" s="632"/>
      <c r="G19" s="376"/>
      <c r="H19" s="377"/>
      <c r="I19" s="377"/>
      <c r="J19" s="377"/>
      <c r="K19" s="416"/>
      <c r="L19" s="623"/>
      <c r="M19" s="588" t="s">
        <v>37</v>
      </c>
      <c r="N19" s="476"/>
      <c r="O19" s="476"/>
      <c r="P19" s="476"/>
      <c r="Q19" s="476"/>
      <c r="R19" s="476"/>
      <c r="S19" s="476"/>
      <c r="T19" s="589"/>
      <c r="U19" s="52" t="s">
        <v>75</v>
      </c>
      <c r="V19" s="445"/>
      <c r="W19" s="446"/>
      <c r="X19" s="446"/>
      <c r="Y19" s="446"/>
      <c r="Z19" s="447"/>
      <c r="AA19" s="151"/>
      <c r="AB19" s="55"/>
      <c r="AC19" s="500" t="s">
        <v>101</v>
      </c>
      <c r="AD19" s="420"/>
      <c r="AE19" s="421"/>
      <c r="AF19" s="361"/>
      <c r="AG19" s="356"/>
      <c r="AH19" s="356"/>
      <c r="AI19" s="356"/>
      <c r="AJ19" s="369"/>
      <c r="AK19" s="590"/>
      <c r="AL19" s="591"/>
      <c r="AM19" s="591"/>
      <c r="AN19" s="591"/>
      <c r="AO19" s="591"/>
      <c r="AP19" s="614" t="s">
        <v>453</v>
      </c>
      <c r="AQ19" s="615"/>
      <c r="AR19" s="615"/>
      <c r="AS19" s="615"/>
      <c r="AT19" s="616"/>
      <c r="AU19" s="426"/>
      <c r="AV19" s="427"/>
      <c r="AW19" s="427"/>
      <c r="AX19" s="427"/>
      <c r="AY19" s="428"/>
      <c r="AZ19" s="152"/>
      <c r="BA19" s="8"/>
      <c r="BB19" s="500" t="s">
        <v>88</v>
      </c>
      <c r="BC19" s="420"/>
      <c r="BD19" s="420"/>
      <c r="BE19" s="376"/>
      <c r="BF19" s="377"/>
      <c r="BG19" s="377"/>
      <c r="BH19" s="377"/>
      <c r="BI19" s="416"/>
      <c r="BJ19" s="66"/>
      <c r="BK19" s="3"/>
      <c r="BL19" s="617" t="s">
        <v>117</v>
      </c>
      <c r="BM19" s="618"/>
      <c r="BN19" s="619"/>
      <c r="BO19" s="388"/>
      <c r="BP19" s="401"/>
      <c r="BQ19" s="401"/>
      <c r="BR19" s="401"/>
      <c r="BS19" s="402"/>
    </row>
    <row r="20" spans="1:72" ht="9.75" customHeight="1" x14ac:dyDescent="0.15">
      <c r="A20" s="3">
        <v>17</v>
      </c>
      <c r="B20" s="620" t="s">
        <v>118</v>
      </c>
      <c r="C20" s="587"/>
      <c r="D20" s="587"/>
      <c r="E20" s="587"/>
      <c r="F20" s="621"/>
      <c r="G20" s="376"/>
      <c r="H20" s="377"/>
      <c r="I20" s="377"/>
      <c r="J20" s="377"/>
      <c r="K20" s="416"/>
      <c r="L20" s="623"/>
      <c r="M20" s="588" t="s">
        <v>38</v>
      </c>
      <c r="N20" s="476"/>
      <c r="O20" s="476"/>
      <c r="P20" s="476"/>
      <c r="Q20" s="476"/>
      <c r="R20" s="476"/>
      <c r="S20" s="476"/>
      <c r="T20" s="589"/>
      <c r="U20" s="52" t="s">
        <v>125</v>
      </c>
      <c r="V20" s="376"/>
      <c r="W20" s="377"/>
      <c r="X20" s="377"/>
      <c r="Y20" s="377"/>
      <c r="Z20" s="416"/>
      <c r="AA20" s="151"/>
      <c r="AB20" s="500" t="s">
        <v>126</v>
      </c>
      <c r="AC20" s="501"/>
      <c r="AD20" s="501"/>
      <c r="AE20" s="502"/>
      <c r="AF20" s="376"/>
      <c r="AG20" s="377"/>
      <c r="AH20" s="377"/>
      <c r="AI20" s="377"/>
      <c r="AJ20" s="378"/>
      <c r="AK20" s="376"/>
      <c r="AL20" s="377"/>
      <c r="AM20" s="377"/>
      <c r="AN20" s="377"/>
      <c r="AO20" s="378"/>
      <c r="AP20" s="499" t="s">
        <v>119</v>
      </c>
      <c r="AQ20" s="640"/>
      <c r="AR20" s="640"/>
      <c r="AS20" s="640"/>
      <c r="AT20" s="641"/>
      <c r="AU20" s="358"/>
      <c r="AV20" s="359"/>
      <c r="AW20" s="359"/>
      <c r="AX20" s="359"/>
      <c r="AY20" s="360"/>
      <c r="AZ20" s="152"/>
      <c r="BA20" s="8"/>
      <c r="BB20" s="55"/>
      <c r="BC20" s="599" t="s">
        <v>93</v>
      </c>
      <c r="BD20" s="600"/>
      <c r="BE20" s="361"/>
      <c r="BF20" s="356"/>
      <c r="BG20" s="356"/>
      <c r="BH20" s="356"/>
      <c r="BI20" s="357"/>
      <c r="BJ20" s="69"/>
      <c r="BK20" s="70"/>
      <c r="BL20" s="71"/>
      <c r="BM20" s="642" t="s">
        <v>120</v>
      </c>
      <c r="BN20" s="643"/>
      <c r="BO20" s="388"/>
      <c r="BP20" s="401"/>
      <c r="BQ20" s="401"/>
      <c r="BR20" s="401"/>
      <c r="BS20" s="402"/>
    </row>
    <row r="21" spans="1:72" ht="9.75" customHeight="1" x14ac:dyDescent="0.15">
      <c r="A21" s="3">
        <v>18</v>
      </c>
      <c r="B21" s="72"/>
      <c r="C21" s="637" t="s">
        <v>121</v>
      </c>
      <c r="D21" s="638"/>
      <c r="E21" s="638"/>
      <c r="F21" s="639"/>
      <c r="G21" s="457"/>
      <c r="H21" s="458"/>
      <c r="I21" s="458"/>
      <c r="J21" s="458"/>
      <c r="K21" s="459"/>
      <c r="L21" s="623"/>
      <c r="M21" s="588" t="s">
        <v>39</v>
      </c>
      <c r="N21" s="476"/>
      <c r="O21" s="476"/>
      <c r="P21" s="476"/>
      <c r="Q21" s="476"/>
      <c r="R21" s="476"/>
      <c r="S21" s="476"/>
      <c r="T21" s="589"/>
      <c r="U21" s="52" t="s">
        <v>75</v>
      </c>
      <c r="V21" s="445"/>
      <c r="W21" s="446"/>
      <c r="X21" s="446"/>
      <c r="Y21" s="446"/>
      <c r="Z21" s="447"/>
      <c r="AA21" s="151"/>
      <c r="AB21" s="55"/>
      <c r="AC21" s="500" t="s">
        <v>130</v>
      </c>
      <c r="AD21" s="501"/>
      <c r="AE21" s="502"/>
      <c r="AF21" s="376"/>
      <c r="AG21" s="377"/>
      <c r="AH21" s="377"/>
      <c r="AI21" s="377"/>
      <c r="AJ21" s="378"/>
      <c r="AK21" s="376"/>
      <c r="AL21" s="377"/>
      <c r="AM21" s="377"/>
      <c r="AN21" s="377"/>
      <c r="AO21" s="378"/>
      <c r="AP21" s="54"/>
      <c r="AQ21" s="419" t="s">
        <v>122</v>
      </c>
      <c r="AR21" s="420"/>
      <c r="AS21" s="420"/>
      <c r="AT21" s="421"/>
      <c r="AU21" s="361"/>
      <c r="AV21" s="356"/>
      <c r="AW21" s="356"/>
      <c r="AX21" s="356"/>
      <c r="AY21" s="357"/>
      <c r="AZ21" s="152"/>
      <c r="BA21" s="8"/>
      <c r="BB21" s="57"/>
      <c r="BC21" s="597" t="s">
        <v>98</v>
      </c>
      <c r="BD21" s="598"/>
      <c r="BE21" s="361"/>
      <c r="BF21" s="356"/>
      <c r="BG21" s="356"/>
      <c r="BH21" s="356"/>
      <c r="BI21" s="357"/>
      <c r="BJ21" s="66"/>
      <c r="BK21" s="3"/>
      <c r="BL21" s="628" t="s">
        <v>454</v>
      </c>
      <c r="BM21" s="629"/>
      <c r="BN21" s="630"/>
      <c r="BO21" s="388"/>
      <c r="BP21" s="401"/>
      <c r="BQ21" s="401"/>
      <c r="BR21" s="401"/>
      <c r="BS21" s="402"/>
    </row>
    <row r="22" spans="1:72" ht="9.75" customHeight="1" x14ac:dyDescent="0.15">
      <c r="A22" s="3">
        <v>19</v>
      </c>
      <c r="B22" s="577" t="s">
        <v>124</v>
      </c>
      <c r="C22" s="578"/>
      <c r="D22" s="578"/>
      <c r="E22" s="578"/>
      <c r="F22" s="578"/>
      <c r="G22" s="578"/>
      <c r="H22" s="578"/>
      <c r="I22" s="578"/>
      <c r="J22" s="578"/>
      <c r="K22" s="579"/>
      <c r="L22" s="623"/>
      <c r="M22" s="647" t="s">
        <v>40</v>
      </c>
      <c r="N22" s="648"/>
      <c r="O22" s="648"/>
      <c r="P22" s="648"/>
      <c r="Q22" s="648"/>
      <c r="R22" s="648"/>
      <c r="S22" s="648"/>
      <c r="T22" s="649"/>
      <c r="U22" s="52" t="s">
        <v>125</v>
      </c>
      <c r="V22" s="376"/>
      <c r="W22" s="377"/>
      <c r="X22" s="377"/>
      <c r="Y22" s="377"/>
      <c r="Z22" s="416"/>
      <c r="AA22" s="53"/>
      <c r="AB22" s="73"/>
      <c r="AC22" s="55"/>
      <c r="AD22" s="650" t="s">
        <v>136</v>
      </c>
      <c r="AE22" s="651"/>
      <c r="AF22" s="361"/>
      <c r="AG22" s="356"/>
      <c r="AH22" s="356"/>
      <c r="AI22" s="356"/>
      <c r="AJ22" s="369"/>
      <c r="AK22" s="361"/>
      <c r="AL22" s="356"/>
      <c r="AM22" s="356"/>
      <c r="AN22" s="356"/>
      <c r="AO22" s="369"/>
      <c r="AP22" s="54"/>
      <c r="AQ22" s="419" t="s">
        <v>127</v>
      </c>
      <c r="AR22" s="420"/>
      <c r="AS22" s="420"/>
      <c r="AT22" s="421"/>
      <c r="AU22" s="361"/>
      <c r="AV22" s="356"/>
      <c r="AW22" s="356"/>
      <c r="AX22" s="356"/>
      <c r="AY22" s="357"/>
      <c r="AZ22" s="199"/>
      <c r="BA22" s="11"/>
      <c r="BB22" s="611" t="s">
        <v>102</v>
      </c>
      <c r="BC22" s="612"/>
      <c r="BD22" s="613"/>
      <c r="BE22" s="370"/>
      <c r="BF22" s="371"/>
      <c r="BG22" s="371"/>
      <c r="BH22" s="371"/>
      <c r="BI22" s="418"/>
      <c r="BJ22" s="66"/>
      <c r="BK22" s="3"/>
      <c r="BL22" s="628" t="s">
        <v>128</v>
      </c>
      <c r="BM22" s="629"/>
      <c r="BN22" s="630"/>
      <c r="BO22" s="388"/>
      <c r="BP22" s="401"/>
      <c r="BQ22" s="401"/>
      <c r="BR22" s="401"/>
      <c r="BS22" s="402"/>
    </row>
    <row r="23" spans="1:72" ht="9.75" customHeight="1" x14ac:dyDescent="0.15">
      <c r="A23" s="3">
        <v>20</v>
      </c>
      <c r="B23" s="564" t="s">
        <v>129</v>
      </c>
      <c r="C23" s="565"/>
      <c r="D23" s="565"/>
      <c r="E23" s="565"/>
      <c r="F23" s="565"/>
      <c r="G23" s="358"/>
      <c r="H23" s="359"/>
      <c r="I23" s="359"/>
      <c r="J23" s="359"/>
      <c r="K23" s="360"/>
      <c r="L23" s="624"/>
      <c r="M23" s="644" t="s">
        <v>41</v>
      </c>
      <c r="N23" s="610"/>
      <c r="O23" s="610"/>
      <c r="P23" s="610"/>
      <c r="Q23" s="610"/>
      <c r="R23" s="610"/>
      <c r="S23" s="610"/>
      <c r="T23" s="645"/>
      <c r="U23" s="60" t="s">
        <v>80</v>
      </c>
      <c r="V23" s="457"/>
      <c r="W23" s="458"/>
      <c r="X23" s="458"/>
      <c r="Y23" s="458"/>
      <c r="Z23" s="459"/>
      <c r="AA23" s="151"/>
      <c r="AB23" s="55"/>
      <c r="AC23" s="55"/>
      <c r="AD23" s="597" t="s">
        <v>139</v>
      </c>
      <c r="AE23" s="646"/>
      <c r="AF23" s="361"/>
      <c r="AG23" s="356"/>
      <c r="AH23" s="356"/>
      <c r="AI23" s="356"/>
      <c r="AJ23" s="369"/>
      <c r="AK23" s="361"/>
      <c r="AL23" s="356"/>
      <c r="AM23" s="356"/>
      <c r="AN23" s="356"/>
      <c r="AO23" s="369"/>
      <c r="AP23" s="54"/>
      <c r="AQ23" s="419" t="s">
        <v>131</v>
      </c>
      <c r="AR23" s="420"/>
      <c r="AS23" s="420"/>
      <c r="AT23" s="421"/>
      <c r="AU23" s="361"/>
      <c r="AV23" s="356"/>
      <c r="AW23" s="356"/>
      <c r="AX23" s="356"/>
      <c r="AY23" s="357"/>
      <c r="AZ23" s="604" t="s">
        <v>132</v>
      </c>
      <c r="BA23" s="605"/>
      <c r="BB23" s="605"/>
      <c r="BC23" s="605"/>
      <c r="BD23" s="605"/>
      <c r="BE23" s="358"/>
      <c r="BF23" s="359"/>
      <c r="BG23" s="359"/>
      <c r="BH23" s="359"/>
      <c r="BI23" s="360"/>
      <c r="BJ23" s="66"/>
      <c r="BK23" s="3"/>
      <c r="BL23" s="628" t="s">
        <v>133</v>
      </c>
      <c r="BM23" s="629"/>
      <c r="BN23" s="630"/>
      <c r="BO23" s="388"/>
      <c r="BP23" s="401"/>
      <c r="BQ23" s="401"/>
      <c r="BR23" s="401"/>
      <c r="BS23" s="402"/>
    </row>
    <row r="24" spans="1:72" ht="9.75" customHeight="1" thickBot="1" x14ac:dyDescent="0.2">
      <c r="A24" s="3">
        <v>21</v>
      </c>
      <c r="B24" s="586" t="s">
        <v>72</v>
      </c>
      <c r="C24" s="587"/>
      <c r="D24" s="587"/>
      <c r="E24" s="587"/>
      <c r="F24" s="621"/>
      <c r="G24" s="376"/>
      <c r="H24" s="377"/>
      <c r="I24" s="377"/>
      <c r="J24" s="377"/>
      <c r="K24" s="416"/>
      <c r="L24" s="672" t="s">
        <v>134</v>
      </c>
      <c r="M24" s="527"/>
      <c r="N24" s="673"/>
      <c r="O24" s="674" t="s">
        <v>42</v>
      </c>
      <c r="P24" s="675"/>
      <c r="Q24" s="675"/>
      <c r="R24" s="675"/>
      <c r="S24" s="675"/>
      <c r="T24" s="676"/>
      <c r="U24" s="74" t="s">
        <v>135</v>
      </c>
      <c r="V24" s="460"/>
      <c r="W24" s="461"/>
      <c r="X24" s="461"/>
      <c r="Y24" s="461"/>
      <c r="Z24" s="462"/>
      <c r="AA24" s="75"/>
      <c r="AB24" s="73"/>
      <c r="AC24" s="55"/>
      <c r="AD24" s="419" t="s">
        <v>142</v>
      </c>
      <c r="AE24" s="421"/>
      <c r="AF24" s="361"/>
      <c r="AG24" s="356"/>
      <c r="AH24" s="356"/>
      <c r="AI24" s="356"/>
      <c r="AJ24" s="369"/>
      <c r="AK24" s="361"/>
      <c r="AL24" s="356"/>
      <c r="AM24" s="356"/>
      <c r="AN24" s="356"/>
      <c r="AO24" s="369"/>
      <c r="AP24" s="54"/>
      <c r="AQ24" s="500" t="s">
        <v>101</v>
      </c>
      <c r="AR24" s="501"/>
      <c r="AS24" s="501"/>
      <c r="AT24" s="502"/>
      <c r="AU24" s="362"/>
      <c r="AV24" s="363"/>
      <c r="AW24" s="363"/>
      <c r="AX24" s="363"/>
      <c r="AY24" s="364"/>
      <c r="AZ24" s="152"/>
      <c r="BA24" s="419" t="s">
        <v>77</v>
      </c>
      <c r="BB24" s="420"/>
      <c r="BC24" s="420"/>
      <c r="BD24" s="420"/>
      <c r="BE24" s="361"/>
      <c r="BF24" s="356"/>
      <c r="BG24" s="356"/>
      <c r="BH24" s="356"/>
      <c r="BI24" s="357"/>
      <c r="BJ24" s="66"/>
      <c r="BK24" s="76"/>
      <c r="BL24" s="628" t="s">
        <v>101</v>
      </c>
      <c r="BM24" s="629"/>
      <c r="BN24" s="630"/>
      <c r="BO24" s="388"/>
      <c r="BP24" s="401"/>
      <c r="BQ24" s="401"/>
      <c r="BR24" s="401"/>
      <c r="BS24" s="402"/>
    </row>
    <row r="25" spans="1:72" ht="9.75" customHeight="1" thickBot="1" x14ac:dyDescent="0.2">
      <c r="A25" s="3">
        <v>22</v>
      </c>
      <c r="B25" s="654" t="s">
        <v>137</v>
      </c>
      <c r="C25" s="655"/>
      <c r="D25" s="655"/>
      <c r="E25" s="655"/>
      <c r="F25" s="656"/>
      <c r="G25" s="379"/>
      <c r="H25" s="380"/>
      <c r="I25" s="380"/>
      <c r="J25" s="380"/>
      <c r="K25" s="422"/>
      <c r="L25" s="657" t="s">
        <v>138</v>
      </c>
      <c r="M25" s="658"/>
      <c r="N25" s="659"/>
      <c r="O25" s="663" t="s">
        <v>43</v>
      </c>
      <c r="P25" s="664"/>
      <c r="Q25" s="664"/>
      <c r="R25" s="664"/>
      <c r="S25" s="664"/>
      <c r="T25" s="665"/>
      <c r="U25" s="77" t="s">
        <v>75</v>
      </c>
      <c r="V25" s="442"/>
      <c r="W25" s="443"/>
      <c r="X25" s="443"/>
      <c r="Y25" s="443"/>
      <c r="Z25" s="444"/>
      <c r="AA25" s="151"/>
      <c r="AB25" s="155"/>
      <c r="AC25" s="55"/>
      <c r="AD25" s="419" t="s">
        <v>146</v>
      </c>
      <c r="AE25" s="421"/>
      <c r="AF25" s="361"/>
      <c r="AG25" s="356"/>
      <c r="AH25" s="356"/>
      <c r="AI25" s="356"/>
      <c r="AJ25" s="369"/>
      <c r="AK25" s="361"/>
      <c r="AL25" s="356"/>
      <c r="AM25" s="356"/>
      <c r="AN25" s="356"/>
      <c r="AO25" s="357"/>
      <c r="AP25" s="79"/>
      <c r="AQ25" s="80"/>
      <c r="AR25" s="80"/>
      <c r="AS25" s="80"/>
      <c r="AT25" s="80"/>
      <c r="AU25" s="80"/>
      <c r="AV25" s="80"/>
      <c r="AW25" s="80"/>
      <c r="AX25" s="80"/>
      <c r="AY25" s="81"/>
      <c r="AZ25" s="152"/>
      <c r="BA25" s="500" t="s">
        <v>83</v>
      </c>
      <c r="BB25" s="501"/>
      <c r="BC25" s="501"/>
      <c r="BD25" s="501"/>
      <c r="BE25" s="376"/>
      <c r="BF25" s="377"/>
      <c r="BG25" s="377"/>
      <c r="BH25" s="377"/>
      <c r="BI25" s="416"/>
      <c r="BJ25" s="82"/>
      <c r="BK25" s="666" t="s">
        <v>140</v>
      </c>
      <c r="BL25" s="667"/>
      <c r="BM25" s="667"/>
      <c r="BN25" s="668"/>
      <c r="BO25" s="403"/>
      <c r="BP25" s="404"/>
      <c r="BQ25" s="404"/>
      <c r="BR25" s="404"/>
      <c r="BS25" s="405"/>
    </row>
    <row r="26" spans="1:72" ht="9.75" customHeight="1" thickBot="1" x14ac:dyDescent="0.2">
      <c r="A26" s="3">
        <v>23</v>
      </c>
      <c r="B26" s="472" t="s">
        <v>141</v>
      </c>
      <c r="C26" s="473"/>
      <c r="D26" s="473"/>
      <c r="E26" s="473"/>
      <c r="F26" s="473"/>
      <c r="G26" s="473"/>
      <c r="H26" s="473"/>
      <c r="I26" s="473"/>
      <c r="J26" s="473"/>
      <c r="K26" s="474"/>
      <c r="L26" s="660"/>
      <c r="M26" s="661"/>
      <c r="N26" s="662"/>
      <c r="O26" s="669" t="s">
        <v>44</v>
      </c>
      <c r="P26" s="670"/>
      <c r="Q26" s="670"/>
      <c r="R26" s="670"/>
      <c r="S26" s="670"/>
      <c r="T26" s="671"/>
      <c r="U26" s="83" t="s">
        <v>80</v>
      </c>
      <c r="V26" s="463"/>
      <c r="W26" s="464"/>
      <c r="X26" s="464"/>
      <c r="Y26" s="464"/>
      <c r="Z26" s="465"/>
      <c r="AB26" s="155"/>
      <c r="AC26" s="78"/>
      <c r="AD26" s="419" t="s">
        <v>455</v>
      </c>
      <c r="AE26" s="421"/>
      <c r="AF26" s="361"/>
      <c r="AG26" s="356"/>
      <c r="AH26" s="356"/>
      <c r="AI26" s="356"/>
      <c r="AJ26" s="369"/>
      <c r="AK26" s="361"/>
      <c r="AL26" s="356"/>
      <c r="AM26" s="356"/>
      <c r="AN26" s="356"/>
      <c r="AO26" s="357"/>
      <c r="AP26" s="53"/>
      <c r="AQ26" s="3"/>
      <c r="AR26" s="3"/>
      <c r="AS26" s="3"/>
      <c r="AT26" s="3"/>
      <c r="AY26" s="84"/>
      <c r="AZ26" s="152"/>
      <c r="BA26" s="8"/>
      <c r="BB26" s="500" t="s">
        <v>88</v>
      </c>
      <c r="BC26" s="420"/>
      <c r="BD26" s="420"/>
      <c r="BE26" s="376"/>
      <c r="BF26" s="377"/>
      <c r="BG26" s="377"/>
      <c r="BH26" s="377"/>
      <c r="BI26" s="416"/>
      <c r="BJ26" s="82"/>
      <c r="BK26" s="85"/>
      <c r="BL26" s="628" t="s">
        <v>143</v>
      </c>
      <c r="BM26" s="629"/>
      <c r="BN26" s="630"/>
      <c r="BO26" s="388"/>
      <c r="BP26" s="401"/>
      <c r="BQ26" s="401"/>
      <c r="BR26" s="401"/>
      <c r="BS26" s="402"/>
    </row>
    <row r="27" spans="1:72" ht="9.75" customHeight="1" x14ac:dyDescent="0.15">
      <c r="A27" s="3">
        <v>24</v>
      </c>
      <c r="B27" s="564" t="s">
        <v>144</v>
      </c>
      <c r="C27" s="565"/>
      <c r="D27" s="565"/>
      <c r="E27" s="565"/>
      <c r="F27" s="565"/>
      <c r="G27" s="358"/>
      <c r="H27" s="359"/>
      <c r="I27" s="359"/>
      <c r="J27" s="359"/>
      <c r="K27" s="360"/>
      <c r="L27" s="652" t="s">
        <v>145</v>
      </c>
      <c r="M27" s="652"/>
      <c r="N27" s="652"/>
      <c r="O27" s="652"/>
      <c r="P27" s="652"/>
      <c r="Q27" s="652"/>
      <c r="R27" s="652"/>
      <c r="S27" s="652"/>
      <c r="T27" s="652"/>
      <c r="U27" s="652"/>
      <c r="V27" s="652"/>
      <c r="W27" s="652"/>
      <c r="X27" s="652"/>
      <c r="Y27" s="652"/>
      <c r="Z27" s="653"/>
      <c r="AA27" s="151"/>
      <c r="AB27" s="155"/>
      <c r="AC27" s="500" t="s">
        <v>149</v>
      </c>
      <c r="AD27" s="501"/>
      <c r="AE27" s="502"/>
      <c r="AF27" s="361"/>
      <c r="AG27" s="356"/>
      <c r="AH27" s="356"/>
      <c r="AI27" s="356"/>
      <c r="AJ27" s="369"/>
      <c r="AK27" s="361"/>
      <c r="AL27" s="356"/>
      <c r="AM27" s="356"/>
      <c r="AN27" s="356"/>
      <c r="AO27" s="357"/>
      <c r="AP27" s="53"/>
      <c r="AQ27" s="3"/>
      <c r="AR27" s="3"/>
      <c r="AS27" s="3"/>
      <c r="AT27" s="3"/>
      <c r="AY27" s="84"/>
      <c r="AZ27" s="152"/>
      <c r="BA27" s="8"/>
      <c r="BB27" s="55"/>
      <c r="BC27" s="599" t="s">
        <v>93</v>
      </c>
      <c r="BD27" s="600"/>
      <c r="BE27" s="361"/>
      <c r="BF27" s="356"/>
      <c r="BG27" s="356"/>
      <c r="BH27" s="356"/>
      <c r="BI27" s="357"/>
      <c r="BJ27" s="82"/>
      <c r="BK27" s="85"/>
      <c r="BL27" s="628" t="s">
        <v>133</v>
      </c>
      <c r="BM27" s="629"/>
      <c r="BN27" s="630"/>
      <c r="BO27" s="406"/>
      <c r="BP27" s="407"/>
      <c r="BQ27" s="407"/>
      <c r="BR27" s="407"/>
      <c r="BS27" s="408"/>
    </row>
    <row r="28" spans="1:72" ht="9.75" customHeight="1" thickBot="1" x14ac:dyDescent="0.2">
      <c r="A28" s="3">
        <v>25</v>
      </c>
      <c r="B28" s="586" t="s">
        <v>147</v>
      </c>
      <c r="C28" s="587"/>
      <c r="D28" s="587"/>
      <c r="E28" s="587"/>
      <c r="F28" s="587"/>
      <c r="G28" s="376"/>
      <c r="H28" s="377"/>
      <c r="I28" s="377"/>
      <c r="J28" s="377"/>
      <c r="K28" s="416"/>
      <c r="L28" s="677" t="s">
        <v>148</v>
      </c>
      <c r="M28" s="679" t="s">
        <v>45</v>
      </c>
      <c r="N28" s="664"/>
      <c r="O28" s="664"/>
      <c r="P28" s="664"/>
      <c r="Q28" s="664"/>
      <c r="R28" s="664"/>
      <c r="S28" s="664"/>
      <c r="T28" s="665"/>
      <c r="U28" s="50" t="s">
        <v>75</v>
      </c>
      <c r="V28" s="442"/>
      <c r="W28" s="443"/>
      <c r="X28" s="443"/>
      <c r="Y28" s="443"/>
      <c r="Z28" s="444"/>
      <c r="AA28" s="151"/>
      <c r="AB28" s="155"/>
      <c r="AC28" s="419" t="s">
        <v>151</v>
      </c>
      <c r="AD28" s="420"/>
      <c r="AE28" s="421"/>
      <c r="AF28" s="361"/>
      <c r="AG28" s="356"/>
      <c r="AH28" s="356"/>
      <c r="AI28" s="356"/>
      <c r="AJ28" s="369"/>
      <c r="AK28" s="361"/>
      <c r="AL28" s="356"/>
      <c r="AM28" s="356"/>
      <c r="AN28" s="356"/>
      <c r="AO28" s="357"/>
      <c r="AP28" s="151"/>
      <c r="AQ28" s="156"/>
      <c r="AR28" s="156"/>
      <c r="AS28" s="156"/>
      <c r="AT28" s="156"/>
      <c r="AU28" s="86"/>
      <c r="AV28" s="86"/>
      <c r="AW28" s="86"/>
      <c r="AX28" s="86"/>
      <c r="AY28" s="87"/>
      <c r="AZ28" s="152"/>
      <c r="BA28" s="8"/>
      <c r="BB28" s="57"/>
      <c r="BC28" s="597" t="s">
        <v>98</v>
      </c>
      <c r="BD28" s="598"/>
      <c r="BE28" s="361"/>
      <c r="BF28" s="356"/>
      <c r="BG28" s="356"/>
      <c r="BH28" s="356"/>
      <c r="BI28" s="357"/>
      <c r="BJ28" s="88"/>
      <c r="BK28" s="89"/>
      <c r="BL28" s="680" t="s">
        <v>101</v>
      </c>
      <c r="BM28" s="681"/>
      <c r="BN28" s="682"/>
      <c r="BO28" s="382"/>
      <c r="BP28" s="383"/>
      <c r="BQ28" s="383"/>
      <c r="BR28" s="383"/>
      <c r="BS28" s="384"/>
    </row>
    <row r="29" spans="1:72" ht="9.75" customHeight="1" thickBot="1" x14ac:dyDescent="0.2">
      <c r="A29" s="3">
        <v>26</v>
      </c>
      <c r="B29" s="683" t="s">
        <v>150</v>
      </c>
      <c r="C29" s="684"/>
      <c r="D29" s="684"/>
      <c r="E29" s="684"/>
      <c r="F29" s="684"/>
      <c r="G29" s="379"/>
      <c r="H29" s="380"/>
      <c r="I29" s="380"/>
      <c r="J29" s="380"/>
      <c r="K29" s="422"/>
      <c r="L29" s="678"/>
      <c r="M29" s="685" t="s">
        <v>46</v>
      </c>
      <c r="N29" s="610"/>
      <c r="O29" s="610"/>
      <c r="P29" s="610"/>
      <c r="Q29" s="610"/>
      <c r="R29" s="610"/>
      <c r="S29" s="610"/>
      <c r="T29" s="645"/>
      <c r="U29" s="60" t="s">
        <v>80</v>
      </c>
      <c r="V29" s="454"/>
      <c r="W29" s="455"/>
      <c r="X29" s="455"/>
      <c r="Y29" s="455"/>
      <c r="Z29" s="456"/>
      <c r="AA29" s="90"/>
      <c r="AB29" s="686" t="s">
        <v>157</v>
      </c>
      <c r="AC29" s="687"/>
      <c r="AD29" s="687"/>
      <c r="AE29" s="688"/>
      <c r="AF29" s="362"/>
      <c r="AG29" s="363"/>
      <c r="AH29" s="363"/>
      <c r="AI29" s="363"/>
      <c r="AJ29" s="417"/>
      <c r="AK29" s="689"/>
      <c r="AL29" s="690"/>
      <c r="AM29" s="690"/>
      <c r="AN29" s="690"/>
      <c r="AO29" s="690"/>
      <c r="AP29" s="151"/>
      <c r="AQ29" s="156"/>
      <c r="AR29" s="156"/>
      <c r="AS29" s="156"/>
      <c r="AT29" s="156"/>
      <c r="AU29" s="91"/>
      <c r="AV29" s="91"/>
      <c r="AW29" s="91"/>
      <c r="AX29" s="91"/>
      <c r="AY29" s="92"/>
      <c r="AZ29" s="93"/>
      <c r="BA29" s="12"/>
      <c r="BB29" s="686" t="s">
        <v>102</v>
      </c>
      <c r="BC29" s="687"/>
      <c r="BD29" s="687"/>
      <c r="BE29" s="362"/>
      <c r="BF29" s="363"/>
      <c r="BG29" s="363"/>
      <c r="BH29" s="363"/>
      <c r="BI29" s="364"/>
      <c r="BJ29" s="94"/>
      <c r="BK29" s="94"/>
      <c r="BL29" s="94"/>
      <c r="BM29" s="94"/>
      <c r="BN29" s="94"/>
      <c r="BO29" s="94"/>
      <c r="BP29" s="94"/>
      <c r="BQ29" s="94"/>
      <c r="BR29" s="94"/>
      <c r="BS29" s="95"/>
    </row>
    <row r="30" spans="1:72" ht="9.75" customHeight="1" x14ac:dyDescent="0.15">
      <c r="A30" s="3">
        <v>27</v>
      </c>
      <c r="B30" s="472" t="s">
        <v>155</v>
      </c>
      <c r="C30" s="473"/>
      <c r="D30" s="473"/>
      <c r="E30" s="473"/>
      <c r="F30" s="473"/>
      <c r="G30" s="473"/>
      <c r="H30" s="473"/>
      <c r="I30" s="473"/>
      <c r="J30" s="473"/>
      <c r="K30" s="474"/>
      <c r="L30" s="691" t="s">
        <v>156</v>
      </c>
      <c r="M30" s="679" t="s">
        <v>36</v>
      </c>
      <c r="N30" s="664"/>
      <c r="O30" s="664"/>
      <c r="P30" s="664"/>
      <c r="Q30" s="664"/>
      <c r="R30" s="664"/>
      <c r="S30" s="664"/>
      <c r="T30" s="665"/>
      <c r="U30" s="77" t="s">
        <v>125</v>
      </c>
      <c r="V30" s="358"/>
      <c r="W30" s="359"/>
      <c r="X30" s="359"/>
      <c r="Y30" s="359"/>
      <c r="Z30" s="360"/>
      <c r="AA30" s="96"/>
      <c r="AP30" s="156"/>
      <c r="AQ30" s="156"/>
      <c r="AR30" s="156"/>
      <c r="AS30" s="156"/>
      <c r="AT30" s="156"/>
      <c r="AU30" s="91"/>
      <c r="AV30" s="91"/>
      <c r="AW30" s="91"/>
      <c r="AX30" s="91"/>
      <c r="AY30" s="92"/>
      <c r="AZ30" s="693" t="s">
        <v>456</v>
      </c>
      <c r="BA30" s="694"/>
      <c r="BB30" s="694"/>
      <c r="BC30" s="694"/>
      <c r="BD30" s="694"/>
      <c r="BE30" s="694"/>
      <c r="BF30" s="694"/>
      <c r="BG30" s="694"/>
      <c r="BH30" s="694"/>
      <c r="BI30" s="694"/>
      <c r="BJ30" s="694"/>
      <c r="BK30" s="694"/>
      <c r="BL30" s="694"/>
      <c r="BM30" s="694"/>
      <c r="BN30" s="694"/>
      <c r="BO30" s="694"/>
      <c r="BP30" s="694"/>
      <c r="BQ30" s="694"/>
      <c r="BR30" s="694"/>
      <c r="BS30" s="695"/>
    </row>
    <row r="31" spans="1:72" ht="9.75" customHeight="1" thickBot="1" x14ac:dyDescent="0.2">
      <c r="A31" s="3">
        <v>28</v>
      </c>
      <c r="B31" s="564" t="s">
        <v>159</v>
      </c>
      <c r="C31" s="565"/>
      <c r="D31" s="565"/>
      <c r="E31" s="565"/>
      <c r="F31" s="565"/>
      <c r="G31" s="358"/>
      <c r="H31" s="359"/>
      <c r="I31" s="359"/>
      <c r="J31" s="359"/>
      <c r="K31" s="360"/>
      <c r="L31" s="691"/>
      <c r="M31" s="696" t="s">
        <v>47</v>
      </c>
      <c r="N31" s="587"/>
      <c r="O31" s="587"/>
      <c r="P31" s="587"/>
      <c r="Q31" s="587"/>
      <c r="R31" s="587"/>
      <c r="S31" s="587"/>
      <c r="T31" s="621"/>
      <c r="U31" s="52" t="s">
        <v>75</v>
      </c>
      <c r="V31" s="445"/>
      <c r="W31" s="446"/>
      <c r="X31" s="446"/>
      <c r="Y31" s="446"/>
      <c r="Z31" s="447"/>
      <c r="AA31" s="97"/>
      <c r="AB31" s="98"/>
      <c r="AC31" s="98"/>
      <c r="AD31" s="98"/>
      <c r="AE31" s="98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8"/>
      <c r="AQ31" s="98"/>
      <c r="AR31" s="98"/>
      <c r="AS31" s="98"/>
      <c r="AT31" s="98"/>
      <c r="AU31" s="100"/>
      <c r="AV31" s="100"/>
      <c r="AW31" s="100"/>
      <c r="AX31" s="100"/>
      <c r="AY31" s="101"/>
      <c r="AZ31" s="697" t="s">
        <v>152</v>
      </c>
      <c r="BA31" s="698"/>
      <c r="BB31" s="701" t="s">
        <v>153</v>
      </c>
      <c r="BC31" s="702"/>
      <c r="BD31" s="102" t="s">
        <v>154</v>
      </c>
      <c r="BE31" s="385"/>
      <c r="BF31" s="386"/>
      <c r="BG31" s="386"/>
      <c r="BH31" s="386"/>
      <c r="BI31" s="387"/>
      <c r="BJ31" s="703" t="s">
        <v>172</v>
      </c>
      <c r="BK31" s="698"/>
      <c r="BL31" s="701" t="s">
        <v>165</v>
      </c>
      <c r="BM31" s="702"/>
      <c r="BN31" s="102" t="s">
        <v>154</v>
      </c>
      <c r="BO31" s="385"/>
      <c r="BP31" s="386"/>
      <c r="BQ31" s="386"/>
      <c r="BR31" s="386"/>
      <c r="BS31" s="397"/>
      <c r="BT31" s="96"/>
    </row>
    <row r="32" spans="1:72" ht="9.75" customHeight="1" x14ac:dyDescent="0.15">
      <c r="A32" s="3">
        <v>29</v>
      </c>
      <c r="B32" s="586" t="s">
        <v>162</v>
      </c>
      <c r="C32" s="587"/>
      <c r="D32" s="587"/>
      <c r="E32" s="587"/>
      <c r="F32" s="587"/>
      <c r="G32" s="376"/>
      <c r="H32" s="377"/>
      <c r="I32" s="377"/>
      <c r="J32" s="377"/>
      <c r="K32" s="416"/>
      <c r="L32" s="691"/>
      <c r="M32" s="705" t="s">
        <v>163</v>
      </c>
      <c r="N32" s="706"/>
      <c r="O32" s="706"/>
      <c r="P32" s="706"/>
      <c r="Q32" s="711" t="s">
        <v>36</v>
      </c>
      <c r="R32" s="587"/>
      <c r="S32" s="587"/>
      <c r="T32" s="621"/>
      <c r="U32" s="52" t="s">
        <v>125</v>
      </c>
      <c r="V32" s="376"/>
      <c r="W32" s="377"/>
      <c r="X32" s="377"/>
      <c r="Y32" s="377"/>
      <c r="Z32" s="416"/>
      <c r="AA32" s="546" t="s">
        <v>160</v>
      </c>
      <c r="AB32" s="547"/>
      <c r="AC32" s="547"/>
      <c r="AD32" s="547"/>
      <c r="AE32" s="547"/>
      <c r="AF32" s="547"/>
      <c r="AG32" s="547"/>
      <c r="AH32" s="547"/>
      <c r="AI32" s="547"/>
      <c r="AJ32" s="547"/>
      <c r="AK32" s="547"/>
      <c r="AL32" s="547"/>
      <c r="AM32" s="547"/>
      <c r="AN32" s="547"/>
      <c r="AO32" s="547"/>
      <c r="AP32" s="547"/>
      <c r="AQ32" s="547"/>
      <c r="AR32" s="547"/>
      <c r="AS32" s="547"/>
      <c r="AT32" s="547"/>
      <c r="AU32" s="547"/>
      <c r="AV32" s="547"/>
      <c r="AW32" s="547"/>
      <c r="AX32" s="547"/>
      <c r="AY32" s="548"/>
      <c r="AZ32" s="697"/>
      <c r="BA32" s="698"/>
      <c r="BB32" s="712" t="s">
        <v>158</v>
      </c>
      <c r="BC32" s="713"/>
      <c r="BD32" s="103"/>
      <c r="BE32" s="388"/>
      <c r="BF32" s="389"/>
      <c r="BG32" s="389"/>
      <c r="BH32" s="389"/>
      <c r="BI32" s="390"/>
      <c r="BJ32" s="704"/>
      <c r="BK32" s="700"/>
      <c r="BL32" s="714" t="s">
        <v>175</v>
      </c>
      <c r="BM32" s="715"/>
      <c r="BN32" s="104" t="s">
        <v>171</v>
      </c>
      <c r="BO32" s="391"/>
      <c r="BP32" s="398"/>
      <c r="BQ32" s="398"/>
      <c r="BR32" s="398"/>
      <c r="BS32" s="399"/>
      <c r="BT32" s="96"/>
    </row>
    <row r="33" spans="1:72" ht="9.75" customHeight="1" thickBot="1" x14ac:dyDescent="0.2">
      <c r="A33" s="3">
        <v>30</v>
      </c>
      <c r="B33" s="716" t="s">
        <v>166</v>
      </c>
      <c r="C33" s="670"/>
      <c r="D33" s="670"/>
      <c r="E33" s="670"/>
      <c r="F33" s="670"/>
      <c r="G33" s="379"/>
      <c r="H33" s="380"/>
      <c r="I33" s="380"/>
      <c r="J33" s="380"/>
      <c r="K33" s="422"/>
      <c r="L33" s="691"/>
      <c r="M33" s="707"/>
      <c r="N33" s="708"/>
      <c r="O33" s="708"/>
      <c r="P33" s="708"/>
      <c r="Q33" s="711" t="s">
        <v>167</v>
      </c>
      <c r="R33" s="587"/>
      <c r="S33" s="587"/>
      <c r="T33" s="621"/>
      <c r="U33" s="52" t="s">
        <v>80</v>
      </c>
      <c r="V33" s="376"/>
      <c r="W33" s="377"/>
      <c r="X33" s="377"/>
      <c r="Y33" s="377"/>
      <c r="Z33" s="416"/>
      <c r="AA33" s="580" t="s">
        <v>68</v>
      </c>
      <c r="AB33" s="581"/>
      <c r="AC33" s="581"/>
      <c r="AD33" s="581"/>
      <c r="AE33" s="582"/>
      <c r="AF33" s="722" t="s">
        <v>71</v>
      </c>
      <c r="AG33" s="723"/>
      <c r="AH33" s="723"/>
      <c r="AI33" s="723"/>
      <c r="AJ33" s="723"/>
      <c r="AK33" s="3"/>
      <c r="AL33" s="3"/>
      <c r="AM33" s="3"/>
      <c r="AN33" s="3"/>
      <c r="AO33" s="3"/>
      <c r="AP33" s="3"/>
      <c r="AQ33" s="3"/>
      <c r="AR33" s="13"/>
      <c r="AS33" s="13"/>
      <c r="AT33" s="13"/>
      <c r="AU33" s="3"/>
      <c r="AV33" s="3"/>
      <c r="AW33" s="3"/>
      <c r="AX33" s="3"/>
      <c r="AY33" s="105"/>
      <c r="AZ33" s="699"/>
      <c r="BA33" s="700"/>
      <c r="BB33" s="726" t="s">
        <v>161</v>
      </c>
      <c r="BC33" s="727"/>
      <c r="BD33" s="106"/>
      <c r="BE33" s="391"/>
      <c r="BF33" s="392"/>
      <c r="BG33" s="392"/>
      <c r="BH33" s="392"/>
      <c r="BI33" s="393"/>
      <c r="BJ33" s="728" t="s">
        <v>178</v>
      </c>
      <c r="BK33" s="729"/>
      <c r="BL33" s="718" t="s">
        <v>179</v>
      </c>
      <c r="BM33" s="719"/>
      <c r="BN33" s="107" t="s">
        <v>154</v>
      </c>
      <c r="BO33" s="394"/>
      <c r="BP33" s="395"/>
      <c r="BQ33" s="395"/>
      <c r="BR33" s="395"/>
      <c r="BS33" s="400"/>
      <c r="BT33" s="53"/>
    </row>
    <row r="34" spans="1:72" ht="9.75" customHeight="1" thickBot="1" x14ac:dyDescent="0.2">
      <c r="A34" s="3">
        <v>31</v>
      </c>
      <c r="B34" s="472" t="s">
        <v>518</v>
      </c>
      <c r="C34" s="473"/>
      <c r="D34" s="473"/>
      <c r="E34" s="473"/>
      <c r="F34" s="473"/>
      <c r="G34" s="473"/>
      <c r="H34" s="473"/>
      <c r="I34" s="473"/>
      <c r="J34" s="473"/>
      <c r="K34" s="474"/>
      <c r="L34" s="691"/>
      <c r="M34" s="707"/>
      <c r="N34" s="708"/>
      <c r="O34" s="708"/>
      <c r="P34" s="708"/>
      <c r="Q34" s="711" t="s">
        <v>118</v>
      </c>
      <c r="R34" s="587"/>
      <c r="S34" s="587"/>
      <c r="T34" s="621"/>
      <c r="U34" s="52" t="s">
        <v>80</v>
      </c>
      <c r="V34" s="376"/>
      <c r="W34" s="377"/>
      <c r="X34" s="377"/>
      <c r="Y34" s="377"/>
      <c r="Z34" s="416"/>
      <c r="AA34" s="580"/>
      <c r="AB34" s="581"/>
      <c r="AC34" s="581"/>
      <c r="AD34" s="581"/>
      <c r="AE34" s="582"/>
      <c r="AF34" s="722"/>
      <c r="AG34" s="723"/>
      <c r="AH34" s="723"/>
      <c r="AI34" s="723"/>
      <c r="AJ34" s="723"/>
      <c r="AK34" s="583" t="s">
        <v>76</v>
      </c>
      <c r="AL34" s="489"/>
      <c r="AM34" s="489"/>
      <c r="AN34" s="489"/>
      <c r="AO34" s="490"/>
      <c r="AP34" s="732" t="s">
        <v>168</v>
      </c>
      <c r="AQ34" s="733"/>
      <c r="AR34" s="733"/>
      <c r="AS34" s="733"/>
      <c r="AT34" s="734"/>
      <c r="AU34" s="583" t="s">
        <v>169</v>
      </c>
      <c r="AV34" s="489"/>
      <c r="AW34" s="489"/>
      <c r="AX34" s="489"/>
      <c r="AY34" s="736"/>
      <c r="AZ34" s="738" t="s">
        <v>164</v>
      </c>
      <c r="BA34" s="739"/>
      <c r="BB34" s="718" t="s">
        <v>165</v>
      </c>
      <c r="BC34" s="719"/>
      <c r="BD34" s="107" t="s">
        <v>154</v>
      </c>
      <c r="BE34" s="394"/>
      <c r="BF34" s="395"/>
      <c r="BG34" s="395"/>
      <c r="BH34" s="395"/>
      <c r="BI34" s="396"/>
      <c r="BJ34" s="730"/>
      <c r="BK34" s="731"/>
      <c r="BL34" s="720" t="s">
        <v>183</v>
      </c>
      <c r="BM34" s="721"/>
      <c r="BN34" s="108" t="s">
        <v>171</v>
      </c>
      <c r="BO34" s="382"/>
      <c r="BP34" s="383"/>
      <c r="BQ34" s="383"/>
      <c r="BR34" s="383"/>
      <c r="BS34" s="384"/>
    </row>
    <row r="35" spans="1:72" ht="9.75" customHeight="1" thickBot="1" x14ac:dyDescent="0.2">
      <c r="A35" s="3">
        <v>32</v>
      </c>
      <c r="B35" s="564" t="s">
        <v>517</v>
      </c>
      <c r="C35" s="565"/>
      <c r="D35" s="565"/>
      <c r="E35" s="565"/>
      <c r="F35" s="565"/>
      <c r="G35" s="466"/>
      <c r="H35" s="467"/>
      <c r="I35" s="467"/>
      <c r="J35" s="467"/>
      <c r="K35" s="468"/>
      <c r="L35" s="691"/>
      <c r="M35" s="709"/>
      <c r="N35" s="710"/>
      <c r="O35" s="710"/>
      <c r="P35" s="710"/>
      <c r="Q35" s="711" t="s">
        <v>107</v>
      </c>
      <c r="R35" s="587"/>
      <c r="S35" s="587"/>
      <c r="T35" s="621"/>
      <c r="U35" s="52" t="s">
        <v>80</v>
      </c>
      <c r="V35" s="376"/>
      <c r="W35" s="377"/>
      <c r="X35" s="377"/>
      <c r="Y35" s="377"/>
      <c r="Z35" s="416"/>
      <c r="AA35" s="717"/>
      <c r="AB35" s="553"/>
      <c r="AC35" s="553"/>
      <c r="AD35" s="553"/>
      <c r="AE35" s="554"/>
      <c r="AF35" s="724"/>
      <c r="AG35" s="725"/>
      <c r="AH35" s="725"/>
      <c r="AI35" s="725"/>
      <c r="AJ35" s="725"/>
      <c r="AK35" s="552"/>
      <c r="AL35" s="553"/>
      <c r="AM35" s="553"/>
      <c r="AN35" s="553"/>
      <c r="AO35" s="554"/>
      <c r="AP35" s="724"/>
      <c r="AQ35" s="725"/>
      <c r="AR35" s="725"/>
      <c r="AS35" s="725"/>
      <c r="AT35" s="735"/>
      <c r="AU35" s="552"/>
      <c r="AV35" s="553"/>
      <c r="AW35" s="553"/>
      <c r="AX35" s="553"/>
      <c r="AY35" s="737"/>
      <c r="AZ35" s="740"/>
      <c r="BA35" s="741"/>
      <c r="BB35" s="714" t="s">
        <v>170</v>
      </c>
      <c r="BC35" s="715"/>
      <c r="BD35" s="104" t="s">
        <v>171</v>
      </c>
      <c r="BE35" s="382"/>
      <c r="BF35" s="383"/>
      <c r="BG35" s="383"/>
      <c r="BH35" s="383"/>
      <c r="BI35" s="384"/>
      <c r="BJ35" s="109"/>
      <c r="BK35" s="109"/>
      <c r="BL35" s="109"/>
      <c r="BM35" s="109"/>
      <c r="BN35" s="109"/>
      <c r="BO35" s="109"/>
      <c r="BP35" s="109"/>
      <c r="BQ35" s="109"/>
      <c r="BR35" s="109"/>
      <c r="BS35" s="110"/>
    </row>
    <row r="36" spans="1:72" ht="9.75" customHeight="1" x14ac:dyDescent="0.15">
      <c r="A36" s="3">
        <v>33</v>
      </c>
      <c r="B36" s="472" t="s">
        <v>176</v>
      </c>
      <c r="C36" s="473"/>
      <c r="D36" s="473"/>
      <c r="E36" s="473"/>
      <c r="F36" s="473"/>
      <c r="G36" s="473"/>
      <c r="H36" s="473"/>
      <c r="I36" s="473"/>
      <c r="J36" s="473"/>
      <c r="K36" s="474"/>
      <c r="L36" s="691"/>
      <c r="M36" s="705" t="s">
        <v>513</v>
      </c>
      <c r="N36" s="706"/>
      <c r="O36" s="706"/>
      <c r="P36" s="706"/>
      <c r="Q36" s="711" t="s">
        <v>167</v>
      </c>
      <c r="R36" s="587"/>
      <c r="S36" s="587"/>
      <c r="T36" s="621"/>
      <c r="U36" s="52" t="s">
        <v>80</v>
      </c>
      <c r="V36" s="376"/>
      <c r="W36" s="377"/>
      <c r="X36" s="377"/>
      <c r="Y36" s="377"/>
      <c r="Z36" s="416"/>
      <c r="AA36" s="749" t="s">
        <v>173</v>
      </c>
      <c r="AB36" s="750"/>
      <c r="AC36" s="750"/>
      <c r="AD36" s="750"/>
      <c r="AE36" s="750"/>
      <c r="AF36" s="373"/>
      <c r="AG36" s="374"/>
      <c r="AH36" s="374"/>
      <c r="AI36" s="374"/>
      <c r="AJ36" s="753"/>
      <c r="AK36" s="358"/>
      <c r="AL36" s="359"/>
      <c r="AM36" s="359"/>
      <c r="AN36" s="359"/>
      <c r="AO36" s="368"/>
      <c r="AP36" s="358"/>
      <c r="AQ36" s="359"/>
      <c r="AR36" s="359"/>
      <c r="AS36" s="359"/>
      <c r="AT36" s="368"/>
      <c r="AU36" s="358"/>
      <c r="AV36" s="359"/>
      <c r="AW36" s="359"/>
      <c r="AX36" s="359"/>
      <c r="AY36" s="360"/>
      <c r="AZ36" s="546" t="s">
        <v>186</v>
      </c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8"/>
    </row>
    <row r="37" spans="1:72" ht="9.75" customHeight="1" x14ac:dyDescent="0.15">
      <c r="A37" s="3">
        <v>34</v>
      </c>
      <c r="B37" s="742" t="s">
        <v>180</v>
      </c>
      <c r="C37" s="743"/>
      <c r="D37" s="743"/>
      <c r="E37" s="743"/>
      <c r="F37" s="744"/>
      <c r="G37" s="745" t="s">
        <v>181</v>
      </c>
      <c r="H37" s="743"/>
      <c r="I37" s="743"/>
      <c r="J37" s="743"/>
      <c r="K37" s="746"/>
      <c r="L37" s="691"/>
      <c r="M37" s="707"/>
      <c r="N37" s="708"/>
      <c r="O37" s="708"/>
      <c r="P37" s="708"/>
      <c r="Q37" s="711" t="s">
        <v>118</v>
      </c>
      <c r="R37" s="587"/>
      <c r="S37" s="587"/>
      <c r="T37" s="621"/>
      <c r="U37" s="52" t="s">
        <v>80</v>
      </c>
      <c r="V37" s="376"/>
      <c r="W37" s="377"/>
      <c r="X37" s="377"/>
      <c r="Y37" s="377"/>
      <c r="Z37" s="416"/>
      <c r="AA37" s="604" t="s">
        <v>79</v>
      </c>
      <c r="AB37" s="605"/>
      <c r="AC37" s="605"/>
      <c r="AD37" s="605"/>
      <c r="AE37" s="605"/>
      <c r="AF37" s="376"/>
      <c r="AG37" s="377"/>
      <c r="AH37" s="377"/>
      <c r="AI37" s="377"/>
      <c r="AJ37" s="378"/>
      <c r="AK37" s="376"/>
      <c r="AL37" s="377"/>
      <c r="AM37" s="377"/>
      <c r="AN37" s="377"/>
      <c r="AO37" s="378"/>
      <c r="AP37" s="376"/>
      <c r="AQ37" s="377"/>
      <c r="AR37" s="377"/>
      <c r="AS37" s="377"/>
      <c r="AT37" s="378"/>
      <c r="AU37" s="376"/>
      <c r="AV37" s="377"/>
      <c r="AW37" s="377"/>
      <c r="AX37" s="377"/>
      <c r="AY37" s="416"/>
      <c r="AZ37" s="580" t="s">
        <v>189</v>
      </c>
      <c r="BA37" s="581"/>
      <c r="BB37" s="581"/>
      <c r="BC37" s="581"/>
      <c r="BD37" s="582"/>
      <c r="BE37" s="583" t="s">
        <v>71</v>
      </c>
      <c r="BF37" s="489"/>
      <c r="BG37" s="489"/>
      <c r="BH37" s="489"/>
      <c r="BI37" s="489"/>
      <c r="BJ37" s="111"/>
      <c r="BK37" s="111"/>
      <c r="BL37" s="111"/>
      <c r="BM37" s="111"/>
      <c r="BN37" s="111"/>
      <c r="BO37" s="111"/>
      <c r="BP37" s="111"/>
      <c r="BQ37" s="111"/>
      <c r="BR37" s="111"/>
      <c r="BS37" s="112"/>
    </row>
    <row r="38" spans="1:72" ht="9.75" customHeight="1" x14ac:dyDescent="0.15">
      <c r="A38" s="3">
        <v>35</v>
      </c>
      <c r="B38" s="747" t="s">
        <v>12</v>
      </c>
      <c r="C38" s="664"/>
      <c r="D38" s="664"/>
      <c r="E38" s="748"/>
      <c r="F38" s="113" t="s">
        <v>184</v>
      </c>
      <c r="G38" s="373"/>
      <c r="H38" s="374"/>
      <c r="I38" s="374"/>
      <c r="J38" s="374"/>
      <c r="K38" s="375"/>
      <c r="L38" s="691"/>
      <c r="M38" s="709"/>
      <c r="N38" s="710"/>
      <c r="O38" s="710"/>
      <c r="P38" s="710"/>
      <c r="Q38" s="711" t="s">
        <v>107</v>
      </c>
      <c r="R38" s="587"/>
      <c r="S38" s="587"/>
      <c r="T38" s="621"/>
      <c r="U38" s="52" t="s">
        <v>80</v>
      </c>
      <c r="V38" s="376"/>
      <c r="W38" s="377"/>
      <c r="X38" s="377"/>
      <c r="Y38" s="377"/>
      <c r="Z38" s="416"/>
      <c r="AA38" s="151"/>
      <c r="AB38" s="500" t="s">
        <v>110</v>
      </c>
      <c r="AC38" s="501"/>
      <c r="AD38" s="501"/>
      <c r="AE38" s="502"/>
      <c r="AF38" s="376"/>
      <c r="AG38" s="377"/>
      <c r="AH38" s="377"/>
      <c r="AI38" s="377"/>
      <c r="AJ38" s="378"/>
      <c r="AK38" s="376"/>
      <c r="AL38" s="377"/>
      <c r="AM38" s="377"/>
      <c r="AN38" s="377"/>
      <c r="AO38" s="378"/>
      <c r="AP38" s="376"/>
      <c r="AQ38" s="377"/>
      <c r="AR38" s="377"/>
      <c r="AS38" s="377"/>
      <c r="AT38" s="378"/>
      <c r="AU38" s="376"/>
      <c r="AV38" s="377"/>
      <c r="AW38" s="377"/>
      <c r="AX38" s="377"/>
      <c r="AY38" s="416"/>
      <c r="AZ38" s="717"/>
      <c r="BA38" s="553"/>
      <c r="BB38" s="553"/>
      <c r="BC38" s="553"/>
      <c r="BD38" s="554"/>
      <c r="BE38" s="552"/>
      <c r="BF38" s="553"/>
      <c r="BG38" s="553"/>
      <c r="BH38" s="553"/>
      <c r="BI38" s="553"/>
      <c r="BJ38" s="751" t="s">
        <v>192</v>
      </c>
      <c r="BK38" s="751"/>
      <c r="BL38" s="751"/>
      <c r="BM38" s="751"/>
      <c r="BN38" s="751"/>
      <c r="BO38" s="751" t="s">
        <v>193</v>
      </c>
      <c r="BP38" s="751"/>
      <c r="BQ38" s="751"/>
      <c r="BR38" s="751"/>
      <c r="BS38" s="752"/>
    </row>
    <row r="39" spans="1:72" ht="9.75" customHeight="1" x14ac:dyDescent="0.15">
      <c r="A39" s="3">
        <v>36</v>
      </c>
      <c r="B39" s="475" t="s">
        <v>13</v>
      </c>
      <c r="C39" s="476"/>
      <c r="D39" s="476"/>
      <c r="E39" s="477"/>
      <c r="F39" s="114" t="s">
        <v>187</v>
      </c>
      <c r="G39" s="361"/>
      <c r="H39" s="356"/>
      <c r="I39" s="356"/>
      <c r="J39" s="356"/>
      <c r="K39" s="357"/>
      <c r="L39" s="691"/>
      <c r="M39" s="696" t="s">
        <v>48</v>
      </c>
      <c r="N39" s="587"/>
      <c r="O39" s="587"/>
      <c r="P39" s="587"/>
      <c r="Q39" s="587"/>
      <c r="R39" s="587"/>
      <c r="S39" s="587"/>
      <c r="T39" s="621"/>
      <c r="U39" s="52" t="s">
        <v>80</v>
      </c>
      <c r="V39" s="376"/>
      <c r="W39" s="377"/>
      <c r="X39" s="377"/>
      <c r="Y39" s="377"/>
      <c r="Z39" s="416"/>
      <c r="AA39" s="151"/>
      <c r="AB39" s="155"/>
      <c r="AC39" s="419" t="s">
        <v>457</v>
      </c>
      <c r="AD39" s="420"/>
      <c r="AE39" s="421"/>
      <c r="AF39" s="361"/>
      <c r="AG39" s="356"/>
      <c r="AH39" s="356"/>
      <c r="AI39" s="356"/>
      <c r="AJ39" s="369"/>
      <c r="AK39" s="361"/>
      <c r="AL39" s="356"/>
      <c r="AM39" s="356"/>
      <c r="AN39" s="356"/>
      <c r="AO39" s="369"/>
      <c r="AP39" s="590"/>
      <c r="AQ39" s="591"/>
      <c r="AR39" s="591"/>
      <c r="AS39" s="591"/>
      <c r="AT39" s="591"/>
      <c r="AU39" s="590"/>
      <c r="AV39" s="591"/>
      <c r="AW39" s="591"/>
      <c r="AX39" s="591"/>
      <c r="AY39" s="591"/>
      <c r="AZ39" s="488" t="s">
        <v>195</v>
      </c>
      <c r="BA39" s="489"/>
      <c r="BB39" s="489"/>
      <c r="BC39" s="489"/>
      <c r="BD39" s="490"/>
      <c r="BE39" s="358"/>
      <c r="BF39" s="359"/>
      <c r="BG39" s="359"/>
      <c r="BH39" s="359"/>
      <c r="BI39" s="368"/>
      <c r="BJ39" s="358"/>
      <c r="BK39" s="359"/>
      <c r="BL39" s="359"/>
      <c r="BM39" s="359"/>
      <c r="BN39" s="368"/>
      <c r="BO39" s="358"/>
      <c r="BP39" s="359"/>
      <c r="BQ39" s="359"/>
      <c r="BR39" s="359"/>
      <c r="BS39" s="360"/>
    </row>
    <row r="40" spans="1:72" ht="9.75" customHeight="1" x14ac:dyDescent="0.15">
      <c r="A40" s="3">
        <v>37</v>
      </c>
      <c r="B40" s="475" t="s">
        <v>190</v>
      </c>
      <c r="C40" s="476"/>
      <c r="D40" s="476"/>
      <c r="E40" s="477"/>
      <c r="F40" s="114" t="s">
        <v>187</v>
      </c>
      <c r="G40" s="361"/>
      <c r="H40" s="356"/>
      <c r="I40" s="356"/>
      <c r="J40" s="356"/>
      <c r="K40" s="357"/>
      <c r="L40" s="691"/>
      <c r="M40" s="696" t="s">
        <v>49</v>
      </c>
      <c r="N40" s="587"/>
      <c r="O40" s="587"/>
      <c r="P40" s="587"/>
      <c r="Q40" s="587"/>
      <c r="R40" s="587"/>
      <c r="S40" s="587"/>
      <c r="T40" s="621"/>
      <c r="U40" s="52" t="s">
        <v>135</v>
      </c>
      <c r="V40" s="445"/>
      <c r="W40" s="446"/>
      <c r="X40" s="446"/>
      <c r="Y40" s="446"/>
      <c r="Z40" s="447"/>
      <c r="AA40" s="151"/>
      <c r="AB40" s="62"/>
      <c r="AC40" s="419" t="s">
        <v>458</v>
      </c>
      <c r="AD40" s="420"/>
      <c r="AE40" s="421"/>
      <c r="AF40" s="361"/>
      <c r="AG40" s="356"/>
      <c r="AH40" s="356"/>
      <c r="AI40" s="356"/>
      <c r="AJ40" s="369"/>
      <c r="AK40" s="361"/>
      <c r="AL40" s="356"/>
      <c r="AM40" s="356"/>
      <c r="AN40" s="356"/>
      <c r="AO40" s="369"/>
      <c r="AP40" s="376"/>
      <c r="AQ40" s="377"/>
      <c r="AR40" s="377"/>
      <c r="AS40" s="377"/>
      <c r="AT40" s="378"/>
      <c r="AU40" s="376"/>
      <c r="AV40" s="377"/>
      <c r="AW40" s="377"/>
      <c r="AX40" s="377"/>
      <c r="AY40" s="416"/>
      <c r="AZ40" s="115"/>
      <c r="BA40" s="419" t="s">
        <v>199</v>
      </c>
      <c r="BB40" s="420"/>
      <c r="BC40" s="420"/>
      <c r="BD40" s="421"/>
      <c r="BE40" s="361"/>
      <c r="BF40" s="356"/>
      <c r="BG40" s="356"/>
      <c r="BH40" s="356"/>
      <c r="BI40" s="369"/>
      <c r="BJ40" s="376"/>
      <c r="BK40" s="377"/>
      <c r="BL40" s="377"/>
      <c r="BM40" s="377"/>
      <c r="BN40" s="378"/>
      <c r="BO40" s="361"/>
      <c r="BP40" s="356"/>
      <c r="BQ40" s="356"/>
      <c r="BR40" s="356"/>
      <c r="BS40" s="357"/>
    </row>
    <row r="41" spans="1:72" ht="9.75" customHeight="1" x14ac:dyDescent="0.15">
      <c r="A41" s="3">
        <v>38</v>
      </c>
      <c r="B41" s="754" t="s">
        <v>14</v>
      </c>
      <c r="C41" s="634"/>
      <c r="D41" s="634"/>
      <c r="E41" s="755"/>
      <c r="F41" s="116" t="s">
        <v>187</v>
      </c>
      <c r="G41" s="370"/>
      <c r="H41" s="371"/>
      <c r="I41" s="371"/>
      <c r="J41" s="371"/>
      <c r="K41" s="418"/>
      <c r="L41" s="691"/>
      <c r="M41" s="705" t="s">
        <v>194</v>
      </c>
      <c r="N41" s="756"/>
      <c r="O41" s="756"/>
      <c r="P41" s="756"/>
      <c r="Q41" s="711" t="s">
        <v>167</v>
      </c>
      <c r="R41" s="587"/>
      <c r="S41" s="587"/>
      <c r="T41" s="621"/>
      <c r="U41" s="52" t="s">
        <v>125</v>
      </c>
      <c r="V41" s="376"/>
      <c r="W41" s="377"/>
      <c r="X41" s="377"/>
      <c r="Y41" s="377"/>
      <c r="Z41" s="416"/>
      <c r="AA41" s="151"/>
      <c r="AB41" s="62"/>
      <c r="AC41" s="419" t="s">
        <v>185</v>
      </c>
      <c r="AD41" s="420"/>
      <c r="AE41" s="421"/>
      <c r="AF41" s="361"/>
      <c r="AG41" s="356"/>
      <c r="AH41" s="356"/>
      <c r="AI41" s="356"/>
      <c r="AJ41" s="369"/>
      <c r="AK41" s="376"/>
      <c r="AL41" s="377"/>
      <c r="AM41" s="377"/>
      <c r="AN41" s="377"/>
      <c r="AO41" s="378"/>
      <c r="AP41" s="376"/>
      <c r="AQ41" s="377"/>
      <c r="AR41" s="377"/>
      <c r="AS41" s="377"/>
      <c r="AT41" s="378"/>
      <c r="AU41" s="376"/>
      <c r="AV41" s="377"/>
      <c r="AW41" s="377"/>
      <c r="AX41" s="377"/>
      <c r="AY41" s="416"/>
      <c r="AZ41" s="115"/>
      <c r="BA41" s="419" t="s">
        <v>202</v>
      </c>
      <c r="BB41" s="420"/>
      <c r="BC41" s="420"/>
      <c r="BD41" s="421"/>
      <c r="BE41" s="361"/>
      <c r="BF41" s="356"/>
      <c r="BG41" s="356"/>
      <c r="BH41" s="356"/>
      <c r="BI41" s="369"/>
      <c r="BJ41" s="376"/>
      <c r="BK41" s="377"/>
      <c r="BL41" s="377"/>
      <c r="BM41" s="377"/>
      <c r="BN41" s="378"/>
      <c r="BO41" s="361"/>
      <c r="BP41" s="356"/>
      <c r="BQ41" s="356"/>
      <c r="BR41" s="356"/>
      <c r="BS41" s="357"/>
    </row>
    <row r="42" spans="1:72" ht="9.75" customHeight="1" x14ac:dyDescent="0.15">
      <c r="A42" s="3">
        <v>39</v>
      </c>
      <c r="B42" s="759" t="s">
        <v>15</v>
      </c>
      <c r="C42" s="570"/>
      <c r="D42" s="570"/>
      <c r="E42" s="760"/>
      <c r="F42" s="117" t="s">
        <v>196</v>
      </c>
      <c r="G42" s="469"/>
      <c r="H42" s="470"/>
      <c r="I42" s="470"/>
      <c r="J42" s="470"/>
      <c r="K42" s="471"/>
      <c r="L42" s="691"/>
      <c r="M42" s="757"/>
      <c r="N42" s="565"/>
      <c r="O42" s="565"/>
      <c r="P42" s="565"/>
      <c r="Q42" s="711" t="s">
        <v>118</v>
      </c>
      <c r="R42" s="587"/>
      <c r="S42" s="587"/>
      <c r="T42" s="621"/>
      <c r="U42" s="52" t="s">
        <v>80</v>
      </c>
      <c r="V42" s="376"/>
      <c r="W42" s="377"/>
      <c r="X42" s="377"/>
      <c r="Y42" s="377"/>
      <c r="Z42" s="416"/>
      <c r="AA42" s="151"/>
      <c r="AB42" s="62"/>
      <c r="AC42" s="419" t="s">
        <v>459</v>
      </c>
      <c r="AD42" s="420"/>
      <c r="AE42" s="421"/>
      <c r="AF42" s="361"/>
      <c r="AG42" s="356"/>
      <c r="AH42" s="356"/>
      <c r="AI42" s="356"/>
      <c r="AJ42" s="369"/>
      <c r="AK42" s="361"/>
      <c r="AL42" s="356"/>
      <c r="AM42" s="356"/>
      <c r="AN42" s="356"/>
      <c r="AO42" s="369"/>
      <c r="AP42" s="590"/>
      <c r="AQ42" s="591"/>
      <c r="AR42" s="591"/>
      <c r="AS42" s="591"/>
      <c r="AT42" s="591"/>
      <c r="AU42" s="590"/>
      <c r="AV42" s="591"/>
      <c r="AW42" s="591"/>
      <c r="AX42" s="591"/>
      <c r="AY42" s="591"/>
      <c r="AZ42" s="115"/>
      <c r="BA42" s="419" t="s">
        <v>204</v>
      </c>
      <c r="BB42" s="420"/>
      <c r="BC42" s="420"/>
      <c r="BD42" s="421"/>
      <c r="BE42" s="361"/>
      <c r="BF42" s="356"/>
      <c r="BG42" s="356"/>
      <c r="BH42" s="356"/>
      <c r="BI42" s="369"/>
      <c r="BJ42" s="376"/>
      <c r="BK42" s="377"/>
      <c r="BL42" s="377"/>
      <c r="BM42" s="377"/>
      <c r="BN42" s="378"/>
      <c r="BO42" s="361"/>
      <c r="BP42" s="356"/>
      <c r="BQ42" s="356"/>
      <c r="BR42" s="356"/>
      <c r="BS42" s="357"/>
    </row>
    <row r="43" spans="1:72" ht="9.75" customHeight="1" thickBot="1" x14ac:dyDescent="0.2">
      <c r="A43" s="3">
        <v>40</v>
      </c>
      <c r="B43" s="475" t="s">
        <v>27</v>
      </c>
      <c r="C43" s="476"/>
      <c r="D43" s="476"/>
      <c r="E43" s="477"/>
      <c r="F43" s="114" t="s">
        <v>187</v>
      </c>
      <c r="G43" s="448"/>
      <c r="H43" s="449"/>
      <c r="I43" s="449"/>
      <c r="J43" s="449"/>
      <c r="K43" s="450"/>
      <c r="L43" s="692"/>
      <c r="M43" s="758"/>
      <c r="N43" s="655"/>
      <c r="O43" s="655"/>
      <c r="P43" s="655"/>
      <c r="Q43" s="669" t="s">
        <v>107</v>
      </c>
      <c r="R43" s="670"/>
      <c r="S43" s="670"/>
      <c r="T43" s="671"/>
      <c r="U43" s="118" t="s">
        <v>80</v>
      </c>
      <c r="V43" s="379"/>
      <c r="W43" s="380"/>
      <c r="X43" s="380"/>
      <c r="Y43" s="380"/>
      <c r="Z43" s="422"/>
      <c r="AA43" s="151"/>
      <c r="AB43" s="304"/>
      <c r="AC43" s="419" t="s">
        <v>460</v>
      </c>
      <c r="AD43" s="420"/>
      <c r="AE43" s="421"/>
      <c r="AF43" s="361"/>
      <c r="AG43" s="356"/>
      <c r="AH43" s="356"/>
      <c r="AI43" s="356"/>
      <c r="AJ43" s="369"/>
      <c r="AK43" s="361"/>
      <c r="AL43" s="356"/>
      <c r="AM43" s="356"/>
      <c r="AN43" s="356"/>
      <c r="AO43" s="369"/>
      <c r="AP43" s="590"/>
      <c r="AQ43" s="591"/>
      <c r="AR43" s="591"/>
      <c r="AS43" s="591"/>
      <c r="AT43" s="591"/>
      <c r="AU43" s="590"/>
      <c r="AV43" s="591"/>
      <c r="AW43" s="591"/>
      <c r="AX43" s="591"/>
      <c r="AY43" s="591"/>
      <c r="AZ43" s="119"/>
      <c r="BA43" s="611" t="s">
        <v>208</v>
      </c>
      <c r="BB43" s="612"/>
      <c r="BC43" s="612"/>
      <c r="BD43" s="613"/>
      <c r="BE43" s="370"/>
      <c r="BF43" s="371"/>
      <c r="BG43" s="371"/>
      <c r="BH43" s="371"/>
      <c r="BI43" s="372"/>
      <c r="BJ43" s="379"/>
      <c r="BK43" s="380"/>
      <c r="BL43" s="380"/>
      <c r="BM43" s="380"/>
      <c r="BN43" s="381"/>
      <c r="BO43" s="362"/>
      <c r="BP43" s="363"/>
      <c r="BQ43" s="363"/>
      <c r="BR43" s="363"/>
      <c r="BS43" s="364"/>
    </row>
    <row r="44" spans="1:72" ht="9.75" customHeight="1" x14ac:dyDescent="0.15">
      <c r="A44" s="3">
        <v>41</v>
      </c>
      <c r="B44" s="765" t="s">
        <v>16</v>
      </c>
      <c r="C44" s="476"/>
      <c r="D44" s="476"/>
      <c r="E44" s="477"/>
      <c r="F44" s="114" t="s">
        <v>187</v>
      </c>
      <c r="G44" s="448"/>
      <c r="H44" s="449"/>
      <c r="I44" s="449"/>
      <c r="J44" s="449"/>
      <c r="K44" s="450"/>
      <c r="L44" s="652" t="s">
        <v>203</v>
      </c>
      <c r="M44" s="652"/>
      <c r="N44" s="652"/>
      <c r="O44" s="652"/>
      <c r="P44" s="652"/>
      <c r="Q44" s="652"/>
      <c r="R44" s="652"/>
      <c r="S44" s="652"/>
      <c r="T44" s="652"/>
      <c r="U44" s="652"/>
      <c r="V44" s="652"/>
      <c r="W44" s="652"/>
      <c r="X44" s="652"/>
      <c r="Y44" s="652"/>
      <c r="Z44" s="653"/>
      <c r="AA44" s="151"/>
      <c r="AB44" s="766" t="s">
        <v>188</v>
      </c>
      <c r="AC44" s="593"/>
      <c r="AD44" s="593"/>
      <c r="AE44" s="594"/>
      <c r="AF44" s="361"/>
      <c r="AG44" s="356"/>
      <c r="AH44" s="356"/>
      <c r="AI44" s="356"/>
      <c r="AJ44" s="369"/>
      <c r="AK44" s="376"/>
      <c r="AL44" s="377"/>
      <c r="AM44" s="377"/>
      <c r="AN44" s="377"/>
      <c r="AO44" s="378"/>
      <c r="AP44" s="376"/>
      <c r="AQ44" s="377"/>
      <c r="AR44" s="377"/>
      <c r="AS44" s="377"/>
      <c r="AT44" s="378"/>
      <c r="AU44" s="376"/>
      <c r="AV44" s="377"/>
      <c r="AW44" s="377"/>
      <c r="AX44" s="377"/>
      <c r="AY44" s="416"/>
      <c r="AZ44" s="767" t="s">
        <v>211</v>
      </c>
      <c r="BA44" s="593"/>
      <c r="BB44" s="593"/>
      <c r="BC44" s="593"/>
      <c r="BD44" s="594"/>
      <c r="BE44" s="373"/>
      <c r="BF44" s="374"/>
      <c r="BG44" s="374"/>
      <c r="BH44" s="374"/>
      <c r="BI44" s="375"/>
      <c r="BJ44" s="79"/>
      <c r="BK44" s="80"/>
      <c r="BL44" s="80"/>
      <c r="BM44" s="80"/>
      <c r="BN44" s="80"/>
      <c r="BO44" s="365"/>
      <c r="BP44" s="366"/>
      <c r="BQ44" s="366"/>
      <c r="BR44" s="366"/>
      <c r="BS44" s="367"/>
    </row>
    <row r="45" spans="1:72" ht="9.75" customHeight="1" thickBot="1" x14ac:dyDescent="0.2">
      <c r="A45" s="3">
        <v>42</v>
      </c>
      <c r="B45" s="120"/>
      <c r="C45" s="588" t="s">
        <v>205</v>
      </c>
      <c r="D45" s="476"/>
      <c r="E45" s="477"/>
      <c r="F45" s="114" t="s">
        <v>187</v>
      </c>
      <c r="G45" s="448"/>
      <c r="H45" s="449"/>
      <c r="I45" s="449"/>
      <c r="J45" s="449"/>
      <c r="K45" s="450"/>
      <c r="L45" s="768" t="s">
        <v>148</v>
      </c>
      <c r="M45" s="771" t="s">
        <v>50</v>
      </c>
      <c r="N45" s="772"/>
      <c r="O45" s="772"/>
      <c r="P45" s="772"/>
      <c r="Q45" s="772"/>
      <c r="R45" s="772"/>
      <c r="S45" s="772"/>
      <c r="T45" s="773"/>
      <c r="U45" s="121" t="s">
        <v>75</v>
      </c>
      <c r="V45" s="429"/>
      <c r="W45" s="430"/>
      <c r="X45" s="430"/>
      <c r="Y45" s="430"/>
      <c r="Z45" s="431"/>
      <c r="AA45" s="764" t="s">
        <v>191</v>
      </c>
      <c r="AB45" s="420"/>
      <c r="AC45" s="420"/>
      <c r="AD45" s="420"/>
      <c r="AE45" s="420"/>
      <c r="AF45" s="376"/>
      <c r="AG45" s="377"/>
      <c r="AH45" s="377"/>
      <c r="AI45" s="377"/>
      <c r="AJ45" s="378"/>
      <c r="AK45" s="376"/>
      <c r="AL45" s="377"/>
      <c r="AM45" s="377"/>
      <c r="AN45" s="377"/>
      <c r="AO45" s="378"/>
      <c r="AP45" s="376"/>
      <c r="AQ45" s="377"/>
      <c r="AR45" s="377"/>
      <c r="AS45" s="377"/>
      <c r="AT45" s="378"/>
      <c r="AU45" s="376"/>
      <c r="AV45" s="377"/>
      <c r="AW45" s="377"/>
      <c r="AX45" s="377"/>
      <c r="AY45" s="416"/>
      <c r="AZ45" s="774" t="s">
        <v>214</v>
      </c>
      <c r="BA45" s="687"/>
      <c r="BB45" s="687"/>
      <c r="BC45" s="687"/>
      <c r="BD45" s="688"/>
      <c r="BE45" s="362"/>
      <c r="BF45" s="363"/>
      <c r="BG45" s="363"/>
      <c r="BH45" s="363"/>
      <c r="BI45" s="364"/>
      <c r="BJ45" s="96"/>
      <c r="BK45" s="3"/>
      <c r="BL45" s="3"/>
      <c r="BM45" s="3"/>
      <c r="BN45" s="3"/>
      <c r="BO45" s="355"/>
      <c r="BP45" s="356"/>
      <c r="BQ45" s="356"/>
      <c r="BR45" s="356"/>
      <c r="BS45" s="357"/>
    </row>
    <row r="46" spans="1:72" ht="9.75" customHeight="1" thickBot="1" x14ac:dyDescent="0.2">
      <c r="A46" s="3">
        <v>43</v>
      </c>
      <c r="B46" s="475" t="s">
        <v>17</v>
      </c>
      <c r="C46" s="476"/>
      <c r="D46" s="476"/>
      <c r="E46" s="477"/>
      <c r="F46" s="114" t="s">
        <v>187</v>
      </c>
      <c r="G46" s="448"/>
      <c r="H46" s="449"/>
      <c r="I46" s="449"/>
      <c r="J46" s="449"/>
      <c r="K46" s="450"/>
      <c r="L46" s="769"/>
      <c r="M46" s="761" t="s">
        <v>51</v>
      </c>
      <c r="N46" s="762"/>
      <c r="O46" s="762"/>
      <c r="P46" s="762"/>
      <c r="Q46" s="762"/>
      <c r="R46" s="762"/>
      <c r="S46" s="762"/>
      <c r="T46" s="763"/>
      <c r="U46" s="122" t="s">
        <v>125</v>
      </c>
      <c r="V46" s="432"/>
      <c r="W46" s="404"/>
      <c r="X46" s="404"/>
      <c r="Y46" s="404"/>
      <c r="Z46" s="405"/>
      <c r="AA46" s="764" t="s">
        <v>85</v>
      </c>
      <c r="AB46" s="420"/>
      <c r="AC46" s="420"/>
      <c r="AD46" s="420"/>
      <c r="AE46" s="420"/>
      <c r="AF46" s="376"/>
      <c r="AG46" s="377"/>
      <c r="AH46" s="377"/>
      <c r="AI46" s="377"/>
      <c r="AJ46" s="378"/>
      <c r="AK46" s="379"/>
      <c r="AL46" s="380"/>
      <c r="AM46" s="380"/>
      <c r="AN46" s="380"/>
      <c r="AO46" s="381"/>
      <c r="AP46" s="379"/>
      <c r="AQ46" s="380"/>
      <c r="AR46" s="380"/>
      <c r="AS46" s="380"/>
      <c r="AT46" s="381"/>
      <c r="AU46" s="379"/>
      <c r="AV46" s="380"/>
      <c r="AW46" s="380"/>
      <c r="AX46" s="380"/>
      <c r="AY46" s="422"/>
      <c r="AZ46" s="123" t="s">
        <v>221</v>
      </c>
      <c r="BA46" s="80"/>
      <c r="BB46" s="80"/>
      <c r="BC46" s="80"/>
      <c r="BD46" s="80"/>
      <c r="BE46" s="124"/>
      <c r="BF46" s="124"/>
      <c r="BG46" s="124"/>
      <c r="BH46" s="124"/>
      <c r="BI46" s="124"/>
      <c r="BJ46" s="80"/>
      <c r="BK46" s="80"/>
      <c r="BL46" s="80"/>
      <c r="BM46" s="80"/>
      <c r="BN46" s="80"/>
      <c r="BO46" s="355"/>
      <c r="BP46" s="356"/>
      <c r="BQ46" s="356"/>
      <c r="BR46" s="356"/>
      <c r="BS46" s="357"/>
    </row>
    <row r="47" spans="1:72" ht="9.75" customHeight="1" x14ac:dyDescent="0.15">
      <c r="A47" s="3">
        <v>44</v>
      </c>
      <c r="B47" s="475" t="s">
        <v>18</v>
      </c>
      <c r="C47" s="476"/>
      <c r="D47" s="476"/>
      <c r="E47" s="477"/>
      <c r="F47" s="114" t="s">
        <v>187</v>
      </c>
      <c r="G47" s="448"/>
      <c r="H47" s="449"/>
      <c r="I47" s="449"/>
      <c r="J47" s="449"/>
      <c r="K47" s="450"/>
      <c r="L47" s="769"/>
      <c r="M47" s="761" t="s">
        <v>52</v>
      </c>
      <c r="N47" s="762"/>
      <c r="O47" s="762"/>
      <c r="P47" s="762"/>
      <c r="Q47" s="762"/>
      <c r="R47" s="762"/>
      <c r="S47" s="762"/>
      <c r="T47" s="763"/>
      <c r="U47" s="122" t="s">
        <v>80</v>
      </c>
      <c r="V47" s="432"/>
      <c r="W47" s="404"/>
      <c r="X47" s="404"/>
      <c r="Y47" s="404"/>
      <c r="Z47" s="405"/>
      <c r="AA47" s="764" t="s">
        <v>197</v>
      </c>
      <c r="AB47" s="420"/>
      <c r="AC47" s="420"/>
      <c r="AD47" s="420"/>
      <c r="AE47" s="420"/>
      <c r="AF47" s="361"/>
      <c r="AG47" s="356"/>
      <c r="AH47" s="356"/>
      <c r="AI47" s="356"/>
      <c r="AJ47" s="357"/>
      <c r="AK47" s="546" t="s">
        <v>198</v>
      </c>
      <c r="AL47" s="547"/>
      <c r="AM47" s="547"/>
      <c r="AN47" s="547"/>
      <c r="AO47" s="547"/>
      <c r="AP47" s="547"/>
      <c r="AQ47" s="547"/>
      <c r="AR47" s="547"/>
      <c r="AS47" s="547"/>
      <c r="AT47" s="547"/>
      <c r="AU47" s="547"/>
      <c r="AV47" s="547"/>
      <c r="AW47" s="547"/>
      <c r="AX47" s="547"/>
      <c r="AY47" s="547"/>
      <c r="AZ47" s="488" t="s">
        <v>68</v>
      </c>
      <c r="BA47" s="489"/>
      <c r="BB47" s="489"/>
      <c r="BC47" s="489"/>
      <c r="BD47" s="490"/>
      <c r="BE47" s="583" t="s">
        <v>71</v>
      </c>
      <c r="BF47" s="489"/>
      <c r="BG47" s="489"/>
      <c r="BH47" s="489"/>
      <c r="BI47" s="489"/>
      <c r="BJ47" s="125"/>
      <c r="BK47" s="125"/>
      <c r="BL47" s="126"/>
      <c r="BM47" s="125"/>
      <c r="BN47" s="125"/>
      <c r="BO47" s="355"/>
      <c r="BP47" s="356"/>
      <c r="BQ47" s="356"/>
      <c r="BR47" s="356"/>
      <c r="BS47" s="357"/>
    </row>
    <row r="48" spans="1:72" ht="9.75" customHeight="1" x14ac:dyDescent="0.15">
      <c r="A48" s="3">
        <v>45</v>
      </c>
      <c r="B48" s="475" t="s">
        <v>19</v>
      </c>
      <c r="C48" s="476"/>
      <c r="D48" s="476"/>
      <c r="E48" s="477"/>
      <c r="F48" s="114" t="s">
        <v>187</v>
      </c>
      <c r="G48" s="448"/>
      <c r="H48" s="449"/>
      <c r="I48" s="449"/>
      <c r="J48" s="449"/>
      <c r="K48" s="450"/>
      <c r="L48" s="770"/>
      <c r="M48" s="775" t="s">
        <v>53</v>
      </c>
      <c r="N48" s="776"/>
      <c r="O48" s="776"/>
      <c r="P48" s="776"/>
      <c r="Q48" s="776"/>
      <c r="R48" s="776"/>
      <c r="S48" s="776"/>
      <c r="T48" s="777"/>
      <c r="U48" s="127" t="s">
        <v>215</v>
      </c>
      <c r="V48" s="433"/>
      <c r="W48" s="434"/>
      <c r="X48" s="434"/>
      <c r="Y48" s="434"/>
      <c r="Z48" s="435"/>
      <c r="AA48" s="778" t="s">
        <v>95</v>
      </c>
      <c r="AB48" s="420"/>
      <c r="AC48" s="420"/>
      <c r="AD48" s="420"/>
      <c r="AE48" s="420"/>
      <c r="AF48" s="361"/>
      <c r="AG48" s="356"/>
      <c r="AH48" s="356"/>
      <c r="AI48" s="356"/>
      <c r="AJ48" s="357"/>
      <c r="AK48" s="779" t="s">
        <v>180</v>
      </c>
      <c r="AL48" s="780"/>
      <c r="AM48" s="780"/>
      <c r="AN48" s="780"/>
      <c r="AO48" s="780"/>
      <c r="AP48" s="751" t="s">
        <v>200</v>
      </c>
      <c r="AQ48" s="751"/>
      <c r="AR48" s="751"/>
      <c r="AS48" s="751"/>
      <c r="AT48" s="751"/>
      <c r="AU48" s="751" t="s">
        <v>201</v>
      </c>
      <c r="AV48" s="751"/>
      <c r="AW48" s="751"/>
      <c r="AX48" s="751"/>
      <c r="AY48" s="781"/>
      <c r="AZ48" s="717"/>
      <c r="BA48" s="553"/>
      <c r="BB48" s="553"/>
      <c r="BC48" s="553"/>
      <c r="BD48" s="554"/>
      <c r="BE48" s="552"/>
      <c r="BF48" s="553"/>
      <c r="BG48" s="553"/>
      <c r="BH48" s="553"/>
      <c r="BI48" s="553"/>
      <c r="BJ48" s="558" t="s">
        <v>76</v>
      </c>
      <c r="BK48" s="521"/>
      <c r="BL48" s="521"/>
      <c r="BM48" s="521"/>
      <c r="BN48" s="521"/>
      <c r="BO48" s="355"/>
      <c r="BP48" s="356"/>
      <c r="BQ48" s="356"/>
      <c r="BR48" s="356"/>
      <c r="BS48" s="357"/>
    </row>
    <row r="49" spans="1:71" ht="9.75" customHeight="1" x14ac:dyDescent="0.15">
      <c r="A49" s="3">
        <v>46</v>
      </c>
      <c r="B49" s="475" t="s">
        <v>20</v>
      </c>
      <c r="C49" s="476"/>
      <c r="D49" s="476"/>
      <c r="E49" s="477"/>
      <c r="F49" s="114" t="s">
        <v>187</v>
      </c>
      <c r="G49" s="448"/>
      <c r="H49" s="449"/>
      <c r="I49" s="449"/>
      <c r="J49" s="449"/>
      <c r="K49" s="450"/>
      <c r="L49" s="782" t="s">
        <v>218</v>
      </c>
      <c r="M49" s="785" t="s">
        <v>36</v>
      </c>
      <c r="N49" s="772"/>
      <c r="O49" s="772"/>
      <c r="P49" s="772"/>
      <c r="Q49" s="772"/>
      <c r="R49" s="772"/>
      <c r="S49" s="772"/>
      <c r="T49" s="773"/>
      <c r="U49" s="121" t="s">
        <v>125</v>
      </c>
      <c r="V49" s="413"/>
      <c r="W49" s="414"/>
      <c r="X49" s="414"/>
      <c r="Y49" s="414"/>
      <c r="Z49" s="415"/>
      <c r="AA49" s="128"/>
      <c r="AB49" s="500" t="s">
        <v>461</v>
      </c>
      <c r="AC49" s="501"/>
      <c r="AD49" s="501"/>
      <c r="AE49" s="502"/>
      <c r="AF49" s="361"/>
      <c r="AG49" s="356"/>
      <c r="AH49" s="356"/>
      <c r="AI49" s="356"/>
      <c r="AJ49" s="357"/>
      <c r="AK49" s="494" t="s">
        <v>71</v>
      </c>
      <c r="AL49" s="640"/>
      <c r="AM49" s="640"/>
      <c r="AN49" s="640"/>
      <c r="AO49" s="641"/>
      <c r="AP49" s="786"/>
      <c r="AQ49" s="787"/>
      <c r="AR49" s="787"/>
      <c r="AS49" s="787"/>
      <c r="AT49" s="788"/>
      <c r="AU49" s="358"/>
      <c r="AV49" s="359"/>
      <c r="AW49" s="359"/>
      <c r="AX49" s="359"/>
      <c r="AY49" s="360"/>
      <c r="AZ49" s="494" t="s">
        <v>223</v>
      </c>
      <c r="BA49" s="640"/>
      <c r="BB49" s="640"/>
      <c r="BC49" s="640"/>
      <c r="BD49" s="641"/>
      <c r="BE49" s="358"/>
      <c r="BF49" s="359"/>
      <c r="BG49" s="359"/>
      <c r="BH49" s="359"/>
      <c r="BI49" s="368"/>
      <c r="BJ49" s="358"/>
      <c r="BK49" s="359"/>
      <c r="BL49" s="359"/>
      <c r="BM49" s="359"/>
      <c r="BN49" s="360"/>
      <c r="BO49" s="355"/>
      <c r="BP49" s="356"/>
      <c r="BQ49" s="356"/>
      <c r="BR49" s="356"/>
      <c r="BS49" s="357"/>
    </row>
    <row r="50" spans="1:71" ht="9.75" customHeight="1" x14ac:dyDescent="0.15">
      <c r="A50" s="3">
        <v>47</v>
      </c>
      <c r="B50" s="475" t="s">
        <v>21</v>
      </c>
      <c r="C50" s="476"/>
      <c r="D50" s="476"/>
      <c r="E50" s="477"/>
      <c r="F50" s="114" t="s">
        <v>187</v>
      </c>
      <c r="G50" s="448"/>
      <c r="H50" s="449"/>
      <c r="I50" s="449"/>
      <c r="J50" s="449"/>
      <c r="K50" s="450"/>
      <c r="L50" s="783"/>
      <c r="M50" s="801" t="s">
        <v>54</v>
      </c>
      <c r="N50" s="575"/>
      <c r="O50" s="575"/>
      <c r="P50" s="575"/>
      <c r="Q50" s="575"/>
      <c r="R50" s="575"/>
      <c r="S50" s="575"/>
      <c r="T50" s="576"/>
      <c r="U50" s="122" t="s">
        <v>75</v>
      </c>
      <c r="V50" s="436"/>
      <c r="W50" s="437"/>
      <c r="X50" s="437"/>
      <c r="Y50" s="437"/>
      <c r="Z50" s="438"/>
      <c r="AA50" s="129"/>
      <c r="AB50" s="62"/>
      <c r="AC50" s="419" t="s">
        <v>462</v>
      </c>
      <c r="AD50" s="420"/>
      <c r="AE50" s="421"/>
      <c r="AF50" s="361"/>
      <c r="AG50" s="356"/>
      <c r="AH50" s="356"/>
      <c r="AI50" s="356"/>
      <c r="AJ50" s="357"/>
      <c r="AK50" s="151"/>
      <c r="AL50" s="500" t="s">
        <v>207</v>
      </c>
      <c r="AM50" s="420"/>
      <c r="AN50" s="420"/>
      <c r="AO50" s="421"/>
      <c r="AP50" s="361"/>
      <c r="AQ50" s="356"/>
      <c r="AR50" s="356"/>
      <c r="AS50" s="356"/>
      <c r="AT50" s="369"/>
      <c r="AU50" s="361"/>
      <c r="AV50" s="356"/>
      <c r="AW50" s="356"/>
      <c r="AX50" s="356"/>
      <c r="AY50" s="357"/>
      <c r="AZ50" s="151"/>
      <c r="BA50" s="419" t="s">
        <v>142</v>
      </c>
      <c r="BB50" s="420"/>
      <c r="BC50" s="420"/>
      <c r="BD50" s="421"/>
      <c r="BE50" s="361"/>
      <c r="BF50" s="356"/>
      <c r="BG50" s="356"/>
      <c r="BH50" s="356"/>
      <c r="BI50" s="369"/>
      <c r="BJ50" s="361"/>
      <c r="BK50" s="356"/>
      <c r="BL50" s="356"/>
      <c r="BM50" s="356"/>
      <c r="BN50" s="357"/>
      <c r="BO50" s="355"/>
      <c r="BP50" s="356"/>
      <c r="BQ50" s="356"/>
      <c r="BR50" s="356"/>
      <c r="BS50" s="357"/>
    </row>
    <row r="51" spans="1:71" ht="9.75" customHeight="1" x14ac:dyDescent="0.15">
      <c r="A51" s="3">
        <v>48</v>
      </c>
      <c r="B51" s="475" t="s">
        <v>22</v>
      </c>
      <c r="C51" s="476"/>
      <c r="D51" s="476"/>
      <c r="E51" s="477"/>
      <c r="F51" s="114" t="s">
        <v>187</v>
      </c>
      <c r="G51" s="448"/>
      <c r="H51" s="449"/>
      <c r="I51" s="449"/>
      <c r="J51" s="449"/>
      <c r="K51" s="450"/>
      <c r="L51" s="783"/>
      <c r="M51" s="789" t="s">
        <v>55</v>
      </c>
      <c r="N51" s="762"/>
      <c r="O51" s="762"/>
      <c r="P51" s="762"/>
      <c r="Q51" s="762"/>
      <c r="R51" s="762"/>
      <c r="S51" s="762"/>
      <c r="T51" s="763"/>
      <c r="U51" s="122" t="s">
        <v>125</v>
      </c>
      <c r="V51" s="432"/>
      <c r="W51" s="404"/>
      <c r="X51" s="404"/>
      <c r="Y51" s="404"/>
      <c r="Z51" s="405"/>
      <c r="AA51" s="764" t="s">
        <v>100</v>
      </c>
      <c r="AB51" s="420"/>
      <c r="AC51" s="420"/>
      <c r="AD51" s="420"/>
      <c r="AE51" s="420"/>
      <c r="AF51" s="376"/>
      <c r="AG51" s="377"/>
      <c r="AH51" s="377"/>
      <c r="AI51" s="377"/>
      <c r="AJ51" s="416"/>
      <c r="AK51" s="151"/>
      <c r="AL51" s="304"/>
      <c r="AM51" s="419" t="s">
        <v>210</v>
      </c>
      <c r="AN51" s="420"/>
      <c r="AO51" s="421"/>
      <c r="AP51" s="361"/>
      <c r="AQ51" s="356"/>
      <c r="AR51" s="356"/>
      <c r="AS51" s="356"/>
      <c r="AT51" s="369"/>
      <c r="AU51" s="361"/>
      <c r="AV51" s="356"/>
      <c r="AW51" s="356"/>
      <c r="AX51" s="356"/>
      <c r="AY51" s="357"/>
      <c r="AZ51" s="151"/>
      <c r="BA51" s="419" t="s">
        <v>139</v>
      </c>
      <c r="BB51" s="420"/>
      <c r="BC51" s="420"/>
      <c r="BD51" s="421"/>
      <c r="BE51" s="361"/>
      <c r="BF51" s="356"/>
      <c r="BG51" s="356"/>
      <c r="BH51" s="356"/>
      <c r="BI51" s="369"/>
      <c r="BJ51" s="361"/>
      <c r="BK51" s="356"/>
      <c r="BL51" s="356"/>
      <c r="BM51" s="356"/>
      <c r="BN51" s="357"/>
      <c r="BO51" s="355"/>
      <c r="BP51" s="356"/>
      <c r="BQ51" s="356"/>
      <c r="BR51" s="356"/>
      <c r="BS51" s="357"/>
    </row>
    <row r="52" spans="1:71" ht="9.75" customHeight="1" thickBot="1" x14ac:dyDescent="0.2">
      <c r="A52" s="3">
        <v>49</v>
      </c>
      <c r="B52" s="790" t="s">
        <v>23</v>
      </c>
      <c r="C52" s="648"/>
      <c r="D52" s="648"/>
      <c r="E52" s="791"/>
      <c r="F52" s="114" t="s">
        <v>187</v>
      </c>
      <c r="G52" s="448"/>
      <c r="H52" s="449"/>
      <c r="I52" s="449"/>
      <c r="J52" s="449"/>
      <c r="K52" s="450"/>
      <c r="L52" s="784"/>
      <c r="M52" s="792" t="s">
        <v>56</v>
      </c>
      <c r="N52" s="793"/>
      <c r="O52" s="793"/>
      <c r="P52" s="793"/>
      <c r="Q52" s="793"/>
      <c r="R52" s="793"/>
      <c r="S52" s="793"/>
      <c r="T52" s="794"/>
      <c r="U52" s="130" t="s">
        <v>80</v>
      </c>
      <c r="V52" s="439"/>
      <c r="W52" s="440"/>
      <c r="X52" s="440"/>
      <c r="Y52" s="440"/>
      <c r="Z52" s="441"/>
      <c r="AA52" s="764" t="s">
        <v>206</v>
      </c>
      <c r="AB52" s="420"/>
      <c r="AC52" s="420"/>
      <c r="AD52" s="420"/>
      <c r="AE52" s="420"/>
      <c r="AF52" s="361"/>
      <c r="AG52" s="356"/>
      <c r="AH52" s="356"/>
      <c r="AI52" s="356"/>
      <c r="AJ52" s="357"/>
      <c r="AK52" s="131"/>
      <c r="AL52" s="795" t="s">
        <v>213</v>
      </c>
      <c r="AM52" s="796"/>
      <c r="AN52" s="796"/>
      <c r="AO52" s="797"/>
      <c r="AP52" s="361"/>
      <c r="AQ52" s="356"/>
      <c r="AR52" s="356"/>
      <c r="AS52" s="356"/>
      <c r="AT52" s="369"/>
      <c r="AU52" s="361"/>
      <c r="AV52" s="356"/>
      <c r="AW52" s="356"/>
      <c r="AX52" s="356"/>
      <c r="AY52" s="357"/>
      <c r="AZ52" s="151"/>
      <c r="BA52" s="419" t="s">
        <v>136</v>
      </c>
      <c r="BB52" s="420"/>
      <c r="BC52" s="420"/>
      <c r="BD52" s="421"/>
      <c r="BE52" s="361"/>
      <c r="BF52" s="356"/>
      <c r="BG52" s="356"/>
      <c r="BH52" s="356"/>
      <c r="BI52" s="369"/>
      <c r="BJ52" s="361"/>
      <c r="BK52" s="356"/>
      <c r="BL52" s="356"/>
      <c r="BM52" s="356"/>
      <c r="BN52" s="357"/>
      <c r="BO52" s="355"/>
      <c r="BP52" s="356"/>
      <c r="BQ52" s="356"/>
      <c r="BR52" s="356"/>
      <c r="BS52" s="357"/>
    </row>
    <row r="53" spans="1:71" ht="9.75" customHeight="1" x14ac:dyDescent="0.15">
      <c r="A53" s="3">
        <v>50</v>
      </c>
      <c r="B53" s="475" t="s">
        <v>24</v>
      </c>
      <c r="C53" s="476"/>
      <c r="D53" s="476"/>
      <c r="E53" s="477"/>
      <c r="F53" s="114" t="s">
        <v>187</v>
      </c>
      <c r="G53" s="448"/>
      <c r="H53" s="449"/>
      <c r="I53" s="449"/>
      <c r="J53" s="449"/>
      <c r="K53" s="450"/>
      <c r="L53" s="652" t="s">
        <v>222</v>
      </c>
      <c r="M53" s="652"/>
      <c r="N53" s="652"/>
      <c r="O53" s="652"/>
      <c r="P53" s="652"/>
      <c r="Q53" s="652"/>
      <c r="R53" s="652"/>
      <c r="S53" s="652"/>
      <c r="T53" s="652"/>
      <c r="U53" s="652"/>
      <c r="V53" s="652"/>
      <c r="W53" s="652"/>
      <c r="X53" s="652"/>
      <c r="Y53" s="652"/>
      <c r="Z53" s="652"/>
      <c r="AA53" s="764" t="s">
        <v>209</v>
      </c>
      <c r="AB53" s="420"/>
      <c r="AC53" s="420"/>
      <c r="AD53" s="420"/>
      <c r="AE53" s="420"/>
      <c r="AF53" s="361"/>
      <c r="AG53" s="356"/>
      <c r="AH53" s="356"/>
      <c r="AI53" s="356"/>
      <c r="AJ53" s="357"/>
      <c r="AK53" s="131"/>
      <c r="AL53" s="419" t="s">
        <v>217</v>
      </c>
      <c r="AM53" s="420"/>
      <c r="AN53" s="420"/>
      <c r="AO53" s="421"/>
      <c r="AP53" s="361"/>
      <c r="AQ53" s="356"/>
      <c r="AR53" s="356"/>
      <c r="AS53" s="356"/>
      <c r="AT53" s="369"/>
      <c r="AU53" s="361"/>
      <c r="AV53" s="356"/>
      <c r="AW53" s="356"/>
      <c r="AX53" s="356"/>
      <c r="AY53" s="357"/>
      <c r="AZ53" s="132"/>
      <c r="BA53" s="611" t="s">
        <v>146</v>
      </c>
      <c r="BB53" s="612"/>
      <c r="BC53" s="612"/>
      <c r="BD53" s="612"/>
      <c r="BE53" s="370"/>
      <c r="BF53" s="371"/>
      <c r="BG53" s="371"/>
      <c r="BH53" s="371"/>
      <c r="BI53" s="372"/>
      <c r="BJ53" s="370"/>
      <c r="BK53" s="371"/>
      <c r="BL53" s="371"/>
      <c r="BM53" s="371"/>
      <c r="BN53" s="418"/>
      <c r="BO53" s="355"/>
      <c r="BP53" s="356"/>
      <c r="BQ53" s="356"/>
      <c r="BR53" s="356"/>
      <c r="BS53" s="357"/>
    </row>
    <row r="54" spans="1:71" ht="9.75" customHeight="1" thickBot="1" x14ac:dyDescent="0.2">
      <c r="A54" s="3">
        <v>51</v>
      </c>
      <c r="B54" s="475" t="s">
        <v>25</v>
      </c>
      <c r="C54" s="476"/>
      <c r="D54" s="476"/>
      <c r="E54" s="477"/>
      <c r="F54" s="114" t="s">
        <v>187</v>
      </c>
      <c r="G54" s="448"/>
      <c r="H54" s="449"/>
      <c r="I54" s="449"/>
      <c r="J54" s="449"/>
      <c r="K54" s="450"/>
      <c r="L54" s="664" t="s">
        <v>57</v>
      </c>
      <c r="M54" s="664"/>
      <c r="N54" s="664"/>
      <c r="O54" s="664"/>
      <c r="P54" s="664"/>
      <c r="Q54" s="664"/>
      <c r="R54" s="664"/>
      <c r="S54" s="664"/>
      <c r="T54" s="665"/>
      <c r="U54" s="50" t="s">
        <v>75</v>
      </c>
      <c r="V54" s="442"/>
      <c r="W54" s="443"/>
      <c r="X54" s="443"/>
      <c r="Y54" s="443"/>
      <c r="Z54" s="444"/>
      <c r="AA54" s="764" t="s">
        <v>212</v>
      </c>
      <c r="AB54" s="420"/>
      <c r="AC54" s="420"/>
      <c r="AD54" s="420"/>
      <c r="AE54" s="420"/>
      <c r="AF54" s="376"/>
      <c r="AG54" s="377"/>
      <c r="AH54" s="377"/>
      <c r="AI54" s="377"/>
      <c r="AJ54" s="416"/>
      <c r="AK54" s="131"/>
      <c r="AL54" s="500" t="s">
        <v>220</v>
      </c>
      <c r="AM54" s="501"/>
      <c r="AN54" s="501"/>
      <c r="AO54" s="502"/>
      <c r="AP54" s="362"/>
      <c r="AQ54" s="363"/>
      <c r="AR54" s="363"/>
      <c r="AS54" s="363"/>
      <c r="AT54" s="417"/>
      <c r="AU54" s="362"/>
      <c r="AV54" s="363"/>
      <c r="AW54" s="363"/>
      <c r="AX54" s="363"/>
      <c r="AY54" s="364"/>
      <c r="AZ54" s="604" t="s">
        <v>224</v>
      </c>
      <c r="BA54" s="605"/>
      <c r="BB54" s="605"/>
      <c r="BC54" s="605"/>
      <c r="BD54" s="798"/>
      <c r="BE54" s="358"/>
      <c r="BF54" s="359"/>
      <c r="BG54" s="359"/>
      <c r="BH54" s="359"/>
      <c r="BI54" s="368"/>
      <c r="BJ54" s="358"/>
      <c r="BK54" s="359"/>
      <c r="BL54" s="359"/>
      <c r="BM54" s="359"/>
      <c r="BN54" s="360"/>
      <c r="BO54" s="355"/>
      <c r="BP54" s="356"/>
      <c r="BQ54" s="356"/>
      <c r="BR54" s="356"/>
      <c r="BS54" s="357"/>
    </row>
    <row r="55" spans="1:71" ht="9.75" customHeight="1" thickBot="1" x14ac:dyDescent="0.2">
      <c r="A55" s="3">
        <v>52</v>
      </c>
      <c r="B55" s="803" t="s">
        <v>26</v>
      </c>
      <c r="C55" s="804"/>
      <c r="D55" s="804"/>
      <c r="E55" s="805"/>
      <c r="F55" s="133" t="s">
        <v>187</v>
      </c>
      <c r="G55" s="451"/>
      <c r="H55" s="452"/>
      <c r="I55" s="452"/>
      <c r="J55" s="452"/>
      <c r="K55" s="453"/>
      <c r="L55" s="587" t="s">
        <v>58</v>
      </c>
      <c r="M55" s="587"/>
      <c r="N55" s="587"/>
      <c r="O55" s="587"/>
      <c r="P55" s="587"/>
      <c r="Q55" s="587"/>
      <c r="R55" s="587"/>
      <c r="S55" s="587"/>
      <c r="T55" s="621"/>
      <c r="U55" s="52" t="s">
        <v>125</v>
      </c>
      <c r="V55" s="376"/>
      <c r="W55" s="377"/>
      <c r="X55" s="377"/>
      <c r="Y55" s="377"/>
      <c r="Z55" s="416"/>
      <c r="AA55" s="764" t="s">
        <v>216</v>
      </c>
      <c r="AB55" s="420"/>
      <c r="AC55" s="420"/>
      <c r="AD55" s="420"/>
      <c r="AE55" s="420"/>
      <c r="AF55" s="376"/>
      <c r="AG55" s="377"/>
      <c r="AH55" s="377"/>
      <c r="AI55" s="377"/>
      <c r="AJ55" s="416"/>
      <c r="AK55" s="806" t="s">
        <v>174</v>
      </c>
      <c r="AL55" s="807"/>
      <c r="AM55" s="807"/>
      <c r="AN55" s="807"/>
      <c r="AO55" s="807"/>
      <c r="AP55" s="807"/>
      <c r="AQ55" s="807"/>
      <c r="AR55" s="807"/>
      <c r="AS55" s="807"/>
      <c r="AT55" s="808"/>
      <c r="AU55" s="134"/>
      <c r="AV55" s="134"/>
      <c r="AW55" s="134"/>
      <c r="AX55" s="134"/>
      <c r="AY55" s="134"/>
      <c r="AZ55" s="151"/>
      <c r="BA55" s="419" t="s">
        <v>109</v>
      </c>
      <c r="BB55" s="420"/>
      <c r="BC55" s="420"/>
      <c r="BD55" s="421"/>
      <c r="BE55" s="361"/>
      <c r="BF55" s="356"/>
      <c r="BG55" s="356"/>
      <c r="BH55" s="356"/>
      <c r="BI55" s="369"/>
      <c r="BJ55" s="361"/>
      <c r="BK55" s="356"/>
      <c r="BL55" s="356"/>
      <c r="BM55" s="356"/>
      <c r="BN55" s="357"/>
      <c r="BO55" s="355"/>
      <c r="BP55" s="356"/>
      <c r="BQ55" s="356"/>
      <c r="BR55" s="356"/>
      <c r="BS55" s="357"/>
    </row>
    <row r="56" spans="1:71" ht="9.75" customHeight="1" thickBot="1" x14ac:dyDescent="0.2">
      <c r="A56" s="3">
        <v>53</v>
      </c>
      <c r="B56" s="96"/>
      <c r="C56" s="47"/>
      <c r="D56" s="47"/>
      <c r="E56" s="47"/>
      <c r="F56" s="47"/>
      <c r="G56" s="80"/>
      <c r="K56" s="84"/>
      <c r="L56" s="716" t="s">
        <v>59</v>
      </c>
      <c r="M56" s="670"/>
      <c r="N56" s="670"/>
      <c r="O56" s="670"/>
      <c r="P56" s="670"/>
      <c r="Q56" s="670"/>
      <c r="R56" s="670"/>
      <c r="S56" s="670"/>
      <c r="T56" s="671"/>
      <c r="U56" s="118" t="s">
        <v>75</v>
      </c>
      <c r="V56" s="463"/>
      <c r="W56" s="464"/>
      <c r="X56" s="464"/>
      <c r="Y56" s="464"/>
      <c r="Z56" s="465"/>
      <c r="AA56" s="774" t="s">
        <v>219</v>
      </c>
      <c r="AB56" s="687"/>
      <c r="AC56" s="687"/>
      <c r="AD56" s="687"/>
      <c r="AE56" s="688"/>
      <c r="AF56" s="362"/>
      <c r="AG56" s="363"/>
      <c r="AH56" s="363"/>
      <c r="AI56" s="363"/>
      <c r="AJ56" s="364"/>
      <c r="AK56" s="604" t="s">
        <v>177</v>
      </c>
      <c r="AL56" s="605"/>
      <c r="AM56" s="605"/>
      <c r="AN56" s="605"/>
      <c r="AO56" s="605"/>
      <c r="AP56" s="373"/>
      <c r="AQ56" s="799"/>
      <c r="AR56" s="799"/>
      <c r="AS56" s="799"/>
      <c r="AT56" s="800"/>
      <c r="AU56" s="3"/>
      <c r="AV56" s="3"/>
      <c r="AW56" s="3"/>
      <c r="AX56" s="3"/>
      <c r="AY56" s="3"/>
      <c r="AZ56" s="135"/>
      <c r="BA56" s="686" t="s">
        <v>97</v>
      </c>
      <c r="BB56" s="687"/>
      <c r="BC56" s="687"/>
      <c r="BD56" s="688"/>
      <c r="BE56" s="362"/>
      <c r="BF56" s="363"/>
      <c r="BG56" s="363"/>
      <c r="BH56" s="363"/>
      <c r="BI56" s="417"/>
      <c r="BJ56" s="362"/>
      <c r="BK56" s="363"/>
      <c r="BL56" s="363"/>
      <c r="BM56" s="363"/>
      <c r="BN56" s="364"/>
      <c r="BO56" s="355"/>
      <c r="BP56" s="356"/>
      <c r="BQ56" s="356"/>
      <c r="BR56" s="356"/>
      <c r="BS56" s="357"/>
    </row>
    <row r="57" spans="1:71" ht="9.75" customHeight="1" thickBot="1" x14ac:dyDescent="0.2">
      <c r="A57" s="3">
        <v>54</v>
      </c>
      <c r="B57" s="136"/>
      <c r="C57" s="137"/>
      <c r="D57" s="137"/>
      <c r="E57" s="137"/>
      <c r="F57" s="137"/>
      <c r="G57" s="137"/>
      <c r="H57" s="137"/>
      <c r="I57" s="137"/>
      <c r="J57" s="137"/>
      <c r="K57" s="137"/>
      <c r="L57" s="305"/>
      <c r="M57" s="305"/>
      <c r="N57" s="305"/>
      <c r="O57" s="305"/>
      <c r="P57" s="305"/>
      <c r="Q57" s="305"/>
      <c r="R57" s="305"/>
      <c r="S57" s="305"/>
      <c r="T57" s="305"/>
      <c r="U57" s="138"/>
      <c r="V57" s="139"/>
      <c r="W57" s="139"/>
      <c r="X57" s="139"/>
      <c r="Y57" s="139"/>
      <c r="Z57" s="139"/>
      <c r="AA57" s="305"/>
      <c r="AB57" s="809"/>
      <c r="AC57" s="809"/>
      <c r="AD57" s="809"/>
      <c r="AE57" s="809"/>
      <c r="AF57" s="140"/>
      <c r="AG57" s="140"/>
      <c r="AH57" s="140"/>
      <c r="AI57" s="140"/>
      <c r="AJ57" s="141"/>
      <c r="AK57" s="810" t="s">
        <v>182</v>
      </c>
      <c r="AL57" s="811"/>
      <c r="AM57" s="811"/>
      <c r="AN57" s="811"/>
      <c r="AO57" s="811"/>
      <c r="AP57" s="362"/>
      <c r="AQ57" s="813"/>
      <c r="AR57" s="813"/>
      <c r="AS57" s="813"/>
      <c r="AT57" s="814"/>
      <c r="AZ57" s="137"/>
      <c r="BA57" s="137"/>
      <c r="BB57" s="137"/>
      <c r="BC57" s="137"/>
      <c r="BD57" s="137"/>
      <c r="BE57" s="142"/>
      <c r="BF57" s="143"/>
      <c r="BG57" s="144"/>
      <c r="BH57" s="144"/>
      <c r="BI57" s="144"/>
      <c r="BJ57" s="140"/>
      <c r="BK57" s="49"/>
      <c r="BL57" s="49"/>
      <c r="BM57" s="49"/>
      <c r="BN57" s="49"/>
      <c r="BO57" s="812"/>
      <c r="BP57" s="363"/>
      <c r="BQ57" s="363"/>
      <c r="BR57" s="363"/>
      <c r="BS57" s="364"/>
    </row>
    <row r="58" spans="1:71" ht="12.75" customHeight="1" x14ac:dyDescent="0.15">
      <c r="B58" s="802">
        <v>1</v>
      </c>
      <c r="C58" s="802"/>
      <c r="D58" s="802"/>
      <c r="E58" s="802"/>
      <c r="F58" s="802"/>
      <c r="G58" s="802">
        <v>2</v>
      </c>
      <c r="H58" s="802"/>
      <c r="I58" s="802"/>
      <c r="J58" s="802"/>
      <c r="K58" s="802"/>
      <c r="L58" s="802">
        <v>3</v>
      </c>
      <c r="M58" s="802"/>
      <c r="N58" s="802"/>
      <c r="O58" s="802"/>
      <c r="P58" s="802"/>
      <c r="Q58" s="802">
        <v>4</v>
      </c>
      <c r="R58" s="802"/>
      <c r="S58" s="802"/>
      <c r="T58" s="802"/>
      <c r="U58" s="802"/>
      <c r="V58" s="802">
        <v>5</v>
      </c>
      <c r="W58" s="802"/>
      <c r="X58" s="802"/>
      <c r="Y58" s="802"/>
      <c r="Z58" s="802"/>
      <c r="AA58" s="802">
        <v>6</v>
      </c>
      <c r="AB58" s="802"/>
      <c r="AC58" s="802"/>
      <c r="AD58" s="802"/>
      <c r="AE58" s="802"/>
      <c r="AF58" s="802">
        <v>7</v>
      </c>
      <c r="AG58" s="802"/>
      <c r="AH58" s="802"/>
      <c r="AI58" s="802"/>
      <c r="AJ58" s="802"/>
      <c r="AK58" s="802">
        <v>8</v>
      </c>
      <c r="AL58" s="802"/>
      <c r="AM58" s="802"/>
      <c r="AN58" s="802"/>
      <c r="AO58" s="802"/>
      <c r="AP58" s="802">
        <v>9</v>
      </c>
      <c r="AQ58" s="802"/>
      <c r="AR58" s="802"/>
      <c r="AS58" s="802"/>
      <c r="AT58" s="802"/>
      <c r="AU58" s="802">
        <v>10</v>
      </c>
      <c r="AV58" s="802"/>
      <c r="AW58" s="802"/>
      <c r="AX58" s="802"/>
      <c r="AY58" s="802"/>
      <c r="AZ58" s="802">
        <v>11</v>
      </c>
      <c r="BA58" s="802"/>
      <c r="BB58" s="802"/>
      <c r="BC58" s="802"/>
      <c r="BD58" s="802"/>
      <c r="BE58" s="802">
        <v>12</v>
      </c>
      <c r="BF58" s="802"/>
      <c r="BG58" s="802"/>
      <c r="BH58" s="802"/>
      <c r="BI58" s="802"/>
      <c r="BJ58" s="802">
        <v>13</v>
      </c>
      <c r="BK58" s="802"/>
      <c r="BL58" s="802"/>
      <c r="BM58" s="802"/>
      <c r="BN58" s="802"/>
      <c r="BO58" s="802">
        <v>14</v>
      </c>
      <c r="BP58" s="802"/>
      <c r="BQ58" s="802"/>
      <c r="BR58" s="802"/>
      <c r="BS58" s="802"/>
    </row>
    <row r="59" spans="1:71" ht="12.75" customHeight="1" x14ac:dyDescent="0.15">
      <c r="C59" s="47"/>
      <c r="D59" s="47"/>
      <c r="E59" s="47"/>
      <c r="F59" s="47"/>
    </row>
  </sheetData>
  <mergeCells count="639">
    <mergeCell ref="AZ58:BD58"/>
    <mergeCell ref="BE58:BI58"/>
    <mergeCell ref="BJ58:BN58"/>
    <mergeCell ref="BO58:BS58"/>
    <mergeCell ref="AB57:AE57"/>
    <mergeCell ref="AK57:AO57"/>
    <mergeCell ref="BO57:BS57"/>
    <mergeCell ref="B58:F58"/>
    <mergeCell ref="G58:K58"/>
    <mergeCell ref="L58:P58"/>
    <mergeCell ref="Q58:U58"/>
    <mergeCell ref="V58:Z58"/>
    <mergeCell ref="AA58:AE58"/>
    <mergeCell ref="AF58:AJ58"/>
    <mergeCell ref="AK58:AO58"/>
    <mergeCell ref="AP57:AT57"/>
    <mergeCell ref="AP58:AT58"/>
    <mergeCell ref="B50:E50"/>
    <mergeCell ref="M50:T50"/>
    <mergeCell ref="AC50:AE50"/>
    <mergeCell ref="AL50:AO50"/>
    <mergeCell ref="AP53:AT53"/>
    <mergeCell ref="AP54:AT54"/>
    <mergeCell ref="AU58:AY58"/>
    <mergeCell ref="AF51:AJ51"/>
    <mergeCell ref="AF52:AJ52"/>
    <mergeCell ref="AP50:AT50"/>
    <mergeCell ref="AP51:AT51"/>
    <mergeCell ref="AP52:AT52"/>
    <mergeCell ref="B55:E55"/>
    <mergeCell ref="L55:T55"/>
    <mergeCell ref="AA55:AE55"/>
    <mergeCell ref="AK55:AT55"/>
    <mergeCell ref="BA55:BD55"/>
    <mergeCell ref="L56:T56"/>
    <mergeCell ref="AA56:AE56"/>
    <mergeCell ref="AK56:AO56"/>
    <mergeCell ref="BA56:BD56"/>
    <mergeCell ref="B53:E53"/>
    <mergeCell ref="L53:Z53"/>
    <mergeCell ref="AA53:AE53"/>
    <mergeCell ref="AL53:AO53"/>
    <mergeCell ref="BA53:BD53"/>
    <mergeCell ref="B54:E54"/>
    <mergeCell ref="L54:T54"/>
    <mergeCell ref="AA54:AE54"/>
    <mergeCell ref="AL54:AO54"/>
    <mergeCell ref="AZ54:BD54"/>
    <mergeCell ref="V55:Z55"/>
    <mergeCell ref="V56:Z56"/>
    <mergeCell ref="AF53:AJ53"/>
    <mergeCell ref="AP56:AT56"/>
    <mergeCell ref="BE47:BI48"/>
    <mergeCell ref="B48:E48"/>
    <mergeCell ref="M48:T48"/>
    <mergeCell ref="AA48:AE48"/>
    <mergeCell ref="AK48:AO48"/>
    <mergeCell ref="AP48:AT48"/>
    <mergeCell ref="AU48:AY48"/>
    <mergeCell ref="BJ48:BN48"/>
    <mergeCell ref="B49:E49"/>
    <mergeCell ref="L49:L52"/>
    <mergeCell ref="M49:T49"/>
    <mergeCell ref="AB49:AE49"/>
    <mergeCell ref="AK49:AO49"/>
    <mergeCell ref="AP49:AT49"/>
    <mergeCell ref="AZ49:BD49"/>
    <mergeCell ref="B51:E51"/>
    <mergeCell ref="M51:T51"/>
    <mergeCell ref="AA51:AE51"/>
    <mergeCell ref="AM51:AO51"/>
    <mergeCell ref="BA51:BD51"/>
    <mergeCell ref="B52:E52"/>
    <mergeCell ref="M52:T52"/>
    <mergeCell ref="AA52:AE52"/>
    <mergeCell ref="AL52:AO52"/>
    <mergeCell ref="B46:E46"/>
    <mergeCell ref="M46:T46"/>
    <mergeCell ref="AA46:AE46"/>
    <mergeCell ref="B47:E47"/>
    <mergeCell ref="M47:T47"/>
    <mergeCell ref="AA47:AE47"/>
    <mergeCell ref="BA43:BD43"/>
    <mergeCell ref="B44:E44"/>
    <mergeCell ref="L44:Z44"/>
    <mergeCell ref="AB44:AE44"/>
    <mergeCell ref="AZ44:BD44"/>
    <mergeCell ref="C45:E45"/>
    <mergeCell ref="L45:L48"/>
    <mergeCell ref="M45:T45"/>
    <mergeCell ref="AA45:AE45"/>
    <mergeCell ref="AZ45:BD45"/>
    <mergeCell ref="AK47:AY47"/>
    <mergeCell ref="AZ47:BD48"/>
    <mergeCell ref="G44:K44"/>
    <mergeCell ref="G45:K45"/>
    <mergeCell ref="G46:K46"/>
    <mergeCell ref="G47:K47"/>
    <mergeCell ref="G48:K48"/>
    <mergeCell ref="V43:Z43"/>
    <mergeCell ref="M40:T40"/>
    <mergeCell ref="AC40:AE40"/>
    <mergeCell ref="BA40:BD40"/>
    <mergeCell ref="B41:E41"/>
    <mergeCell ref="M41:P43"/>
    <mergeCell ref="Q41:T41"/>
    <mergeCell ref="AC41:AE41"/>
    <mergeCell ref="BA41:BD41"/>
    <mergeCell ref="B42:E42"/>
    <mergeCell ref="Q42:T42"/>
    <mergeCell ref="AC42:AE42"/>
    <mergeCell ref="AP42:AT42"/>
    <mergeCell ref="AU42:AY42"/>
    <mergeCell ref="BA42:BD42"/>
    <mergeCell ref="B43:E43"/>
    <mergeCell ref="Q43:T43"/>
    <mergeCell ref="AC43:AE43"/>
    <mergeCell ref="AP43:AT43"/>
    <mergeCell ref="AU43:AY43"/>
    <mergeCell ref="G43:K43"/>
    <mergeCell ref="V40:Z40"/>
    <mergeCell ref="V41:Z41"/>
    <mergeCell ref="V42:Z42"/>
    <mergeCell ref="AP40:AT40"/>
    <mergeCell ref="M39:T39"/>
    <mergeCell ref="AC39:AE39"/>
    <mergeCell ref="AP39:AT39"/>
    <mergeCell ref="AU39:AY39"/>
    <mergeCell ref="AZ39:BD39"/>
    <mergeCell ref="B37:F37"/>
    <mergeCell ref="G37:K37"/>
    <mergeCell ref="Q37:T37"/>
    <mergeCell ref="AA37:AE37"/>
    <mergeCell ref="AZ37:BD38"/>
    <mergeCell ref="B38:E38"/>
    <mergeCell ref="Q38:T38"/>
    <mergeCell ref="AB38:AE38"/>
    <mergeCell ref="V39:Z39"/>
    <mergeCell ref="M36:P38"/>
    <mergeCell ref="Q36:T36"/>
    <mergeCell ref="AA36:AE36"/>
    <mergeCell ref="AZ36:BS36"/>
    <mergeCell ref="BJ38:BN38"/>
    <mergeCell ref="BO38:BS38"/>
    <mergeCell ref="BE37:BI38"/>
    <mergeCell ref="AF36:AJ36"/>
    <mergeCell ref="AF37:AJ37"/>
    <mergeCell ref="AF38:AJ38"/>
    <mergeCell ref="AF33:AJ35"/>
    <mergeCell ref="BB33:BC33"/>
    <mergeCell ref="BJ33:BK34"/>
    <mergeCell ref="BL33:BM33"/>
    <mergeCell ref="B34:K34"/>
    <mergeCell ref="Q34:T34"/>
    <mergeCell ref="AK34:AO35"/>
    <mergeCell ref="AP34:AT35"/>
    <mergeCell ref="AU34:AY35"/>
    <mergeCell ref="AZ34:BA35"/>
    <mergeCell ref="B30:K30"/>
    <mergeCell ref="L30:L43"/>
    <mergeCell ref="M30:T30"/>
    <mergeCell ref="AZ30:BS30"/>
    <mergeCell ref="B31:F31"/>
    <mergeCell ref="M31:T31"/>
    <mergeCell ref="AZ31:BA33"/>
    <mergeCell ref="BB31:BC31"/>
    <mergeCell ref="BJ31:BK32"/>
    <mergeCell ref="BL31:BM31"/>
    <mergeCell ref="B32:F32"/>
    <mergeCell ref="M32:P35"/>
    <mergeCell ref="Q32:T32"/>
    <mergeCell ref="AA32:AY32"/>
    <mergeCell ref="BB32:BC32"/>
    <mergeCell ref="BL32:BM32"/>
    <mergeCell ref="B33:F33"/>
    <mergeCell ref="Q33:T33"/>
    <mergeCell ref="AA33:AE35"/>
    <mergeCell ref="BB34:BC34"/>
    <mergeCell ref="BL34:BM34"/>
    <mergeCell ref="B35:F35"/>
    <mergeCell ref="Q35:T35"/>
    <mergeCell ref="BB35:BC35"/>
    <mergeCell ref="B28:F28"/>
    <mergeCell ref="L28:L29"/>
    <mergeCell ref="M28:T28"/>
    <mergeCell ref="AC28:AE28"/>
    <mergeCell ref="BC28:BD28"/>
    <mergeCell ref="BL28:BN28"/>
    <mergeCell ref="B29:F29"/>
    <mergeCell ref="M29:T29"/>
    <mergeCell ref="AB29:AE29"/>
    <mergeCell ref="AK29:AO29"/>
    <mergeCell ref="BB29:BD29"/>
    <mergeCell ref="G28:K28"/>
    <mergeCell ref="G29:K29"/>
    <mergeCell ref="V28:Z28"/>
    <mergeCell ref="V29:Z29"/>
    <mergeCell ref="BE28:BI28"/>
    <mergeCell ref="BE29:BI29"/>
    <mergeCell ref="BB26:BD26"/>
    <mergeCell ref="BL26:BN26"/>
    <mergeCell ref="B27:F27"/>
    <mergeCell ref="L27:Z27"/>
    <mergeCell ref="AC27:AE27"/>
    <mergeCell ref="BC27:BD27"/>
    <mergeCell ref="BL27:BN27"/>
    <mergeCell ref="BL24:BN24"/>
    <mergeCell ref="B25:F25"/>
    <mergeCell ref="L25:N26"/>
    <mergeCell ref="O25:T25"/>
    <mergeCell ref="AD25:AE25"/>
    <mergeCell ref="BA25:BD25"/>
    <mergeCell ref="BK25:BN25"/>
    <mergeCell ref="B26:K26"/>
    <mergeCell ref="O26:T26"/>
    <mergeCell ref="AD26:AE26"/>
    <mergeCell ref="B24:F24"/>
    <mergeCell ref="L24:N24"/>
    <mergeCell ref="O24:T24"/>
    <mergeCell ref="AD24:AE24"/>
    <mergeCell ref="AQ24:AT24"/>
    <mergeCell ref="BA24:BD24"/>
    <mergeCell ref="AF26:AJ26"/>
    <mergeCell ref="B23:F23"/>
    <mergeCell ref="M23:T23"/>
    <mergeCell ref="AD23:AE23"/>
    <mergeCell ref="AQ23:AT23"/>
    <mergeCell ref="AZ23:BD23"/>
    <mergeCell ref="BL23:BN23"/>
    <mergeCell ref="B22:K22"/>
    <mergeCell ref="M22:T22"/>
    <mergeCell ref="AD22:AE22"/>
    <mergeCell ref="AQ22:AT22"/>
    <mergeCell ref="BB22:BD22"/>
    <mergeCell ref="BL22:BN22"/>
    <mergeCell ref="AU22:AY22"/>
    <mergeCell ref="AU23:AY23"/>
    <mergeCell ref="BE22:BI22"/>
    <mergeCell ref="BE23:BI23"/>
    <mergeCell ref="AK22:AO22"/>
    <mergeCell ref="AK23:AO23"/>
    <mergeCell ref="AC21:AE21"/>
    <mergeCell ref="AQ21:AT21"/>
    <mergeCell ref="BC21:BD21"/>
    <mergeCell ref="BL21:BN21"/>
    <mergeCell ref="B20:F20"/>
    <mergeCell ref="M20:T20"/>
    <mergeCell ref="AB20:AE20"/>
    <mergeCell ref="AP20:AT20"/>
    <mergeCell ref="BC20:BD20"/>
    <mergeCell ref="BM20:BN20"/>
    <mergeCell ref="AK20:AO20"/>
    <mergeCell ref="AK21:AO21"/>
    <mergeCell ref="M19:T19"/>
    <mergeCell ref="AC19:AE19"/>
    <mergeCell ref="AK19:AO19"/>
    <mergeCell ref="AP19:AT19"/>
    <mergeCell ref="BB19:BD19"/>
    <mergeCell ref="BL19:BN19"/>
    <mergeCell ref="BK17:BN17"/>
    <mergeCell ref="B18:F18"/>
    <mergeCell ref="L18:L23"/>
    <mergeCell ref="M18:T18"/>
    <mergeCell ref="AD18:AE18"/>
    <mergeCell ref="AK18:AO18"/>
    <mergeCell ref="AR18:AT18"/>
    <mergeCell ref="BA18:BD18"/>
    <mergeCell ref="BL18:BN18"/>
    <mergeCell ref="C19:F19"/>
    <mergeCell ref="B17:F17"/>
    <mergeCell ref="M17:T17"/>
    <mergeCell ref="AC17:AE17"/>
    <mergeCell ref="AK17:AO17"/>
    <mergeCell ref="AR17:AT17"/>
    <mergeCell ref="BA17:BD17"/>
    <mergeCell ref="C21:F21"/>
    <mergeCell ref="M21:T21"/>
    <mergeCell ref="BK15:BN15"/>
    <mergeCell ref="B16:K16"/>
    <mergeCell ref="M16:T16"/>
    <mergeCell ref="AD16:AE16"/>
    <mergeCell ref="AK16:AO16"/>
    <mergeCell ref="AQ16:AT16"/>
    <mergeCell ref="AZ16:BD16"/>
    <mergeCell ref="BJ16:BN16"/>
    <mergeCell ref="B15:F15"/>
    <mergeCell ref="M15:T15"/>
    <mergeCell ref="AD15:AE15"/>
    <mergeCell ref="AK15:AO15"/>
    <mergeCell ref="AR15:AT15"/>
    <mergeCell ref="BB15:BD15"/>
    <mergeCell ref="G15:K15"/>
    <mergeCell ref="AF15:AJ15"/>
    <mergeCell ref="AF16:AJ16"/>
    <mergeCell ref="BE15:BI15"/>
    <mergeCell ref="BE16:BI16"/>
    <mergeCell ref="BK13:BN13"/>
    <mergeCell ref="B14:F14"/>
    <mergeCell ref="M14:T14"/>
    <mergeCell ref="AD14:AE14"/>
    <mergeCell ref="AK14:AO14"/>
    <mergeCell ref="AR14:AT14"/>
    <mergeCell ref="BC14:BD14"/>
    <mergeCell ref="BK14:BN14"/>
    <mergeCell ref="B13:F13"/>
    <mergeCell ref="M13:T13"/>
    <mergeCell ref="AC13:AE13"/>
    <mergeCell ref="AK13:AO13"/>
    <mergeCell ref="AR13:AT13"/>
    <mergeCell ref="BC13:BD13"/>
    <mergeCell ref="G13:K13"/>
    <mergeCell ref="G14:K14"/>
    <mergeCell ref="AF13:AJ13"/>
    <mergeCell ref="AF14:AJ14"/>
    <mergeCell ref="BE13:BI13"/>
    <mergeCell ref="BE14:BI14"/>
    <mergeCell ref="B10:F10"/>
    <mergeCell ref="L10:L17"/>
    <mergeCell ref="M10:T10"/>
    <mergeCell ref="AF10:AJ10"/>
    <mergeCell ref="AK10:AO10"/>
    <mergeCell ref="AU10:AY10"/>
    <mergeCell ref="BA10:BD10"/>
    <mergeCell ref="BK10:BN10"/>
    <mergeCell ref="B9:K9"/>
    <mergeCell ref="L9:Z9"/>
    <mergeCell ref="AA9:AE10"/>
    <mergeCell ref="AF9:AO9"/>
    <mergeCell ref="AP9:AT10"/>
    <mergeCell ref="AU9:AY9"/>
    <mergeCell ref="BK11:BN11"/>
    <mergeCell ref="B12:F12"/>
    <mergeCell ref="M12:T12"/>
    <mergeCell ref="AB12:AE12"/>
    <mergeCell ref="AK12:AO12"/>
    <mergeCell ref="AQ12:AT12"/>
    <mergeCell ref="BB12:BD12"/>
    <mergeCell ref="BK12:BN12"/>
    <mergeCell ref="B11:F11"/>
    <mergeCell ref="M11:T11"/>
    <mergeCell ref="V6:Z6"/>
    <mergeCell ref="AA6:AE6"/>
    <mergeCell ref="BJ6:BN6"/>
    <mergeCell ref="BO6:BS6"/>
    <mergeCell ref="B8:K8"/>
    <mergeCell ref="L8:Z8"/>
    <mergeCell ref="AA8:AY8"/>
    <mergeCell ref="AZ8:BI8"/>
    <mergeCell ref="BJ8:BS8"/>
    <mergeCell ref="AF6:AJ6"/>
    <mergeCell ref="AK6:AO6"/>
    <mergeCell ref="AP6:AT6"/>
    <mergeCell ref="AU6:AY6"/>
    <mergeCell ref="AZ6:BD6"/>
    <mergeCell ref="BE6:BI6"/>
    <mergeCell ref="B1:AW1"/>
    <mergeCell ref="B3:BS3"/>
    <mergeCell ref="B4:F4"/>
    <mergeCell ref="G4:K4"/>
    <mergeCell ref="L4:U4"/>
    <mergeCell ref="V4:AE4"/>
    <mergeCell ref="AF4:AJ4"/>
    <mergeCell ref="AK4:AO4"/>
    <mergeCell ref="AP4:AT4"/>
    <mergeCell ref="AU4:AY4"/>
    <mergeCell ref="AZ4:BD4"/>
    <mergeCell ref="BE4:BI4"/>
    <mergeCell ref="BJ4:BN4"/>
    <mergeCell ref="BO4:BS4"/>
    <mergeCell ref="BE5:BI5"/>
    <mergeCell ref="BJ5:BN5"/>
    <mergeCell ref="BO5:BS5"/>
    <mergeCell ref="B7:F7"/>
    <mergeCell ref="G7:K7"/>
    <mergeCell ref="L7:P7"/>
    <mergeCell ref="Q7:U7"/>
    <mergeCell ref="V7:Z7"/>
    <mergeCell ref="AA7:AE7"/>
    <mergeCell ref="AF7:AJ7"/>
    <mergeCell ref="AK7:AO7"/>
    <mergeCell ref="B5:F5"/>
    <mergeCell ref="G5:K5"/>
    <mergeCell ref="L5:U5"/>
    <mergeCell ref="V5:AE5"/>
    <mergeCell ref="AF5:AJ5"/>
    <mergeCell ref="AK5:AO5"/>
    <mergeCell ref="AP5:AT5"/>
    <mergeCell ref="AU5:AY5"/>
    <mergeCell ref="AZ5:BD5"/>
    <mergeCell ref="B6:F6"/>
    <mergeCell ref="G6:K6"/>
    <mergeCell ref="L6:P6"/>
    <mergeCell ref="Q6:U6"/>
    <mergeCell ref="G10:K10"/>
    <mergeCell ref="AP7:AT7"/>
    <mergeCell ref="AU7:AY7"/>
    <mergeCell ref="AZ7:BD7"/>
    <mergeCell ref="BE7:BI7"/>
    <mergeCell ref="BJ7:BN7"/>
    <mergeCell ref="BO7:BS7"/>
    <mergeCell ref="G11:K11"/>
    <mergeCell ref="G12:K12"/>
    <mergeCell ref="AF11:AJ11"/>
    <mergeCell ref="AF12:AJ12"/>
    <mergeCell ref="AU11:AY11"/>
    <mergeCell ref="AU12:AY12"/>
    <mergeCell ref="BE9:BI9"/>
    <mergeCell ref="BE10:BI10"/>
    <mergeCell ref="BE11:BI11"/>
    <mergeCell ref="BE12:BI12"/>
    <mergeCell ref="AZ9:BD9"/>
    <mergeCell ref="BJ9:BN9"/>
    <mergeCell ref="AA11:AE11"/>
    <mergeCell ref="AK11:AO11"/>
    <mergeCell ref="AP11:AT11"/>
    <mergeCell ref="BA11:BD11"/>
    <mergeCell ref="BO9:BS9"/>
    <mergeCell ref="G17:K17"/>
    <mergeCell ref="G18:K18"/>
    <mergeCell ref="G19:K19"/>
    <mergeCell ref="G20:K20"/>
    <mergeCell ref="G21:K21"/>
    <mergeCell ref="G23:K23"/>
    <mergeCell ref="G24:K24"/>
    <mergeCell ref="G25:K25"/>
    <mergeCell ref="G27:K27"/>
    <mergeCell ref="G31:K31"/>
    <mergeCell ref="G32:K32"/>
    <mergeCell ref="G33:K33"/>
    <mergeCell ref="G35:K35"/>
    <mergeCell ref="G38:K38"/>
    <mergeCell ref="G39:K39"/>
    <mergeCell ref="G40:K40"/>
    <mergeCell ref="G41:K41"/>
    <mergeCell ref="G42:K42"/>
    <mergeCell ref="B36:K36"/>
    <mergeCell ref="B39:E39"/>
    <mergeCell ref="B40:E40"/>
    <mergeCell ref="G49:K49"/>
    <mergeCell ref="G50:K50"/>
    <mergeCell ref="G51:K51"/>
    <mergeCell ref="G52:K52"/>
    <mergeCell ref="G53:K53"/>
    <mergeCell ref="G54:K54"/>
    <mergeCell ref="G55:K55"/>
    <mergeCell ref="V10:Z10"/>
    <mergeCell ref="V11:Z11"/>
    <mergeCell ref="V12:Z12"/>
    <mergeCell ref="V13:Z13"/>
    <mergeCell ref="V14:Z14"/>
    <mergeCell ref="V15:Z15"/>
    <mergeCell ref="V16:Z16"/>
    <mergeCell ref="V17:Z17"/>
    <mergeCell ref="V18:Z18"/>
    <mergeCell ref="V19:Z19"/>
    <mergeCell ref="V20:Z20"/>
    <mergeCell ref="V21:Z21"/>
    <mergeCell ref="V22:Z22"/>
    <mergeCell ref="V23:Z23"/>
    <mergeCell ref="V24:Z24"/>
    <mergeCell ref="V25:Z25"/>
    <mergeCell ref="V26:Z26"/>
    <mergeCell ref="V30:Z30"/>
    <mergeCell ref="V31:Z31"/>
    <mergeCell ref="V32:Z32"/>
    <mergeCell ref="V33:Z33"/>
    <mergeCell ref="V34:Z34"/>
    <mergeCell ref="V35:Z35"/>
    <mergeCell ref="V36:Z36"/>
    <mergeCell ref="V37:Z37"/>
    <mergeCell ref="V38:Z38"/>
    <mergeCell ref="V45:Z45"/>
    <mergeCell ref="V46:Z46"/>
    <mergeCell ref="V47:Z47"/>
    <mergeCell ref="V48:Z48"/>
    <mergeCell ref="V49:Z49"/>
    <mergeCell ref="V50:Z50"/>
    <mergeCell ref="V51:Z51"/>
    <mergeCell ref="V52:Z52"/>
    <mergeCell ref="V54:Z54"/>
    <mergeCell ref="AF17:AJ17"/>
    <mergeCell ref="AF18:AJ18"/>
    <mergeCell ref="AF19:AJ19"/>
    <mergeCell ref="AF20:AJ20"/>
    <mergeCell ref="AF21:AJ21"/>
    <mergeCell ref="AF22:AJ22"/>
    <mergeCell ref="AF23:AJ23"/>
    <mergeCell ref="AF24:AJ24"/>
    <mergeCell ref="AF25:AJ25"/>
    <mergeCell ref="AK24:AO24"/>
    <mergeCell ref="AK25:AO25"/>
    <mergeCell ref="AK26:AO26"/>
    <mergeCell ref="AK27:AO27"/>
    <mergeCell ref="AK28:AO28"/>
    <mergeCell ref="AU13:AY13"/>
    <mergeCell ref="AU14:AY14"/>
    <mergeCell ref="AU15:AY15"/>
    <mergeCell ref="AU16:AY16"/>
    <mergeCell ref="AU17:AY17"/>
    <mergeCell ref="AU18:AY18"/>
    <mergeCell ref="AU19:AY19"/>
    <mergeCell ref="AU20:AY20"/>
    <mergeCell ref="AU21:AY21"/>
    <mergeCell ref="AU24:AY24"/>
    <mergeCell ref="AF27:AJ27"/>
    <mergeCell ref="AF28:AJ28"/>
    <mergeCell ref="AF29:AJ29"/>
    <mergeCell ref="AF54:AJ54"/>
    <mergeCell ref="AF55:AJ55"/>
    <mergeCell ref="AF56:AJ56"/>
    <mergeCell ref="AK36:AO36"/>
    <mergeCell ref="AK37:AO37"/>
    <mergeCell ref="AK38:AO38"/>
    <mergeCell ref="AK39:AO39"/>
    <mergeCell ref="AK40:AO40"/>
    <mergeCell ref="AK41:AO41"/>
    <mergeCell ref="AK42:AO42"/>
    <mergeCell ref="AK43:AO43"/>
    <mergeCell ref="AK44:AO44"/>
    <mergeCell ref="AK45:AO45"/>
    <mergeCell ref="AK46:AO46"/>
    <mergeCell ref="AF44:AJ44"/>
    <mergeCell ref="AF45:AJ45"/>
    <mergeCell ref="AF46:AJ46"/>
    <mergeCell ref="AF47:AJ47"/>
    <mergeCell ref="AF48:AJ48"/>
    <mergeCell ref="AF49:AJ49"/>
    <mergeCell ref="AF50:AJ50"/>
    <mergeCell ref="AP44:AT44"/>
    <mergeCell ref="AP45:AT45"/>
    <mergeCell ref="AP46:AT46"/>
    <mergeCell ref="AU36:AY36"/>
    <mergeCell ref="AU37:AY37"/>
    <mergeCell ref="AU38:AY38"/>
    <mergeCell ref="AU40:AY40"/>
    <mergeCell ref="AU41:AY41"/>
    <mergeCell ref="AU44:AY44"/>
    <mergeCell ref="AU45:AY45"/>
    <mergeCell ref="AU46:AY46"/>
    <mergeCell ref="AF39:AJ39"/>
    <mergeCell ref="AF40:AJ40"/>
    <mergeCell ref="AF41:AJ41"/>
    <mergeCell ref="AF42:AJ42"/>
    <mergeCell ref="AF43:AJ43"/>
    <mergeCell ref="AP36:AT36"/>
    <mergeCell ref="AP37:AT37"/>
    <mergeCell ref="AP38:AT38"/>
    <mergeCell ref="AP41:AT41"/>
    <mergeCell ref="AU49:AY49"/>
    <mergeCell ref="AU50:AY50"/>
    <mergeCell ref="AU51:AY51"/>
    <mergeCell ref="AU52:AY52"/>
    <mergeCell ref="AU53:AY53"/>
    <mergeCell ref="AU54:AY54"/>
    <mergeCell ref="BE49:BI49"/>
    <mergeCell ref="BE50:BI50"/>
    <mergeCell ref="BE51:BI51"/>
    <mergeCell ref="BE52:BI52"/>
    <mergeCell ref="BE53:BI53"/>
    <mergeCell ref="BE54:BI54"/>
    <mergeCell ref="BA52:BD52"/>
    <mergeCell ref="BA50:BD50"/>
    <mergeCell ref="BE55:BI55"/>
    <mergeCell ref="BE56:BI56"/>
    <mergeCell ref="BJ49:BN49"/>
    <mergeCell ref="BJ50:BN50"/>
    <mergeCell ref="BJ51:BN51"/>
    <mergeCell ref="BJ52:BN52"/>
    <mergeCell ref="BJ53:BN53"/>
    <mergeCell ref="BJ54:BN54"/>
    <mergeCell ref="BJ56:BN56"/>
    <mergeCell ref="BJ55:BN55"/>
    <mergeCell ref="BE17:BI17"/>
    <mergeCell ref="BE18:BI18"/>
    <mergeCell ref="BE19:BI19"/>
    <mergeCell ref="BE20:BI20"/>
    <mergeCell ref="BE21:BI21"/>
    <mergeCell ref="BE24:BI24"/>
    <mergeCell ref="BE25:BI25"/>
    <mergeCell ref="BE26:BI26"/>
    <mergeCell ref="BE27:BI27"/>
    <mergeCell ref="BO10:BS10"/>
    <mergeCell ref="BO11:BS11"/>
    <mergeCell ref="BO12:BS12"/>
    <mergeCell ref="BO13:BS13"/>
    <mergeCell ref="BO14:BS14"/>
    <mergeCell ref="BO15:BS15"/>
    <mergeCell ref="BO16:BS16"/>
    <mergeCell ref="BO17:BS17"/>
    <mergeCell ref="BO18:BS18"/>
    <mergeCell ref="BO19:BS19"/>
    <mergeCell ref="BO20:BS20"/>
    <mergeCell ref="BO21:BS21"/>
    <mergeCell ref="BO22:BS22"/>
    <mergeCell ref="BO23:BS23"/>
    <mergeCell ref="BO24:BS24"/>
    <mergeCell ref="BO25:BS25"/>
    <mergeCell ref="BO26:BS26"/>
    <mergeCell ref="BO27:BS27"/>
    <mergeCell ref="BO28:BS28"/>
    <mergeCell ref="BE31:BI31"/>
    <mergeCell ref="BE32:BI32"/>
    <mergeCell ref="BE33:BI33"/>
    <mergeCell ref="BE34:BI34"/>
    <mergeCell ref="BE35:BI35"/>
    <mergeCell ref="BO31:BS31"/>
    <mergeCell ref="BO32:BS32"/>
    <mergeCell ref="BO33:BS33"/>
    <mergeCell ref="BO34:BS34"/>
    <mergeCell ref="BE39:BI39"/>
    <mergeCell ref="BE40:BI40"/>
    <mergeCell ref="BE41:BI41"/>
    <mergeCell ref="BE42:BI42"/>
    <mergeCell ref="BE43:BI43"/>
    <mergeCell ref="BE44:BI44"/>
    <mergeCell ref="BE45:BI45"/>
    <mergeCell ref="BJ39:BN39"/>
    <mergeCell ref="BJ40:BN40"/>
    <mergeCell ref="BJ41:BN41"/>
    <mergeCell ref="BJ42:BN42"/>
    <mergeCell ref="BJ43:BN43"/>
    <mergeCell ref="BO39:BS39"/>
    <mergeCell ref="BO40:BS40"/>
    <mergeCell ref="BO41:BS41"/>
    <mergeCell ref="BO42:BS42"/>
    <mergeCell ref="BO43:BS43"/>
    <mergeCell ref="BO44:BS44"/>
    <mergeCell ref="BO45:BS45"/>
    <mergeCell ref="BO46:BS46"/>
    <mergeCell ref="BO47:BS47"/>
    <mergeCell ref="BO48:BS48"/>
    <mergeCell ref="BO49:BS49"/>
    <mergeCell ref="BO50:BS50"/>
    <mergeCell ref="BO51:BS51"/>
    <mergeCell ref="BO52:BS52"/>
    <mergeCell ref="BO53:BS53"/>
    <mergeCell ref="BO54:BS54"/>
    <mergeCell ref="BO55:BS55"/>
    <mergeCell ref="BO56:BS56"/>
  </mergeCells>
  <phoneticPr fontId="4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2"/>
  <dimension ref="A1:CN64"/>
  <sheetViews>
    <sheetView view="pageBreakPreview" zoomScale="120" zoomScaleNormal="120" zoomScaleSheetLayoutView="120" workbookViewId="0"/>
  </sheetViews>
  <sheetFormatPr defaultColWidth="2.875" defaultRowHeight="14.25" customHeight="1" x14ac:dyDescent="0.15"/>
  <cols>
    <col min="1" max="1" width="2" style="1" customWidth="1"/>
    <col min="2" max="3" width="1.375" style="1" customWidth="1"/>
    <col min="4" max="4" width="1.875" style="1" customWidth="1"/>
    <col min="5" max="5" width="2.625" style="1" customWidth="1"/>
    <col min="6" max="6" width="2.375" style="1" customWidth="1"/>
    <col min="7" max="10" width="1.875" style="1" customWidth="1"/>
    <col min="11" max="11" width="2.5" style="1" customWidth="1"/>
    <col min="12" max="16" width="1.875" style="1" customWidth="1"/>
    <col min="17" max="18" width="1.5" style="1" customWidth="1"/>
    <col min="19" max="19" width="2.125" style="1" customWidth="1"/>
    <col min="20" max="20" width="2.625" style="1" customWidth="1"/>
    <col min="21" max="21" width="1.5" style="1" customWidth="1"/>
    <col min="22" max="25" width="1.875" style="1" customWidth="1"/>
    <col min="26" max="26" width="2.125" style="1" customWidth="1"/>
    <col min="27" max="33" width="1.875" style="1" customWidth="1"/>
    <col min="34" max="34" width="1.125" style="1" customWidth="1"/>
    <col min="35" max="35" width="1.875" style="1" customWidth="1"/>
    <col min="36" max="36" width="2.875" style="1" customWidth="1"/>
    <col min="37" max="46" width="1.875" style="1" customWidth="1"/>
    <col min="47" max="47" width="0.875" style="1" customWidth="1"/>
    <col min="48" max="48" width="2.5" style="1" customWidth="1"/>
    <col min="49" max="50" width="1.875" style="1" customWidth="1"/>
    <col min="51" max="51" width="2" style="1" customWidth="1"/>
    <col min="52" max="52" width="0.875" style="1" customWidth="1"/>
    <col min="53" max="55" width="1.875" style="1" customWidth="1"/>
    <col min="56" max="56" width="2.625" style="1" customWidth="1"/>
    <col min="57" max="61" width="1.875" style="1" customWidth="1"/>
    <col min="62" max="63" width="1.125" style="1" customWidth="1"/>
    <col min="64" max="65" width="1.875" style="1" customWidth="1"/>
    <col min="66" max="66" width="3.5" style="1" customWidth="1"/>
    <col min="67" max="76" width="1.875" style="1" customWidth="1"/>
    <col min="77" max="78" width="2.875" style="1"/>
    <col min="79" max="92" width="2.875" style="306"/>
    <col min="93" max="16384" width="2.875" style="1"/>
  </cols>
  <sheetData>
    <row r="1" spans="1:76" ht="14.25" customHeight="1" thickBot="1" x14ac:dyDescent="0.2">
      <c r="B1" s="545" t="str">
        <f>AZ3&amp;"年　農業経営統計調査（営農類型別経営統計（法人経営））　個別結果表No.２"</f>
        <v>0年　農業経営統計調査（営農類型別経営統計（法人経営））　個別結果表No.２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</row>
    <row r="2" spans="1:76" ht="9.75" customHeight="1" x14ac:dyDescent="0.15">
      <c r="A2" s="2"/>
      <c r="B2" s="550"/>
      <c r="C2" s="550"/>
      <c r="D2" s="550"/>
      <c r="E2" s="550"/>
      <c r="F2" s="550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50"/>
      <c r="R2" s="550"/>
      <c r="S2" s="550"/>
      <c r="T2" s="550"/>
      <c r="U2" s="550"/>
      <c r="V2" s="550"/>
      <c r="W2" s="550"/>
      <c r="X2" s="550"/>
      <c r="Y2" s="550"/>
      <c r="Z2" s="550"/>
      <c r="AA2" s="550"/>
      <c r="AB2" s="550"/>
      <c r="AC2" s="550"/>
      <c r="AD2" s="550"/>
      <c r="AE2" s="550"/>
      <c r="AF2" s="550"/>
      <c r="AG2" s="550"/>
      <c r="AH2" s="550"/>
      <c r="AI2" s="550"/>
      <c r="AJ2" s="550"/>
      <c r="AK2" s="550"/>
      <c r="AL2" s="550"/>
      <c r="AM2" s="550"/>
      <c r="AN2" s="550"/>
      <c r="AO2" s="550"/>
      <c r="AP2" s="550"/>
      <c r="AQ2" s="550"/>
      <c r="AR2" s="550"/>
      <c r="AS2" s="550"/>
      <c r="AT2" s="550"/>
      <c r="AZ2" s="856" t="s">
        <v>0</v>
      </c>
      <c r="BA2" s="857"/>
      <c r="BB2" s="857"/>
      <c r="BC2" s="857"/>
      <c r="BD2" s="857"/>
      <c r="BE2" s="858" t="s">
        <v>2</v>
      </c>
      <c r="BF2" s="859"/>
      <c r="BG2" s="859"/>
      <c r="BH2" s="859"/>
      <c r="BI2" s="859"/>
      <c r="BJ2" s="859"/>
      <c r="BK2" s="859"/>
      <c r="BL2" s="859"/>
      <c r="BM2" s="859"/>
      <c r="BN2" s="860"/>
      <c r="BO2" s="861" t="s">
        <v>5</v>
      </c>
      <c r="BP2" s="857"/>
      <c r="BQ2" s="857"/>
      <c r="BR2" s="857"/>
      <c r="BS2" s="857"/>
      <c r="BT2" s="858" t="s">
        <v>514</v>
      </c>
      <c r="BU2" s="859"/>
      <c r="BV2" s="859"/>
      <c r="BW2" s="859"/>
      <c r="BX2" s="862"/>
    </row>
    <row r="3" spans="1:76" ht="9.75" customHeight="1" thickBot="1" x14ac:dyDescent="0.2">
      <c r="A3" s="2"/>
      <c r="B3" s="863"/>
      <c r="C3" s="863"/>
      <c r="D3" s="863"/>
      <c r="E3" s="863"/>
      <c r="F3" s="863"/>
      <c r="G3" s="863"/>
      <c r="H3" s="863"/>
      <c r="I3" s="863"/>
      <c r="J3" s="863"/>
      <c r="K3" s="863"/>
      <c r="L3" s="863"/>
      <c r="M3" s="863"/>
      <c r="N3" s="863"/>
      <c r="O3" s="863"/>
      <c r="P3" s="863"/>
      <c r="Q3" s="863"/>
      <c r="R3" s="863"/>
      <c r="S3" s="863"/>
      <c r="T3" s="863"/>
      <c r="U3" s="863"/>
      <c r="V3" s="863"/>
      <c r="W3" s="863"/>
      <c r="X3" s="863"/>
      <c r="Y3" s="863"/>
      <c r="Z3" s="863"/>
      <c r="AA3" s="863"/>
      <c r="AB3" s="863"/>
      <c r="AC3" s="863"/>
      <c r="AD3" s="863"/>
      <c r="AE3" s="863"/>
      <c r="AF3" s="863"/>
      <c r="AG3" s="863"/>
      <c r="AH3" s="863"/>
      <c r="AI3" s="863"/>
      <c r="AJ3" s="863"/>
      <c r="AK3" s="863"/>
      <c r="AL3" s="863"/>
      <c r="AM3" s="863"/>
      <c r="AN3" s="863"/>
      <c r="AO3" s="863"/>
      <c r="AP3" s="863"/>
      <c r="AQ3" s="863"/>
      <c r="AR3" s="863"/>
      <c r="AS3" s="863"/>
      <c r="AT3" s="863"/>
      <c r="AZ3" s="825">
        <f>'No1'!B5</f>
        <v>0</v>
      </c>
      <c r="BA3" s="826"/>
      <c r="BB3" s="826"/>
      <c r="BC3" s="826"/>
      <c r="BD3" s="827"/>
      <c r="BE3" s="828" t="str">
        <f>IF('No1'!L5&lt;&gt;"",'No1'!L5,"")</f>
        <v/>
      </c>
      <c r="BF3" s="826"/>
      <c r="BG3" s="826"/>
      <c r="BH3" s="826"/>
      <c r="BI3" s="826"/>
      <c r="BJ3" s="826"/>
      <c r="BK3" s="826"/>
      <c r="BL3" s="826"/>
      <c r="BM3" s="826"/>
      <c r="BN3" s="827"/>
      <c r="BO3" s="829">
        <f>'No1'!AK5</f>
        <v>0</v>
      </c>
      <c r="BP3" s="830"/>
      <c r="BQ3" s="830"/>
      <c r="BR3" s="830"/>
      <c r="BS3" s="831"/>
      <c r="BT3" s="864">
        <f>'No1'!AP5</f>
        <v>0</v>
      </c>
      <c r="BU3" s="865"/>
      <c r="BV3" s="865"/>
      <c r="BW3" s="865"/>
      <c r="BX3" s="866"/>
    </row>
    <row r="4" spans="1:76" ht="9.75" customHeight="1" x14ac:dyDescent="0.15">
      <c r="A4" s="2"/>
      <c r="B4" s="867" t="s">
        <v>225</v>
      </c>
      <c r="C4" s="868"/>
      <c r="D4" s="868"/>
      <c r="E4" s="868"/>
      <c r="F4" s="868"/>
      <c r="G4" s="868"/>
      <c r="H4" s="868"/>
      <c r="I4" s="868"/>
      <c r="J4" s="868"/>
      <c r="K4" s="868"/>
      <c r="L4" s="868"/>
      <c r="M4" s="868"/>
      <c r="N4" s="868"/>
      <c r="O4" s="868"/>
      <c r="P4" s="868"/>
      <c r="Q4" s="868"/>
      <c r="R4" s="868"/>
      <c r="S4" s="868"/>
      <c r="T4" s="868"/>
      <c r="U4" s="868"/>
      <c r="V4" s="868"/>
      <c r="W4" s="868"/>
      <c r="X4" s="868"/>
      <c r="Y4" s="868"/>
      <c r="Z4" s="868"/>
      <c r="AA4" s="868"/>
      <c r="AB4" s="868"/>
      <c r="AC4" s="868"/>
      <c r="AD4" s="868"/>
      <c r="AE4" s="869"/>
      <c r="AF4" s="547" t="s">
        <v>226</v>
      </c>
      <c r="AG4" s="547"/>
      <c r="AH4" s="547"/>
      <c r="AI4" s="547"/>
      <c r="AJ4" s="547"/>
      <c r="AK4" s="547"/>
      <c r="AL4" s="547"/>
      <c r="AM4" s="547"/>
      <c r="AN4" s="547"/>
      <c r="AO4" s="547"/>
      <c r="AP4" s="547"/>
      <c r="AQ4" s="547"/>
      <c r="AR4" s="547"/>
      <c r="AS4" s="547"/>
      <c r="AT4" s="547"/>
      <c r="AU4" s="547"/>
      <c r="AV4" s="547"/>
      <c r="AW4" s="547"/>
      <c r="AX4" s="547"/>
      <c r="AY4" s="547"/>
      <c r="AZ4" s="547"/>
      <c r="BA4" s="547"/>
      <c r="BB4" s="547"/>
      <c r="BC4" s="547"/>
      <c r="BD4" s="547"/>
      <c r="BE4" s="547"/>
      <c r="BF4" s="547"/>
      <c r="BG4" s="547"/>
      <c r="BH4" s="547"/>
      <c r="BI4" s="547"/>
      <c r="BJ4" s="867" t="s">
        <v>227</v>
      </c>
      <c r="BK4" s="868"/>
      <c r="BL4" s="868"/>
      <c r="BM4" s="868"/>
      <c r="BN4" s="868"/>
      <c r="BO4" s="868"/>
      <c r="BP4" s="868"/>
      <c r="BQ4" s="868"/>
      <c r="BR4" s="868"/>
      <c r="BS4" s="868"/>
      <c r="BT4" s="868"/>
      <c r="BU4" s="868"/>
      <c r="BV4" s="868"/>
      <c r="BW4" s="868"/>
      <c r="BX4" s="869"/>
    </row>
    <row r="5" spans="1:76" ht="9.75" customHeight="1" x14ac:dyDescent="0.15">
      <c r="A5" s="2">
        <v>1</v>
      </c>
      <c r="B5" s="870" t="s">
        <v>228</v>
      </c>
      <c r="C5" s="871"/>
      <c r="D5" s="874" t="s">
        <v>229</v>
      </c>
      <c r="E5" s="875"/>
      <c r="F5" s="878" t="s">
        <v>507</v>
      </c>
      <c r="G5" s="879"/>
      <c r="H5" s="879"/>
      <c r="I5" s="879"/>
      <c r="J5" s="880"/>
      <c r="K5" s="307" t="s">
        <v>230</v>
      </c>
      <c r="L5" s="373"/>
      <c r="M5" s="374"/>
      <c r="N5" s="374"/>
      <c r="O5" s="374"/>
      <c r="P5" s="753"/>
      <c r="Q5" s="733" t="s">
        <v>231</v>
      </c>
      <c r="R5" s="881"/>
      <c r="S5" s="489" t="s">
        <v>232</v>
      </c>
      <c r="T5" s="852"/>
      <c r="U5" s="884" t="s">
        <v>233</v>
      </c>
      <c r="V5" s="884"/>
      <c r="W5" s="884"/>
      <c r="X5" s="884"/>
      <c r="Y5" s="885"/>
      <c r="Z5" s="19" t="s">
        <v>234</v>
      </c>
      <c r="AA5" s="373"/>
      <c r="AB5" s="374"/>
      <c r="AC5" s="374"/>
      <c r="AD5" s="374"/>
      <c r="AE5" s="375"/>
      <c r="AF5" s="905"/>
      <c r="AG5" s="906"/>
      <c r="AH5" s="906"/>
      <c r="AI5" s="906"/>
      <c r="AJ5" s="907"/>
      <c r="AK5" s="908" t="s">
        <v>235</v>
      </c>
      <c r="AL5" s="909"/>
      <c r="AM5" s="909"/>
      <c r="AN5" s="909"/>
      <c r="AO5" s="910"/>
      <c r="AP5" s="908" t="s">
        <v>236</v>
      </c>
      <c r="AQ5" s="909"/>
      <c r="AR5" s="909"/>
      <c r="AS5" s="909"/>
      <c r="AT5" s="910"/>
      <c r="AU5" s="907"/>
      <c r="AV5" s="911"/>
      <c r="AW5" s="911"/>
      <c r="AX5" s="911"/>
      <c r="AY5" s="911"/>
      <c r="AZ5" s="912" t="s">
        <v>237</v>
      </c>
      <c r="BA5" s="912"/>
      <c r="BB5" s="912"/>
      <c r="BC5" s="912"/>
      <c r="BD5" s="912"/>
      <c r="BE5" s="906" t="s">
        <v>236</v>
      </c>
      <c r="BF5" s="906"/>
      <c r="BG5" s="906"/>
      <c r="BH5" s="906"/>
      <c r="BI5" s="906"/>
      <c r="BJ5" s="886" t="s">
        <v>238</v>
      </c>
      <c r="BK5" s="887"/>
      <c r="BL5" s="887"/>
      <c r="BM5" s="887"/>
      <c r="BN5" s="888"/>
      <c r="BO5" s="889" t="s">
        <v>239</v>
      </c>
      <c r="BP5" s="890"/>
      <c r="BQ5" s="890"/>
      <c r="BR5" s="890"/>
      <c r="BS5" s="891"/>
      <c r="BT5" s="889" t="s">
        <v>240</v>
      </c>
      <c r="BU5" s="890"/>
      <c r="BV5" s="890"/>
      <c r="BW5" s="890"/>
      <c r="BX5" s="892"/>
    </row>
    <row r="6" spans="1:76" ht="9.75" customHeight="1" x14ac:dyDescent="0.15">
      <c r="A6" s="2">
        <v>2</v>
      </c>
      <c r="B6" s="870"/>
      <c r="C6" s="871"/>
      <c r="D6" s="874"/>
      <c r="E6" s="875"/>
      <c r="F6" s="893" t="s">
        <v>241</v>
      </c>
      <c r="G6" s="894"/>
      <c r="H6" s="894"/>
      <c r="I6" s="894"/>
      <c r="J6" s="895"/>
      <c r="K6" s="159" t="s">
        <v>80</v>
      </c>
      <c r="L6" s="361"/>
      <c r="M6" s="356"/>
      <c r="N6" s="356"/>
      <c r="O6" s="356"/>
      <c r="P6" s="369"/>
      <c r="Q6" s="722"/>
      <c r="R6" s="882"/>
      <c r="S6" s="581"/>
      <c r="T6" s="853"/>
      <c r="U6" s="894" t="s">
        <v>242</v>
      </c>
      <c r="V6" s="894"/>
      <c r="W6" s="894"/>
      <c r="X6" s="894"/>
      <c r="Y6" s="895"/>
      <c r="Z6" s="20" t="s">
        <v>80</v>
      </c>
      <c r="AA6" s="361"/>
      <c r="AB6" s="356"/>
      <c r="AC6" s="356"/>
      <c r="AD6" s="356"/>
      <c r="AE6" s="357"/>
      <c r="AF6" s="896" t="s">
        <v>243</v>
      </c>
      <c r="AG6" s="897"/>
      <c r="AH6" s="897"/>
      <c r="AI6" s="897"/>
      <c r="AJ6" s="898"/>
      <c r="AK6" s="899"/>
      <c r="AL6" s="900"/>
      <c r="AM6" s="900"/>
      <c r="AN6" s="900"/>
      <c r="AO6" s="901"/>
      <c r="AP6" s="838"/>
      <c r="AQ6" s="839"/>
      <c r="AR6" s="839"/>
      <c r="AS6" s="839"/>
      <c r="AT6" s="855"/>
      <c r="AU6" s="902" t="s">
        <v>244</v>
      </c>
      <c r="AV6" s="903"/>
      <c r="AW6" s="903"/>
      <c r="AX6" s="903"/>
      <c r="AY6" s="904"/>
      <c r="AZ6" s="899"/>
      <c r="BA6" s="900"/>
      <c r="BB6" s="900"/>
      <c r="BC6" s="900"/>
      <c r="BD6" s="901"/>
      <c r="BE6" s="838"/>
      <c r="BF6" s="839"/>
      <c r="BG6" s="839"/>
      <c r="BH6" s="839"/>
      <c r="BI6" s="840"/>
      <c r="BJ6" s="549"/>
      <c r="BK6" s="550"/>
      <c r="BL6" s="550"/>
      <c r="BM6" s="550"/>
      <c r="BN6" s="551"/>
      <c r="BO6" s="824"/>
      <c r="BP6" s="386"/>
      <c r="BQ6" s="386"/>
      <c r="BR6" s="386"/>
      <c r="BS6" s="387"/>
      <c r="BT6" s="824"/>
      <c r="BU6" s="386"/>
      <c r="BV6" s="386"/>
      <c r="BW6" s="386"/>
      <c r="BX6" s="397"/>
    </row>
    <row r="7" spans="1:76" ht="9.75" customHeight="1" x14ac:dyDescent="0.15">
      <c r="A7" s="2">
        <v>3</v>
      </c>
      <c r="B7" s="870"/>
      <c r="C7" s="871"/>
      <c r="D7" s="874"/>
      <c r="E7" s="875"/>
      <c r="F7" s="893" t="s">
        <v>245</v>
      </c>
      <c r="G7" s="894"/>
      <c r="H7" s="894"/>
      <c r="I7" s="894"/>
      <c r="J7" s="895"/>
      <c r="K7" s="20" t="s">
        <v>80</v>
      </c>
      <c r="L7" s="361"/>
      <c r="M7" s="356"/>
      <c r="N7" s="356"/>
      <c r="O7" s="356"/>
      <c r="P7" s="369"/>
      <c r="Q7" s="724"/>
      <c r="R7" s="883"/>
      <c r="S7" s="553"/>
      <c r="T7" s="854"/>
      <c r="U7" s="926" t="s">
        <v>316</v>
      </c>
      <c r="V7" s="926"/>
      <c r="W7" s="926"/>
      <c r="X7" s="926"/>
      <c r="Y7" s="927"/>
      <c r="Z7" s="160" t="s">
        <v>80</v>
      </c>
      <c r="AA7" s="457"/>
      <c r="AB7" s="458"/>
      <c r="AC7" s="458"/>
      <c r="AD7" s="458"/>
      <c r="AE7" s="459"/>
      <c r="AF7" s="871" t="s">
        <v>249</v>
      </c>
      <c r="AG7" s="928" t="s">
        <v>250</v>
      </c>
      <c r="AH7" s="853"/>
      <c r="AI7" s="931" t="s">
        <v>251</v>
      </c>
      <c r="AJ7" s="931"/>
      <c r="AK7" s="373"/>
      <c r="AL7" s="374"/>
      <c r="AM7" s="374"/>
      <c r="AN7" s="374"/>
      <c r="AO7" s="753"/>
      <c r="AP7" s="373"/>
      <c r="AQ7" s="374"/>
      <c r="AR7" s="374"/>
      <c r="AS7" s="374"/>
      <c r="AT7" s="753"/>
      <c r="AU7" s="581" t="s">
        <v>252</v>
      </c>
      <c r="AV7" s="853"/>
      <c r="AW7" s="913" t="s">
        <v>253</v>
      </c>
      <c r="AX7" s="913"/>
      <c r="AY7" s="914"/>
      <c r="AZ7" s="915"/>
      <c r="BA7" s="916"/>
      <c r="BB7" s="916"/>
      <c r="BC7" s="916"/>
      <c r="BD7" s="917"/>
      <c r="BE7" s="373"/>
      <c r="BF7" s="374"/>
      <c r="BG7" s="374"/>
      <c r="BH7" s="374"/>
      <c r="BI7" s="375"/>
      <c r="BJ7" s="918"/>
      <c r="BK7" s="598"/>
      <c r="BL7" s="598"/>
      <c r="BM7" s="598"/>
      <c r="BN7" s="646"/>
      <c r="BO7" s="409"/>
      <c r="BP7" s="401"/>
      <c r="BQ7" s="401"/>
      <c r="BR7" s="401"/>
      <c r="BS7" s="832"/>
      <c r="BT7" s="409"/>
      <c r="BU7" s="401"/>
      <c r="BV7" s="401"/>
      <c r="BW7" s="401"/>
      <c r="BX7" s="402"/>
    </row>
    <row r="8" spans="1:76" ht="9.75" customHeight="1" x14ac:dyDescent="0.15">
      <c r="A8" s="2">
        <v>4</v>
      </c>
      <c r="B8" s="870"/>
      <c r="C8" s="871"/>
      <c r="D8" s="874"/>
      <c r="E8" s="875"/>
      <c r="F8" s="893" t="s">
        <v>241</v>
      </c>
      <c r="G8" s="894"/>
      <c r="H8" s="894"/>
      <c r="I8" s="894"/>
      <c r="J8" s="895"/>
      <c r="K8" s="159" t="s">
        <v>80</v>
      </c>
      <c r="L8" s="361"/>
      <c r="M8" s="356"/>
      <c r="N8" s="356"/>
      <c r="O8" s="356"/>
      <c r="P8" s="369"/>
      <c r="Q8" s="919" t="s">
        <v>246</v>
      </c>
      <c r="R8" s="919"/>
      <c r="S8" s="921" t="s">
        <v>247</v>
      </c>
      <c r="T8" s="877"/>
      <c r="U8" s="878" t="s">
        <v>248</v>
      </c>
      <c r="V8" s="879"/>
      <c r="W8" s="879"/>
      <c r="X8" s="879"/>
      <c r="Y8" s="880"/>
      <c r="Z8" s="158" t="s">
        <v>230</v>
      </c>
      <c r="AA8" s="373"/>
      <c r="AB8" s="374"/>
      <c r="AC8" s="374"/>
      <c r="AD8" s="374"/>
      <c r="AE8" s="375"/>
      <c r="AF8" s="871"/>
      <c r="AG8" s="929"/>
      <c r="AH8" s="930"/>
      <c r="AI8" s="924" t="s">
        <v>255</v>
      </c>
      <c r="AJ8" s="924"/>
      <c r="AK8" s="361"/>
      <c r="AL8" s="356"/>
      <c r="AM8" s="356"/>
      <c r="AN8" s="356"/>
      <c r="AO8" s="369"/>
      <c r="AP8" s="361"/>
      <c r="AQ8" s="356"/>
      <c r="AR8" s="356"/>
      <c r="AS8" s="356"/>
      <c r="AT8" s="369"/>
      <c r="AU8" s="581"/>
      <c r="AV8" s="853"/>
      <c r="AW8" s="650" t="s">
        <v>256</v>
      </c>
      <c r="AX8" s="925"/>
      <c r="AY8" s="651"/>
      <c r="AZ8" s="361"/>
      <c r="BA8" s="356"/>
      <c r="BB8" s="356"/>
      <c r="BC8" s="356"/>
      <c r="BD8" s="369"/>
      <c r="BE8" s="361"/>
      <c r="BF8" s="356"/>
      <c r="BG8" s="356"/>
      <c r="BH8" s="356"/>
      <c r="BI8" s="357"/>
      <c r="BJ8" s="918"/>
      <c r="BK8" s="598"/>
      <c r="BL8" s="598"/>
      <c r="BM8" s="598"/>
      <c r="BN8" s="646"/>
      <c r="BO8" s="409"/>
      <c r="BP8" s="401"/>
      <c r="BQ8" s="401"/>
      <c r="BR8" s="401"/>
      <c r="BS8" s="832"/>
      <c r="BT8" s="409"/>
      <c r="BU8" s="401"/>
      <c r="BV8" s="401"/>
      <c r="BW8" s="401"/>
      <c r="BX8" s="402"/>
    </row>
    <row r="9" spans="1:76" ht="9.75" customHeight="1" x14ac:dyDescent="0.15">
      <c r="A9" s="2">
        <v>5</v>
      </c>
      <c r="B9" s="870"/>
      <c r="C9" s="871"/>
      <c r="D9" s="876"/>
      <c r="E9" s="877"/>
      <c r="F9" s="893" t="s">
        <v>257</v>
      </c>
      <c r="G9" s="894"/>
      <c r="H9" s="894"/>
      <c r="I9" s="894"/>
      <c r="J9" s="895"/>
      <c r="K9" s="159" t="s">
        <v>80</v>
      </c>
      <c r="L9" s="376"/>
      <c r="M9" s="377"/>
      <c r="N9" s="377"/>
      <c r="O9" s="377"/>
      <c r="P9" s="378"/>
      <c r="Q9" s="919"/>
      <c r="R9" s="919"/>
      <c r="S9" s="922"/>
      <c r="T9" s="923"/>
      <c r="U9" s="893" t="s">
        <v>241</v>
      </c>
      <c r="V9" s="894"/>
      <c r="W9" s="894"/>
      <c r="X9" s="894"/>
      <c r="Y9" s="895"/>
      <c r="Z9" s="20" t="s">
        <v>254</v>
      </c>
      <c r="AA9" s="361"/>
      <c r="AB9" s="356"/>
      <c r="AC9" s="356"/>
      <c r="AD9" s="356"/>
      <c r="AE9" s="357"/>
      <c r="AF9" s="871"/>
      <c r="AG9" s="932" t="s">
        <v>259</v>
      </c>
      <c r="AH9" s="932"/>
      <c r="AI9" s="932"/>
      <c r="AJ9" s="932"/>
      <c r="AK9" s="590"/>
      <c r="AL9" s="591"/>
      <c r="AM9" s="591"/>
      <c r="AN9" s="591"/>
      <c r="AO9" s="636"/>
      <c r="AP9" s="361"/>
      <c r="AQ9" s="356"/>
      <c r="AR9" s="356"/>
      <c r="AS9" s="356"/>
      <c r="AT9" s="369"/>
      <c r="AU9" s="553"/>
      <c r="AV9" s="854"/>
      <c r="AW9" s="846" t="s">
        <v>260</v>
      </c>
      <c r="AX9" s="847"/>
      <c r="AY9" s="848"/>
      <c r="AZ9" s="849"/>
      <c r="BA9" s="850"/>
      <c r="BB9" s="850"/>
      <c r="BC9" s="850"/>
      <c r="BD9" s="851"/>
      <c r="BE9" s="457"/>
      <c r="BF9" s="458"/>
      <c r="BG9" s="458"/>
      <c r="BH9" s="458"/>
      <c r="BI9" s="459"/>
      <c r="BJ9" s="918"/>
      <c r="BK9" s="598"/>
      <c r="BL9" s="598"/>
      <c r="BM9" s="598"/>
      <c r="BN9" s="646"/>
      <c r="BO9" s="409"/>
      <c r="BP9" s="401"/>
      <c r="BQ9" s="401"/>
      <c r="BR9" s="401"/>
      <c r="BS9" s="832"/>
      <c r="BT9" s="409"/>
      <c r="BU9" s="401"/>
      <c r="BV9" s="401"/>
      <c r="BW9" s="401"/>
      <c r="BX9" s="402"/>
    </row>
    <row r="10" spans="1:76" ht="9.75" customHeight="1" x14ac:dyDescent="0.15">
      <c r="A10" s="2">
        <v>6</v>
      </c>
      <c r="B10" s="870"/>
      <c r="C10" s="871"/>
      <c r="D10" s="934" t="s">
        <v>232</v>
      </c>
      <c r="E10" s="935"/>
      <c r="F10" s="893" t="s">
        <v>508</v>
      </c>
      <c r="G10" s="894"/>
      <c r="H10" s="894"/>
      <c r="I10" s="894"/>
      <c r="J10" s="895"/>
      <c r="K10" s="20" t="s">
        <v>234</v>
      </c>
      <c r="L10" s="361"/>
      <c r="M10" s="356"/>
      <c r="N10" s="356"/>
      <c r="O10" s="356"/>
      <c r="P10" s="369"/>
      <c r="Q10" s="919"/>
      <c r="R10" s="919"/>
      <c r="S10" s="922"/>
      <c r="T10" s="923"/>
      <c r="U10" s="893" t="s">
        <v>258</v>
      </c>
      <c r="V10" s="894"/>
      <c r="W10" s="894"/>
      <c r="X10" s="894"/>
      <c r="Y10" s="895"/>
      <c r="Z10" s="20" t="s">
        <v>254</v>
      </c>
      <c r="AA10" s="361"/>
      <c r="AB10" s="356"/>
      <c r="AC10" s="356"/>
      <c r="AD10" s="356"/>
      <c r="AE10" s="357"/>
      <c r="AF10" s="873"/>
      <c r="AG10" s="937" t="s">
        <v>257</v>
      </c>
      <c r="AH10" s="937"/>
      <c r="AI10" s="937"/>
      <c r="AJ10" s="937"/>
      <c r="AK10" s="849"/>
      <c r="AL10" s="850"/>
      <c r="AM10" s="850"/>
      <c r="AN10" s="850"/>
      <c r="AO10" s="851"/>
      <c r="AP10" s="457"/>
      <c r="AQ10" s="458"/>
      <c r="AR10" s="458"/>
      <c r="AS10" s="458"/>
      <c r="AT10" s="845"/>
      <c r="AU10" s="938" t="s">
        <v>261</v>
      </c>
      <c r="AV10" s="938"/>
      <c r="AW10" s="938"/>
      <c r="AX10" s="938"/>
      <c r="AY10" s="939"/>
      <c r="AZ10" s="835"/>
      <c r="BA10" s="836"/>
      <c r="BB10" s="836"/>
      <c r="BC10" s="836"/>
      <c r="BD10" s="844"/>
      <c r="BE10" s="835"/>
      <c r="BF10" s="836"/>
      <c r="BG10" s="836"/>
      <c r="BH10" s="836"/>
      <c r="BI10" s="837"/>
      <c r="BJ10" s="918"/>
      <c r="BK10" s="598"/>
      <c r="BL10" s="598"/>
      <c r="BM10" s="598"/>
      <c r="BN10" s="646"/>
      <c r="BO10" s="409"/>
      <c r="BP10" s="401"/>
      <c r="BQ10" s="401"/>
      <c r="BR10" s="401"/>
      <c r="BS10" s="832"/>
      <c r="BT10" s="409"/>
      <c r="BU10" s="401"/>
      <c r="BV10" s="401"/>
      <c r="BW10" s="401"/>
      <c r="BX10" s="402"/>
    </row>
    <row r="11" spans="1:76" ht="9.75" customHeight="1" x14ac:dyDescent="0.15">
      <c r="A11" s="2">
        <v>7</v>
      </c>
      <c r="B11" s="872"/>
      <c r="C11" s="873"/>
      <c r="D11" s="936"/>
      <c r="E11" s="854"/>
      <c r="F11" s="947" t="s">
        <v>255</v>
      </c>
      <c r="G11" s="948"/>
      <c r="H11" s="948"/>
      <c r="I11" s="948"/>
      <c r="J11" s="949"/>
      <c r="K11" s="160" t="s">
        <v>80</v>
      </c>
      <c r="L11" s="370"/>
      <c r="M11" s="371"/>
      <c r="N11" s="371"/>
      <c r="O11" s="371"/>
      <c r="P11" s="372"/>
      <c r="Q11" s="919"/>
      <c r="R11" s="919"/>
      <c r="S11" s="922"/>
      <c r="T11" s="923"/>
      <c r="U11" s="893" t="s">
        <v>241</v>
      </c>
      <c r="V11" s="894"/>
      <c r="W11" s="894"/>
      <c r="X11" s="894"/>
      <c r="Y11" s="895"/>
      <c r="Z11" s="20" t="s">
        <v>254</v>
      </c>
      <c r="AA11" s="361"/>
      <c r="AB11" s="356"/>
      <c r="AC11" s="356"/>
      <c r="AD11" s="356"/>
      <c r="AE11" s="357"/>
      <c r="AF11" s="950" t="s">
        <v>263</v>
      </c>
      <c r="AG11" s="592" t="s">
        <v>264</v>
      </c>
      <c r="AH11" s="605"/>
      <c r="AI11" s="605"/>
      <c r="AJ11" s="605"/>
      <c r="AK11" s="373"/>
      <c r="AL11" s="374"/>
      <c r="AM11" s="374"/>
      <c r="AN11" s="374"/>
      <c r="AO11" s="753"/>
      <c r="AP11" s="373"/>
      <c r="AQ11" s="374"/>
      <c r="AR11" s="374"/>
      <c r="AS11" s="374"/>
      <c r="AT11" s="753"/>
      <c r="AU11" s="733" t="s">
        <v>265</v>
      </c>
      <c r="AV11" s="733"/>
      <c r="AW11" s="953" t="s">
        <v>266</v>
      </c>
      <c r="AX11" s="750"/>
      <c r="AY11" s="954"/>
      <c r="AZ11" s="373"/>
      <c r="BA11" s="374"/>
      <c r="BB11" s="374"/>
      <c r="BC11" s="374"/>
      <c r="BD11" s="753"/>
      <c r="BE11" s="373"/>
      <c r="BF11" s="374"/>
      <c r="BG11" s="374"/>
      <c r="BH11" s="374"/>
      <c r="BI11" s="375"/>
      <c r="BJ11" s="918"/>
      <c r="BK11" s="598"/>
      <c r="BL11" s="598"/>
      <c r="BM11" s="598"/>
      <c r="BN11" s="646"/>
      <c r="BO11" s="409"/>
      <c r="BP11" s="401"/>
      <c r="BQ11" s="401"/>
      <c r="BR11" s="401"/>
      <c r="BS11" s="832"/>
      <c r="BT11" s="409"/>
      <c r="BU11" s="401"/>
      <c r="BV11" s="401"/>
      <c r="BW11" s="401"/>
      <c r="BX11" s="402"/>
    </row>
    <row r="12" spans="1:76" ht="9.75" customHeight="1" x14ac:dyDescent="0.15">
      <c r="A12" s="2">
        <v>8</v>
      </c>
      <c r="B12" s="940" t="s">
        <v>267</v>
      </c>
      <c r="C12" s="941"/>
      <c r="D12" s="942" t="s">
        <v>268</v>
      </c>
      <c r="E12" s="941"/>
      <c r="F12" s="946" t="s">
        <v>269</v>
      </c>
      <c r="G12" s="884"/>
      <c r="H12" s="884"/>
      <c r="I12" s="884"/>
      <c r="J12" s="885"/>
      <c r="K12" s="19" t="s">
        <v>270</v>
      </c>
      <c r="L12" s="373"/>
      <c r="M12" s="374"/>
      <c r="N12" s="374"/>
      <c r="O12" s="374"/>
      <c r="P12" s="753"/>
      <c r="Q12" s="919"/>
      <c r="R12" s="919"/>
      <c r="S12" s="922"/>
      <c r="T12" s="923"/>
      <c r="U12" s="893" t="s">
        <v>262</v>
      </c>
      <c r="V12" s="894"/>
      <c r="W12" s="894"/>
      <c r="X12" s="894"/>
      <c r="Y12" s="895"/>
      <c r="Z12" s="20" t="s">
        <v>254</v>
      </c>
      <c r="AA12" s="361"/>
      <c r="AB12" s="356"/>
      <c r="AC12" s="356"/>
      <c r="AD12" s="356"/>
      <c r="AE12" s="357"/>
      <c r="AF12" s="951"/>
      <c r="AG12" s="419" t="s">
        <v>271</v>
      </c>
      <c r="AH12" s="420"/>
      <c r="AI12" s="420"/>
      <c r="AJ12" s="420"/>
      <c r="AK12" s="361"/>
      <c r="AL12" s="356"/>
      <c r="AM12" s="356"/>
      <c r="AN12" s="356"/>
      <c r="AO12" s="369"/>
      <c r="AP12" s="361"/>
      <c r="AQ12" s="356"/>
      <c r="AR12" s="356"/>
      <c r="AS12" s="356"/>
      <c r="AT12" s="369"/>
      <c r="AU12" s="723"/>
      <c r="AV12" s="723"/>
      <c r="AW12" s="419" t="s">
        <v>272</v>
      </c>
      <c r="AX12" s="420"/>
      <c r="AY12" s="421"/>
      <c r="AZ12" s="361"/>
      <c r="BA12" s="356"/>
      <c r="BB12" s="356"/>
      <c r="BC12" s="356"/>
      <c r="BD12" s="369"/>
      <c r="BE12" s="361"/>
      <c r="BF12" s="356"/>
      <c r="BG12" s="356"/>
      <c r="BH12" s="356"/>
      <c r="BI12" s="357"/>
      <c r="BJ12" s="918"/>
      <c r="BK12" s="598"/>
      <c r="BL12" s="598"/>
      <c r="BM12" s="598"/>
      <c r="BN12" s="646"/>
      <c r="BO12" s="409"/>
      <c r="BP12" s="401"/>
      <c r="BQ12" s="401"/>
      <c r="BR12" s="401"/>
      <c r="BS12" s="832"/>
      <c r="BT12" s="409"/>
      <c r="BU12" s="401"/>
      <c r="BV12" s="401"/>
      <c r="BW12" s="401"/>
      <c r="BX12" s="402"/>
    </row>
    <row r="13" spans="1:76" ht="9.75" customHeight="1" x14ac:dyDescent="0.15">
      <c r="A13" s="2">
        <v>9</v>
      </c>
      <c r="B13" s="870"/>
      <c r="C13" s="871"/>
      <c r="D13" s="943"/>
      <c r="E13" s="871"/>
      <c r="F13" s="893" t="s">
        <v>241</v>
      </c>
      <c r="G13" s="894"/>
      <c r="H13" s="894"/>
      <c r="I13" s="894"/>
      <c r="J13" s="895"/>
      <c r="K13" s="20" t="s">
        <v>254</v>
      </c>
      <c r="L13" s="361"/>
      <c r="M13" s="356"/>
      <c r="N13" s="356"/>
      <c r="O13" s="356"/>
      <c r="P13" s="369"/>
      <c r="Q13" s="919"/>
      <c r="R13" s="919"/>
      <c r="S13" s="922"/>
      <c r="T13" s="923"/>
      <c r="U13" s="893" t="s">
        <v>241</v>
      </c>
      <c r="V13" s="894"/>
      <c r="W13" s="894"/>
      <c r="X13" s="894"/>
      <c r="Y13" s="895"/>
      <c r="Z13" s="20" t="s">
        <v>254</v>
      </c>
      <c r="AA13" s="361"/>
      <c r="AB13" s="356"/>
      <c r="AC13" s="356"/>
      <c r="AD13" s="356"/>
      <c r="AE13" s="357"/>
      <c r="AF13" s="951"/>
      <c r="AG13" s="766" t="s">
        <v>274</v>
      </c>
      <c r="AH13" s="593"/>
      <c r="AI13" s="593"/>
      <c r="AJ13" s="593"/>
      <c r="AK13" s="361"/>
      <c r="AL13" s="356"/>
      <c r="AM13" s="356"/>
      <c r="AN13" s="356"/>
      <c r="AO13" s="369"/>
      <c r="AP13" s="361"/>
      <c r="AQ13" s="356"/>
      <c r="AR13" s="356"/>
      <c r="AS13" s="356"/>
      <c r="AT13" s="369"/>
      <c r="AU13" s="723"/>
      <c r="AV13" s="723"/>
      <c r="AW13" s="419" t="s">
        <v>463</v>
      </c>
      <c r="AX13" s="420"/>
      <c r="AY13" s="421"/>
      <c r="AZ13" s="361"/>
      <c r="BA13" s="356"/>
      <c r="BB13" s="356"/>
      <c r="BC13" s="356"/>
      <c r="BD13" s="369"/>
      <c r="BE13" s="361"/>
      <c r="BF13" s="356"/>
      <c r="BG13" s="356"/>
      <c r="BH13" s="356"/>
      <c r="BI13" s="357"/>
      <c r="BJ13" s="918"/>
      <c r="BK13" s="598"/>
      <c r="BL13" s="598"/>
      <c r="BM13" s="598"/>
      <c r="BN13" s="646"/>
      <c r="BO13" s="409"/>
      <c r="BP13" s="401"/>
      <c r="BQ13" s="401"/>
      <c r="BR13" s="401"/>
      <c r="BS13" s="832"/>
      <c r="BT13" s="409"/>
      <c r="BU13" s="401"/>
      <c r="BV13" s="401"/>
      <c r="BW13" s="401"/>
      <c r="BX13" s="402"/>
    </row>
    <row r="14" spans="1:76" ht="9.75" customHeight="1" x14ac:dyDescent="0.15">
      <c r="A14" s="2">
        <v>10</v>
      </c>
      <c r="B14" s="870"/>
      <c r="C14" s="871"/>
      <c r="D14" s="943"/>
      <c r="E14" s="871"/>
      <c r="F14" s="893" t="s">
        <v>276</v>
      </c>
      <c r="G14" s="894"/>
      <c r="H14" s="894"/>
      <c r="I14" s="894"/>
      <c r="J14" s="895"/>
      <c r="K14" s="20" t="s">
        <v>254</v>
      </c>
      <c r="L14" s="361"/>
      <c r="M14" s="356"/>
      <c r="N14" s="356"/>
      <c r="O14" s="356"/>
      <c r="P14" s="369"/>
      <c r="Q14" s="919"/>
      <c r="R14" s="919"/>
      <c r="S14" s="922"/>
      <c r="T14" s="923"/>
      <c r="U14" s="893" t="s">
        <v>273</v>
      </c>
      <c r="V14" s="894"/>
      <c r="W14" s="894"/>
      <c r="X14" s="894"/>
      <c r="Y14" s="895"/>
      <c r="Z14" s="159" t="s">
        <v>254</v>
      </c>
      <c r="AA14" s="376"/>
      <c r="AB14" s="377"/>
      <c r="AC14" s="377"/>
      <c r="AD14" s="377"/>
      <c r="AE14" s="416"/>
      <c r="AF14" s="951"/>
      <c r="AG14" s="419" t="s">
        <v>278</v>
      </c>
      <c r="AH14" s="420"/>
      <c r="AI14" s="420"/>
      <c r="AJ14" s="420"/>
      <c r="AK14" s="361"/>
      <c r="AL14" s="356"/>
      <c r="AM14" s="356"/>
      <c r="AN14" s="356"/>
      <c r="AO14" s="369"/>
      <c r="AP14" s="361"/>
      <c r="AQ14" s="356"/>
      <c r="AR14" s="356"/>
      <c r="AS14" s="356"/>
      <c r="AT14" s="369"/>
      <c r="AU14" s="723"/>
      <c r="AV14" s="723"/>
      <c r="AW14" s="846" t="s">
        <v>275</v>
      </c>
      <c r="AX14" s="847"/>
      <c r="AY14" s="848"/>
      <c r="AZ14" s="849"/>
      <c r="BA14" s="850"/>
      <c r="BB14" s="850"/>
      <c r="BC14" s="850"/>
      <c r="BD14" s="851"/>
      <c r="BE14" s="457"/>
      <c r="BF14" s="458"/>
      <c r="BG14" s="458"/>
      <c r="BH14" s="458"/>
      <c r="BI14" s="459"/>
      <c r="BJ14" s="918"/>
      <c r="BK14" s="598"/>
      <c r="BL14" s="598"/>
      <c r="BM14" s="598"/>
      <c r="BN14" s="646"/>
      <c r="BO14" s="409"/>
      <c r="BP14" s="401"/>
      <c r="BQ14" s="401"/>
      <c r="BR14" s="401"/>
      <c r="BS14" s="832"/>
      <c r="BT14" s="409"/>
      <c r="BU14" s="401"/>
      <c r="BV14" s="401"/>
      <c r="BW14" s="401"/>
      <c r="BX14" s="402"/>
    </row>
    <row r="15" spans="1:76" ht="9.75" customHeight="1" x14ac:dyDescent="0.15">
      <c r="A15" s="2">
        <v>11</v>
      </c>
      <c r="B15" s="870"/>
      <c r="C15" s="871"/>
      <c r="D15" s="943"/>
      <c r="E15" s="871"/>
      <c r="F15" s="893" t="s">
        <v>241</v>
      </c>
      <c r="G15" s="894"/>
      <c r="H15" s="894"/>
      <c r="I15" s="894"/>
      <c r="J15" s="895"/>
      <c r="K15" s="20" t="s">
        <v>254</v>
      </c>
      <c r="L15" s="361"/>
      <c r="M15" s="356"/>
      <c r="N15" s="356"/>
      <c r="O15" s="356"/>
      <c r="P15" s="369"/>
      <c r="Q15" s="919"/>
      <c r="R15" s="919"/>
      <c r="S15" s="419" t="s">
        <v>277</v>
      </c>
      <c r="T15" s="420"/>
      <c r="U15" s="420"/>
      <c r="V15" s="420"/>
      <c r="W15" s="420"/>
      <c r="X15" s="420"/>
      <c r="Y15" s="933"/>
      <c r="Z15" s="159" t="s">
        <v>254</v>
      </c>
      <c r="AA15" s="361"/>
      <c r="AB15" s="356"/>
      <c r="AC15" s="356"/>
      <c r="AD15" s="356"/>
      <c r="AE15" s="357"/>
      <c r="AF15" s="951"/>
      <c r="AG15" s="419" t="s">
        <v>101</v>
      </c>
      <c r="AH15" s="420"/>
      <c r="AI15" s="420"/>
      <c r="AJ15" s="420"/>
      <c r="AK15" s="361"/>
      <c r="AL15" s="356"/>
      <c r="AM15" s="356"/>
      <c r="AN15" s="356"/>
      <c r="AO15" s="369"/>
      <c r="AP15" s="361"/>
      <c r="AQ15" s="356"/>
      <c r="AR15" s="356"/>
      <c r="AS15" s="356"/>
      <c r="AT15" s="369"/>
      <c r="AU15" s="489" t="s">
        <v>279</v>
      </c>
      <c r="AV15" s="852"/>
      <c r="AW15" s="766" t="s">
        <v>280</v>
      </c>
      <c r="AX15" s="593"/>
      <c r="AY15" s="594"/>
      <c r="AZ15" s="373"/>
      <c r="BA15" s="374"/>
      <c r="BB15" s="374"/>
      <c r="BC15" s="374"/>
      <c r="BD15" s="753"/>
      <c r="BE15" s="373"/>
      <c r="BF15" s="374"/>
      <c r="BG15" s="374"/>
      <c r="BH15" s="374"/>
      <c r="BI15" s="375"/>
      <c r="BJ15" s="918"/>
      <c r="BK15" s="598"/>
      <c r="BL15" s="598"/>
      <c r="BM15" s="598"/>
      <c r="BN15" s="646"/>
      <c r="BO15" s="409"/>
      <c r="BP15" s="401"/>
      <c r="BQ15" s="401"/>
      <c r="BR15" s="401"/>
      <c r="BS15" s="832"/>
      <c r="BT15" s="409"/>
      <c r="BU15" s="401"/>
      <c r="BV15" s="401"/>
      <c r="BW15" s="401"/>
      <c r="BX15" s="402"/>
    </row>
    <row r="16" spans="1:76" ht="9.75" customHeight="1" x14ac:dyDescent="0.15">
      <c r="A16" s="2">
        <v>12</v>
      </c>
      <c r="B16" s="870"/>
      <c r="C16" s="871"/>
      <c r="D16" s="943"/>
      <c r="E16" s="871"/>
      <c r="F16" s="893" t="s">
        <v>282</v>
      </c>
      <c r="G16" s="894"/>
      <c r="H16" s="894"/>
      <c r="I16" s="894"/>
      <c r="J16" s="895"/>
      <c r="K16" s="20" t="s">
        <v>254</v>
      </c>
      <c r="L16" s="361"/>
      <c r="M16" s="356"/>
      <c r="N16" s="356"/>
      <c r="O16" s="356"/>
      <c r="P16" s="369"/>
      <c r="Q16" s="919"/>
      <c r="R16" s="919"/>
      <c r="S16" s="419" t="s">
        <v>464</v>
      </c>
      <c r="T16" s="420"/>
      <c r="U16" s="420"/>
      <c r="V16" s="420"/>
      <c r="W16" s="420"/>
      <c r="X16" s="420"/>
      <c r="Y16" s="933"/>
      <c r="Z16" s="20" t="s">
        <v>254</v>
      </c>
      <c r="AA16" s="361"/>
      <c r="AB16" s="356"/>
      <c r="AC16" s="356"/>
      <c r="AD16" s="356"/>
      <c r="AE16" s="357"/>
      <c r="AF16" s="952"/>
      <c r="AG16" s="611" t="s">
        <v>285</v>
      </c>
      <c r="AH16" s="612"/>
      <c r="AI16" s="612"/>
      <c r="AJ16" s="612"/>
      <c r="AK16" s="457"/>
      <c r="AL16" s="458"/>
      <c r="AM16" s="458"/>
      <c r="AN16" s="458"/>
      <c r="AO16" s="845"/>
      <c r="AP16" s="457"/>
      <c r="AQ16" s="458"/>
      <c r="AR16" s="458"/>
      <c r="AS16" s="458"/>
      <c r="AT16" s="845"/>
      <c r="AU16" s="581"/>
      <c r="AV16" s="853"/>
      <c r="AW16" s="419" t="s">
        <v>281</v>
      </c>
      <c r="AX16" s="420"/>
      <c r="AY16" s="421"/>
      <c r="AZ16" s="361"/>
      <c r="BA16" s="356"/>
      <c r="BB16" s="356"/>
      <c r="BC16" s="356"/>
      <c r="BD16" s="369"/>
      <c r="BE16" s="361"/>
      <c r="BF16" s="356"/>
      <c r="BG16" s="356"/>
      <c r="BH16" s="356"/>
      <c r="BI16" s="357"/>
      <c r="BJ16" s="918"/>
      <c r="BK16" s="598"/>
      <c r="BL16" s="598"/>
      <c r="BM16" s="598"/>
      <c r="BN16" s="646"/>
      <c r="BO16" s="409"/>
      <c r="BP16" s="401"/>
      <c r="BQ16" s="401"/>
      <c r="BR16" s="401"/>
      <c r="BS16" s="832"/>
      <c r="BT16" s="409"/>
      <c r="BU16" s="401"/>
      <c r="BV16" s="401"/>
      <c r="BW16" s="401"/>
      <c r="BX16" s="402"/>
    </row>
    <row r="17" spans="1:76" ht="9.75" customHeight="1" x14ac:dyDescent="0.15">
      <c r="A17" s="2">
        <v>13</v>
      </c>
      <c r="B17" s="870"/>
      <c r="C17" s="871"/>
      <c r="D17" s="943"/>
      <c r="E17" s="871"/>
      <c r="F17" s="893" t="s">
        <v>241</v>
      </c>
      <c r="G17" s="894"/>
      <c r="H17" s="894"/>
      <c r="I17" s="894"/>
      <c r="J17" s="895"/>
      <c r="K17" s="20" t="s">
        <v>254</v>
      </c>
      <c r="L17" s="361"/>
      <c r="M17" s="356"/>
      <c r="N17" s="356"/>
      <c r="O17" s="356"/>
      <c r="P17" s="369"/>
      <c r="Q17" s="919"/>
      <c r="R17" s="919"/>
      <c r="S17" s="964" t="s">
        <v>232</v>
      </c>
      <c r="T17" s="965"/>
      <c r="U17" s="419" t="s">
        <v>283</v>
      </c>
      <c r="V17" s="420"/>
      <c r="W17" s="420"/>
      <c r="X17" s="420"/>
      <c r="Y17" s="933"/>
      <c r="Z17" s="21" t="s">
        <v>284</v>
      </c>
      <c r="AA17" s="361"/>
      <c r="AB17" s="356"/>
      <c r="AC17" s="356"/>
      <c r="AD17" s="356"/>
      <c r="AE17" s="357"/>
      <c r="AF17" s="950" t="s">
        <v>288</v>
      </c>
      <c r="AG17" s="968" t="s">
        <v>289</v>
      </c>
      <c r="AH17" s="495"/>
      <c r="AI17" s="495"/>
      <c r="AJ17" s="495"/>
      <c r="AK17" s="373"/>
      <c r="AL17" s="374"/>
      <c r="AM17" s="374"/>
      <c r="AN17" s="374"/>
      <c r="AO17" s="753"/>
      <c r="AP17" s="373"/>
      <c r="AQ17" s="374"/>
      <c r="AR17" s="374"/>
      <c r="AS17" s="374"/>
      <c r="AT17" s="753"/>
      <c r="AU17" s="553"/>
      <c r="AV17" s="854"/>
      <c r="AW17" s="969" t="s">
        <v>286</v>
      </c>
      <c r="AX17" s="970"/>
      <c r="AY17" s="971"/>
      <c r="AZ17" s="849"/>
      <c r="BA17" s="850"/>
      <c r="BB17" s="850"/>
      <c r="BC17" s="850"/>
      <c r="BD17" s="851"/>
      <c r="BE17" s="457"/>
      <c r="BF17" s="458"/>
      <c r="BG17" s="458"/>
      <c r="BH17" s="458"/>
      <c r="BI17" s="459"/>
      <c r="BJ17" s="956"/>
      <c r="BK17" s="957"/>
      <c r="BL17" s="957"/>
      <c r="BM17" s="957"/>
      <c r="BN17" s="958"/>
      <c r="BO17" s="409"/>
      <c r="BP17" s="401"/>
      <c r="BQ17" s="401"/>
      <c r="BR17" s="401"/>
      <c r="BS17" s="832"/>
      <c r="BT17" s="409"/>
      <c r="BU17" s="401"/>
      <c r="BV17" s="401"/>
      <c r="BW17" s="401"/>
      <c r="BX17" s="402"/>
    </row>
    <row r="18" spans="1:76" ht="9.75" customHeight="1" x14ac:dyDescent="0.15">
      <c r="A18" s="2">
        <v>14</v>
      </c>
      <c r="B18" s="870"/>
      <c r="C18" s="871"/>
      <c r="D18" s="943"/>
      <c r="E18" s="871"/>
      <c r="F18" s="893" t="s">
        <v>291</v>
      </c>
      <c r="G18" s="894"/>
      <c r="H18" s="894"/>
      <c r="I18" s="894"/>
      <c r="J18" s="895"/>
      <c r="K18" s="20" t="s">
        <v>254</v>
      </c>
      <c r="L18" s="361"/>
      <c r="M18" s="356"/>
      <c r="N18" s="356"/>
      <c r="O18" s="356"/>
      <c r="P18" s="369"/>
      <c r="Q18" s="919"/>
      <c r="R18" s="919"/>
      <c r="S18" s="964"/>
      <c r="T18" s="965"/>
      <c r="U18" s="419" t="s">
        <v>287</v>
      </c>
      <c r="V18" s="420"/>
      <c r="W18" s="420"/>
      <c r="X18" s="420"/>
      <c r="Y18" s="933"/>
      <c r="Z18" s="20" t="s">
        <v>254</v>
      </c>
      <c r="AA18" s="361"/>
      <c r="AB18" s="356"/>
      <c r="AC18" s="356"/>
      <c r="AD18" s="356"/>
      <c r="AE18" s="357"/>
      <c r="AF18" s="951"/>
      <c r="AG18" s="419" t="s">
        <v>101</v>
      </c>
      <c r="AH18" s="420"/>
      <c r="AI18" s="420"/>
      <c r="AJ18" s="420"/>
      <c r="AK18" s="590"/>
      <c r="AL18" s="591"/>
      <c r="AM18" s="591"/>
      <c r="AN18" s="591"/>
      <c r="AO18" s="636"/>
      <c r="AP18" s="361"/>
      <c r="AQ18" s="356"/>
      <c r="AR18" s="356"/>
      <c r="AS18" s="356"/>
      <c r="AT18" s="369"/>
      <c r="AU18" s="959" t="s">
        <v>290</v>
      </c>
      <c r="AV18" s="959"/>
      <c r="AW18" s="959"/>
      <c r="AX18" s="959"/>
      <c r="AY18" s="960"/>
      <c r="AZ18" s="961"/>
      <c r="BA18" s="962"/>
      <c r="BB18" s="962"/>
      <c r="BC18" s="962"/>
      <c r="BD18" s="963"/>
      <c r="BE18" s="835"/>
      <c r="BF18" s="836"/>
      <c r="BG18" s="836"/>
      <c r="BH18" s="836"/>
      <c r="BI18" s="837"/>
      <c r="BJ18" s="918"/>
      <c r="BK18" s="598"/>
      <c r="BL18" s="598"/>
      <c r="BM18" s="598"/>
      <c r="BN18" s="646"/>
      <c r="BO18" s="818"/>
      <c r="BP18" s="819"/>
      <c r="BQ18" s="819"/>
      <c r="BR18" s="819"/>
      <c r="BS18" s="833"/>
      <c r="BT18" s="818"/>
      <c r="BU18" s="819"/>
      <c r="BV18" s="819"/>
      <c r="BW18" s="819"/>
      <c r="BX18" s="820"/>
    </row>
    <row r="19" spans="1:76" ht="9.75" customHeight="1" x14ac:dyDescent="0.15">
      <c r="A19" s="2">
        <v>15</v>
      </c>
      <c r="B19" s="870"/>
      <c r="C19" s="871"/>
      <c r="D19" s="943"/>
      <c r="E19" s="871"/>
      <c r="F19" s="893" t="s">
        <v>241</v>
      </c>
      <c r="G19" s="894"/>
      <c r="H19" s="894"/>
      <c r="I19" s="894"/>
      <c r="J19" s="895"/>
      <c r="K19" s="20" t="s">
        <v>254</v>
      </c>
      <c r="L19" s="361"/>
      <c r="M19" s="356"/>
      <c r="N19" s="356"/>
      <c r="O19" s="356"/>
      <c r="P19" s="369"/>
      <c r="Q19" s="920"/>
      <c r="R19" s="920"/>
      <c r="S19" s="966"/>
      <c r="T19" s="967"/>
      <c r="U19" s="611" t="s">
        <v>292</v>
      </c>
      <c r="V19" s="612"/>
      <c r="W19" s="612"/>
      <c r="X19" s="612"/>
      <c r="Y19" s="972"/>
      <c r="Z19" s="161" t="s">
        <v>254</v>
      </c>
      <c r="AA19" s="370"/>
      <c r="AB19" s="371"/>
      <c r="AC19" s="371"/>
      <c r="AD19" s="371"/>
      <c r="AE19" s="418"/>
      <c r="AF19" s="952"/>
      <c r="AG19" s="611" t="s">
        <v>297</v>
      </c>
      <c r="AH19" s="612"/>
      <c r="AI19" s="612"/>
      <c r="AJ19" s="612"/>
      <c r="AK19" s="849"/>
      <c r="AL19" s="850"/>
      <c r="AM19" s="850"/>
      <c r="AN19" s="850"/>
      <c r="AO19" s="851"/>
      <c r="AP19" s="457"/>
      <c r="AQ19" s="458"/>
      <c r="AR19" s="458"/>
      <c r="AS19" s="458"/>
      <c r="AT19" s="845"/>
      <c r="AU19" s="955" t="s">
        <v>293</v>
      </c>
      <c r="AV19" s="897"/>
      <c r="AW19" s="897"/>
      <c r="AX19" s="897"/>
      <c r="AY19" s="898"/>
      <c r="AZ19" s="835"/>
      <c r="BA19" s="836"/>
      <c r="BB19" s="836"/>
      <c r="BC19" s="836"/>
      <c r="BD19" s="844"/>
      <c r="BE19" s="835"/>
      <c r="BF19" s="836"/>
      <c r="BG19" s="836"/>
      <c r="BH19" s="836"/>
      <c r="BI19" s="837"/>
      <c r="BJ19" s="956"/>
      <c r="BK19" s="957"/>
      <c r="BL19" s="957"/>
      <c r="BM19" s="957"/>
      <c r="BN19" s="958"/>
      <c r="BO19" s="821"/>
      <c r="BP19" s="822"/>
      <c r="BQ19" s="822"/>
      <c r="BR19" s="822"/>
      <c r="BS19" s="834"/>
      <c r="BT19" s="821"/>
      <c r="BU19" s="822"/>
      <c r="BV19" s="822"/>
      <c r="BW19" s="822"/>
      <c r="BX19" s="823"/>
    </row>
    <row r="20" spans="1:76" ht="9.75" customHeight="1" x14ac:dyDescent="0.15">
      <c r="A20" s="2">
        <v>16</v>
      </c>
      <c r="B20" s="870"/>
      <c r="C20" s="871"/>
      <c r="D20" s="943"/>
      <c r="E20" s="871"/>
      <c r="F20" s="893" t="s">
        <v>262</v>
      </c>
      <c r="G20" s="894"/>
      <c r="H20" s="894"/>
      <c r="I20" s="894"/>
      <c r="J20" s="895"/>
      <c r="K20" s="20" t="s">
        <v>254</v>
      </c>
      <c r="L20" s="361"/>
      <c r="M20" s="356"/>
      <c r="N20" s="356"/>
      <c r="O20" s="356"/>
      <c r="P20" s="369"/>
      <c r="Q20" s="919" t="s">
        <v>294</v>
      </c>
      <c r="R20" s="871"/>
      <c r="S20" s="992" t="s">
        <v>295</v>
      </c>
      <c r="T20" s="993"/>
      <c r="U20" s="766" t="s">
        <v>296</v>
      </c>
      <c r="V20" s="593"/>
      <c r="W20" s="593"/>
      <c r="X20" s="593"/>
      <c r="Y20" s="993"/>
      <c r="Z20" s="158" t="s">
        <v>230</v>
      </c>
      <c r="AA20" s="373"/>
      <c r="AB20" s="374"/>
      <c r="AC20" s="374"/>
      <c r="AD20" s="374"/>
      <c r="AE20" s="375"/>
      <c r="AF20" s="940" t="s">
        <v>302</v>
      </c>
      <c r="AG20" s="766" t="s">
        <v>303</v>
      </c>
      <c r="AH20" s="593"/>
      <c r="AI20" s="593"/>
      <c r="AJ20" s="593"/>
      <c r="AK20" s="373"/>
      <c r="AL20" s="374"/>
      <c r="AM20" s="374"/>
      <c r="AN20" s="374"/>
      <c r="AO20" s="753"/>
      <c r="AP20" s="373"/>
      <c r="AQ20" s="374"/>
      <c r="AR20" s="374"/>
      <c r="AS20" s="374"/>
      <c r="AT20" s="753"/>
      <c r="AU20" s="983" t="s">
        <v>298</v>
      </c>
      <c r="AV20" s="984"/>
      <c r="AW20" s="989" t="s">
        <v>299</v>
      </c>
      <c r="AX20" s="990"/>
      <c r="AY20" s="991"/>
      <c r="AZ20" s="590"/>
      <c r="BA20" s="591"/>
      <c r="BB20" s="591"/>
      <c r="BC20" s="591"/>
      <c r="BD20" s="636"/>
      <c r="BE20" s="373"/>
      <c r="BF20" s="374"/>
      <c r="BG20" s="374"/>
      <c r="BH20" s="374"/>
      <c r="BI20" s="375"/>
      <c r="BJ20" s="918"/>
      <c r="BK20" s="598"/>
      <c r="BL20" s="598"/>
      <c r="BM20" s="598"/>
      <c r="BN20" s="646"/>
      <c r="BO20" s="818"/>
      <c r="BP20" s="819"/>
      <c r="BQ20" s="819"/>
      <c r="BR20" s="819"/>
      <c r="BS20" s="833"/>
      <c r="BT20" s="818"/>
      <c r="BU20" s="819"/>
      <c r="BV20" s="819"/>
      <c r="BW20" s="819"/>
      <c r="BX20" s="820"/>
    </row>
    <row r="21" spans="1:76" ht="9.75" customHeight="1" x14ac:dyDescent="0.15">
      <c r="A21" s="2">
        <v>17</v>
      </c>
      <c r="B21" s="870"/>
      <c r="C21" s="871"/>
      <c r="D21" s="943"/>
      <c r="E21" s="871"/>
      <c r="F21" s="893" t="s">
        <v>241</v>
      </c>
      <c r="G21" s="894"/>
      <c r="H21" s="894"/>
      <c r="I21" s="894"/>
      <c r="J21" s="895"/>
      <c r="K21" s="20" t="s">
        <v>254</v>
      </c>
      <c r="L21" s="361"/>
      <c r="M21" s="356"/>
      <c r="N21" s="356"/>
      <c r="O21" s="356"/>
      <c r="P21" s="369"/>
      <c r="Q21" s="919"/>
      <c r="R21" s="871"/>
      <c r="S21" s="419"/>
      <c r="T21" s="933"/>
      <c r="U21" s="419" t="s">
        <v>300</v>
      </c>
      <c r="V21" s="420"/>
      <c r="W21" s="420"/>
      <c r="X21" s="420"/>
      <c r="Y21" s="933"/>
      <c r="Z21" s="159" t="s">
        <v>301</v>
      </c>
      <c r="AA21" s="361"/>
      <c r="AB21" s="356"/>
      <c r="AC21" s="356"/>
      <c r="AD21" s="356"/>
      <c r="AE21" s="357"/>
      <c r="AF21" s="870"/>
      <c r="AG21" s="500" t="s">
        <v>355</v>
      </c>
      <c r="AH21" s="501"/>
      <c r="AI21" s="501"/>
      <c r="AJ21" s="501"/>
      <c r="AK21" s="361"/>
      <c r="AL21" s="356"/>
      <c r="AM21" s="356"/>
      <c r="AN21" s="356"/>
      <c r="AO21" s="369"/>
      <c r="AP21" s="361"/>
      <c r="AQ21" s="356"/>
      <c r="AR21" s="356"/>
      <c r="AS21" s="356"/>
      <c r="AT21" s="369"/>
      <c r="AU21" s="985"/>
      <c r="AV21" s="986"/>
      <c r="AW21" s="419" t="s">
        <v>101</v>
      </c>
      <c r="AX21" s="420"/>
      <c r="AY21" s="421"/>
      <c r="AZ21" s="590"/>
      <c r="BA21" s="591"/>
      <c r="BB21" s="591"/>
      <c r="BC21" s="591"/>
      <c r="BD21" s="636"/>
      <c r="BE21" s="361"/>
      <c r="BF21" s="356"/>
      <c r="BG21" s="356"/>
      <c r="BH21" s="356"/>
      <c r="BI21" s="357"/>
      <c r="BJ21" s="918"/>
      <c r="BK21" s="598"/>
      <c r="BL21" s="598"/>
      <c r="BM21" s="598"/>
      <c r="BN21" s="646"/>
      <c r="BO21" s="821"/>
      <c r="BP21" s="822"/>
      <c r="BQ21" s="822"/>
      <c r="BR21" s="822"/>
      <c r="BS21" s="834"/>
      <c r="BT21" s="821"/>
      <c r="BU21" s="822"/>
      <c r="BV21" s="822"/>
      <c r="BW21" s="822"/>
      <c r="BX21" s="823"/>
    </row>
    <row r="22" spans="1:76" ht="9.75" customHeight="1" x14ac:dyDescent="0.15">
      <c r="A22" s="2">
        <v>18</v>
      </c>
      <c r="B22" s="870"/>
      <c r="C22" s="871"/>
      <c r="D22" s="943"/>
      <c r="E22" s="871"/>
      <c r="F22" s="893" t="s">
        <v>305</v>
      </c>
      <c r="G22" s="894"/>
      <c r="H22" s="894"/>
      <c r="I22" s="894"/>
      <c r="J22" s="895"/>
      <c r="K22" s="20" t="s">
        <v>254</v>
      </c>
      <c r="L22" s="376"/>
      <c r="M22" s="377"/>
      <c r="N22" s="377"/>
      <c r="O22" s="377"/>
      <c r="P22" s="378"/>
      <c r="Q22" s="920"/>
      <c r="R22" s="873"/>
      <c r="S22" s="611"/>
      <c r="T22" s="972"/>
      <c r="U22" s="611" t="s">
        <v>304</v>
      </c>
      <c r="V22" s="612"/>
      <c r="W22" s="612"/>
      <c r="X22" s="612"/>
      <c r="Y22" s="972"/>
      <c r="Z22" s="161" t="s">
        <v>230</v>
      </c>
      <c r="AA22" s="457"/>
      <c r="AB22" s="458"/>
      <c r="AC22" s="458"/>
      <c r="AD22" s="458"/>
      <c r="AE22" s="459"/>
      <c r="AF22" s="870"/>
      <c r="AG22" s="419" t="s">
        <v>465</v>
      </c>
      <c r="AH22" s="420"/>
      <c r="AI22" s="420"/>
      <c r="AJ22" s="421"/>
      <c r="AK22" s="590"/>
      <c r="AL22" s="591"/>
      <c r="AM22" s="591"/>
      <c r="AN22" s="591"/>
      <c r="AO22" s="636"/>
      <c r="AP22" s="361"/>
      <c r="AQ22" s="356"/>
      <c r="AR22" s="356"/>
      <c r="AS22" s="356"/>
      <c r="AT22" s="369"/>
      <c r="AU22" s="987"/>
      <c r="AV22" s="988"/>
      <c r="AW22" s="973" t="s">
        <v>71</v>
      </c>
      <c r="AX22" s="974"/>
      <c r="AY22" s="975"/>
      <c r="AZ22" s="849"/>
      <c r="BA22" s="850"/>
      <c r="BB22" s="850"/>
      <c r="BC22" s="850"/>
      <c r="BD22" s="851"/>
      <c r="BE22" s="457"/>
      <c r="BF22" s="458"/>
      <c r="BG22" s="458"/>
      <c r="BH22" s="458"/>
      <c r="BI22" s="459"/>
      <c r="BJ22" s="549"/>
      <c r="BK22" s="550"/>
      <c r="BL22" s="550"/>
      <c r="BM22" s="550"/>
      <c r="BN22" s="551"/>
      <c r="BO22" s="409"/>
      <c r="BP22" s="401"/>
      <c r="BQ22" s="401"/>
      <c r="BR22" s="401"/>
      <c r="BS22" s="832"/>
      <c r="BT22" s="409"/>
      <c r="BU22" s="401"/>
      <c r="BV22" s="401"/>
      <c r="BW22" s="401"/>
      <c r="BX22" s="402"/>
    </row>
    <row r="23" spans="1:76" ht="9.75" customHeight="1" x14ac:dyDescent="0.15">
      <c r="A23" s="2">
        <v>19</v>
      </c>
      <c r="B23" s="870"/>
      <c r="C23" s="871"/>
      <c r="D23" s="944"/>
      <c r="E23" s="945"/>
      <c r="F23" s="893" t="s">
        <v>241</v>
      </c>
      <c r="G23" s="894"/>
      <c r="H23" s="894"/>
      <c r="I23" s="894"/>
      <c r="J23" s="895"/>
      <c r="K23" s="159" t="s">
        <v>254</v>
      </c>
      <c r="L23" s="376"/>
      <c r="M23" s="377"/>
      <c r="N23" s="377"/>
      <c r="O23" s="377"/>
      <c r="P23" s="378"/>
      <c r="Q23" s="919" t="s">
        <v>306</v>
      </c>
      <c r="R23" s="919"/>
      <c r="S23" s="968" t="s">
        <v>307</v>
      </c>
      <c r="T23" s="495"/>
      <c r="U23" s="495"/>
      <c r="V23" s="495"/>
      <c r="W23" s="495"/>
      <c r="X23" s="495"/>
      <c r="Y23" s="976"/>
      <c r="Z23" s="22" t="s">
        <v>230</v>
      </c>
      <c r="AA23" s="373"/>
      <c r="AB23" s="374"/>
      <c r="AC23" s="374"/>
      <c r="AD23" s="374"/>
      <c r="AE23" s="375"/>
      <c r="AF23" s="870"/>
      <c r="AG23" s="611" t="s">
        <v>308</v>
      </c>
      <c r="AH23" s="612"/>
      <c r="AI23" s="612"/>
      <c r="AJ23" s="613"/>
      <c r="AK23" s="457"/>
      <c r="AL23" s="458"/>
      <c r="AM23" s="458"/>
      <c r="AN23" s="458"/>
      <c r="AO23" s="845"/>
      <c r="AP23" s="457"/>
      <c r="AQ23" s="458"/>
      <c r="AR23" s="458"/>
      <c r="AS23" s="458"/>
      <c r="AT23" s="845"/>
      <c r="AU23" s="977" t="s">
        <v>309</v>
      </c>
      <c r="AV23" s="978"/>
      <c r="AW23" s="978"/>
      <c r="AX23" s="978"/>
      <c r="AY23" s="979"/>
      <c r="AZ23" s="980"/>
      <c r="BA23" s="981"/>
      <c r="BB23" s="981"/>
      <c r="BC23" s="981"/>
      <c r="BD23" s="982"/>
      <c r="BE23" s="835"/>
      <c r="BF23" s="836"/>
      <c r="BG23" s="836"/>
      <c r="BH23" s="836"/>
      <c r="BI23" s="837"/>
      <c r="BJ23" s="918"/>
      <c r="BK23" s="598"/>
      <c r="BL23" s="598"/>
      <c r="BM23" s="598"/>
      <c r="BN23" s="646"/>
      <c r="BO23" s="409"/>
      <c r="BP23" s="401"/>
      <c r="BQ23" s="401"/>
      <c r="BR23" s="401"/>
      <c r="BS23" s="832"/>
      <c r="BT23" s="409"/>
      <c r="BU23" s="401"/>
      <c r="BV23" s="401"/>
      <c r="BW23" s="401"/>
      <c r="BX23" s="402"/>
    </row>
    <row r="24" spans="1:76" ht="9.75" customHeight="1" x14ac:dyDescent="0.15">
      <c r="A24" s="2">
        <v>20</v>
      </c>
      <c r="B24" s="870"/>
      <c r="C24" s="871"/>
      <c r="D24" s="994" t="s">
        <v>232</v>
      </c>
      <c r="E24" s="995"/>
      <c r="F24" s="893" t="s">
        <v>264</v>
      </c>
      <c r="G24" s="894"/>
      <c r="H24" s="894"/>
      <c r="I24" s="894"/>
      <c r="J24" s="895"/>
      <c r="K24" s="23" t="s">
        <v>234</v>
      </c>
      <c r="L24" s="361"/>
      <c r="M24" s="356"/>
      <c r="N24" s="356"/>
      <c r="O24" s="356"/>
      <c r="P24" s="369"/>
      <c r="Q24" s="920"/>
      <c r="R24" s="920"/>
      <c r="S24" s="611" t="s">
        <v>466</v>
      </c>
      <c r="T24" s="612"/>
      <c r="U24" s="612"/>
      <c r="V24" s="612"/>
      <c r="W24" s="612"/>
      <c r="X24" s="612"/>
      <c r="Y24" s="972"/>
      <c r="Z24" s="24" t="s">
        <v>80</v>
      </c>
      <c r="AA24" s="370"/>
      <c r="AB24" s="371"/>
      <c r="AC24" s="371"/>
      <c r="AD24" s="371"/>
      <c r="AE24" s="418"/>
      <c r="AF24" s="997" t="s">
        <v>310</v>
      </c>
      <c r="AG24" s="766" t="s">
        <v>233</v>
      </c>
      <c r="AH24" s="593"/>
      <c r="AI24" s="593"/>
      <c r="AJ24" s="593"/>
      <c r="AK24" s="373"/>
      <c r="AL24" s="374"/>
      <c r="AM24" s="374"/>
      <c r="AN24" s="374"/>
      <c r="AO24" s="753"/>
      <c r="AP24" s="373"/>
      <c r="AQ24" s="374"/>
      <c r="AR24" s="374"/>
      <c r="AS24" s="374"/>
      <c r="AT24" s="753"/>
      <c r="AU24" s="998" t="s">
        <v>311</v>
      </c>
      <c r="AV24" s="999"/>
      <c r="AW24" s="999"/>
      <c r="AX24" s="999"/>
      <c r="AY24" s="1000"/>
      <c r="AZ24" s="915"/>
      <c r="BA24" s="916"/>
      <c r="BB24" s="916"/>
      <c r="BC24" s="916"/>
      <c r="BD24" s="917"/>
      <c r="BE24" s="358"/>
      <c r="BF24" s="359"/>
      <c r="BG24" s="359"/>
      <c r="BH24" s="359"/>
      <c r="BI24" s="360"/>
      <c r="BJ24" s="918"/>
      <c r="BK24" s="598"/>
      <c r="BL24" s="598"/>
      <c r="BM24" s="598"/>
      <c r="BN24" s="646"/>
      <c r="BO24" s="409"/>
      <c r="BP24" s="401"/>
      <c r="BQ24" s="401"/>
      <c r="BR24" s="401"/>
      <c r="BS24" s="832"/>
      <c r="BT24" s="409"/>
      <c r="BU24" s="401"/>
      <c r="BV24" s="401"/>
      <c r="BW24" s="401"/>
      <c r="BX24" s="402"/>
    </row>
    <row r="25" spans="1:76" ht="9.75" customHeight="1" x14ac:dyDescent="0.15">
      <c r="A25" s="2">
        <v>21</v>
      </c>
      <c r="B25" s="870"/>
      <c r="C25" s="871"/>
      <c r="D25" s="943"/>
      <c r="E25" s="871"/>
      <c r="F25" s="893" t="s">
        <v>271</v>
      </c>
      <c r="G25" s="894"/>
      <c r="H25" s="894"/>
      <c r="I25" s="894"/>
      <c r="J25" s="895"/>
      <c r="K25" s="159" t="s">
        <v>254</v>
      </c>
      <c r="L25" s="361"/>
      <c r="M25" s="356"/>
      <c r="N25" s="356"/>
      <c r="O25" s="356"/>
      <c r="P25" s="369"/>
      <c r="Q25" s="919" t="s">
        <v>312</v>
      </c>
      <c r="R25" s="871"/>
      <c r="S25" s="1008" t="s">
        <v>229</v>
      </c>
      <c r="T25" s="1009"/>
      <c r="U25" s="878" t="s">
        <v>313</v>
      </c>
      <c r="V25" s="879"/>
      <c r="W25" s="879"/>
      <c r="X25" s="879"/>
      <c r="Y25" s="880"/>
      <c r="Z25" s="158" t="s">
        <v>270</v>
      </c>
      <c r="AA25" s="373"/>
      <c r="AB25" s="374"/>
      <c r="AC25" s="374"/>
      <c r="AD25" s="374"/>
      <c r="AE25" s="375"/>
      <c r="AF25" s="919"/>
      <c r="AG25" s="419" t="s">
        <v>242</v>
      </c>
      <c r="AH25" s="420"/>
      <c r="AI25" s="420"/>
      <c r="AJ25" s="421"/>
      <c r="AK25" s="361"/>
      <c r="AL25" s="356"/>
      <c r="AM25" s="356"/>
      <c r="AN25" s="356"/>
      <c r="AO25" s="369"/>
      <c r="AP25" s="361"/>
      <c r="AQ25" s="356"/>
      <c r="AR25" s="356"/>
      <c r="AS25" s="356"/>
      <c r="AT25" s="369"/>
      <c r="AU25" s="308"/>
      <c r="AV25" s="1010" t="s">
        <v>314</v>
      </c>
      <c r="AW25" s="1010"/>
      <c r="AX25" s="1010"/>
      <c r="AY25" s="1011"/>
      <c r="AZ25" s="849"/>
      <c r="BA25" s="850"/>
      <c r="BB25" s="850"/>
      <c r="BC25" s="850"/>
      <c r="BD25" s="851"/>
      <c r="BE25" s="457"/>
      <c r="BF25" s="458"/>
      <c r="BG25" s="458"/>
      <c r="BH25" s="458"/>
      <c r="BI25" s="459"/>
      <c r="BJ25" s="918"/>
      <c r="BK25" s="598"/>
      <c r="BL25" s="598"/>
      <c r="BM25" s="598"/>
      <c r="BN25" s="646"/>
      <c r="BO25" s="409"/>
      <c r="BP25" s="401"/>
      <c r="BQ25" s="401"/>
      <c r="BR25" s="401"/>
      <c r="BS25" s="832"/>
      <c r="BT25" s="409"/>
      <c r="BU25" s="401"/>
      <c r="BV25" s="401"/>
      <c r="BW25" s="401"/>
      <c r="BX25" s="402"/>
    </row>
    <row r="26" spans="1:76" ht="9.75" customHeight="1" x14ac:dyDescent="0.15">
      <c r="A26" s="2">
        <v>22</v>
      </c>
      <c r="B26" s="870"/>
      <c r="C26" s="871"/>
      <c r="D26" s="943"/>
      <c r="E26" s="871"/>
      <c r="F26" s="893" t="s">
        <v>274</v>
      </c>
      <c r="G26" s="894"/>
      <c r="H26" s="894"/>
      <c r="I26" s="894"/>
      <c r="J26" s="895"/>
      <c r="K26" s="159" t="s">
        <v>254</v>
      </c>
      <c r="L26" s="361"/>
      <c r="M26" s="356"/>
      <c r="N26" s="356"/>
      <c r="O26" s="356"/>
      <c r="P26" s="369"/>
      <c r="Q26" s="919"/>
      <c r="R26" s="871"/>
      <c r="S26" s="964"/>
      <c r="T26" s="965"/>
      <c r="U26" s="893" t="s">
        <v>315</v>
      </c>
      <c r="V26" s="894"/>
      <c r="W26" s="894"/>
      <c r="X26" s="894"/>
      <c r="Y26" s="895"/>
      <c r="Z26" s="20" t="s">
        <v>254</v>
      </c>
      <c r="AA26" s="361"/>
      <c r="AB26" s="356"/>
      <c r="AC26" s="356"/>
      <c r="AD26" s="356"/>
      <c r="AE26" s="357"/>
      <c r="AF26" s="920"/>
      <c r="AG26" s="500" t="s">
        <v>316</v>
      </c>
      <c r="AH26" s="501"/>
      <c r="AI26" s="501"/>
      <c r="AJ26" s="501"/>
      <c r="AK26" s="457"/>
      <c r="AL26" s="458"/>
      <c r="AM26" s="458"/>
      <c r="AN26" s="458"/>
      <c r="AO26" s="845"/>
      <c r="AP26" s="457"/>
      <c r="AQ26" s="458"/>
      <c r="AR26" s="458"/>
      <c r="AS26" s="458"/>
      <c r="AT26" s="845"/>
      <c r="AU26" s="1001" t="s">
        <v>319</v>
      </c>
      <c r="AV26" s="1001"/>
      <c r="AW26" s="1001"/>
      <c r="AX26" s="1001"/>
      <c r="AY26" s="1002"/>
      <c r="AZ26" s="899"/>
      <c r="BA26" s="900"/>
      <c r="BB26" s="900"/>
      <c r="BC26" s="900"/>
      <c r="BD26" s="901"/>
      <c r="BE26" s="838"/>
      <c r="BF26" s="839"/>
      <c r="BG26" s="839"/>
      <c r="BH26" s="839"/>
      <c r="BI26" s="840"/>
      <c r="BJ26" s="918"/>
      <c r="BK26" s="598"/>
      <c r="BL26" s="598"/>
      <c r="BM26" s="598"/>
      <c r="BN26" s="646"/>
      <c r="BO26" s="409"/>
      <c r="BP26" s="401"/>
      <c r="BQ26" s="401"/>
      <c r="BR26" s="401"/>
      <c r="BS26" s="832"/>
      <c r="BT26" s="409"/>
      <c r="BU26" s="401"/>
      <c r="BV26" s="401"/>
      <c r="BW26" s="401"/>
      <c r="BX26" s="402"/>
    </row>
    <row r="27" spans="1:76" ht="9.75" customHeight="1" x14ac:dyDescent="0.15">
      <c r="A27" s="2">
        <v>23</v>
      </c>
      <c r="B27" s="870"/>
      <c r="C27" s="871"/>
      <c r="D27" s="943"/>
      <c r="E27" s="871"/>
      <c r="F27" s="893" t="s">
        <v>278</v>
      </c>
      <c r="G27" s="894"/>
      <c r="H27" s="894"/>
      <c r="I27" s="894"/>
      <c r="J27" s="895"/>
      <c r="K27" s="159" t="s">
        <v>254</v>
      </c>
      <c r="L27" s="361"/>
      <c r="M27" s="356"/>
      <c r="N27" s="356"/>
      <c r="O27" s="356"/>
      <c r="P27" s="369"/>
      <c r="Q27" s="919"/>
      <c r="R27" s="871"/>
      <c r="S27" s="964"/>
      <c r="T27" s="965"/>
      <c r="U27" s="893" t="s">
        <v>317</v>
      </c>
      <c r="V27" s="894"/>
      <c r="W27" s="894"/>
      <c r="X27" s="894"/>
      <c r="Y27" s="895"/>
      <c r="Z27" s="20" t="s">
        <v>254</v>
      </c>
      <c r="AA27" s="376"/>
      <c r="AB27" s="377"/>
      <c r="AC27" s="377"/>
      <c r="AD27" s="377"/>
      <c r="AE27" s="416"/>
      <c r="AF27" s="1012" t="s">
        <v>318</v>
      </c>
      <c r="AG27" s="1015" t="s">
        <v>283</v>
      </c>
      <c r="AH27" s="1015"/>
      <c r="AI27" s="1015"/>
      <c r="AJ27" s="1015"/>
      <c r="AK27" s="373"/>
      <c r="AL27" s="374"/>
      <c r="AM27" s="374"/>
      <c r="AN27" s="374"/>
      <c r="AO27" s="753"/>
      <c r="AP27" s="373"/>
      <c r="AQ27" s="374"/>
      <c r="AR27" s="374"/>
      <c r="AS27" s="374"/>
      <c r="AT27" s="753"/>
      <c r="AU27" s="640" t="s">
        <v>321</v>
      </c>
      <c r="AV27" s="640"/>
      <c r="AW27" s="640"/>
      <c r="AX27" s="640"/>
      <c r="AY27" s="641"/>
      <c r="AZ27" s="961"/>
      <c r="BA27" s="962"/>
      <c r="BB27" s="962"/>
      <c r="BC27" s="962"/>
      <c r="BD27" s="963"/>
      <c r="BE27" s="358"/>
      <c r="BF27" s="359"/>
      <c r="BG27" s="359"/>
      <c r="BH27" s="359"/>
      <c r="BI27" s="360"/>
      <c r="BJ27" s="918"/>
      <c r="BK27" s="598"/>
      <c r="BL27" s="598"/>
      <c r="BM27" s="598"/>
      <c r="BN27" s="646"/>
      <c r="BO27" s="409"/>
      <c r="BP27" s="401"/>
      <c r="BQ27" s="401"/>
      <c r="BR27" s="401"/>
      <c r="BS27" s="832"/>
      <c r="BT27" s="409"/>
      <c r="BU27" s="401"/>
      <c r="BV27" s="401"/>
      <c r="BW27" s="401"/>
      <c r="BX27" s="402"/>
    </row>
    <row r="28" spans="1:76" ht="9.75" customHeight="1" thickBot="1" x14ac:dyDescent="0.2">
      <c r="A28" s="2">
        <v>24</v>
      </c>
      <c r="B28" s="870"/>
      <c r="C28" s="871"/>
      <c r="D28" s="943"/>
      <c r="E28" s="871"/>
      <c r="F28" s="893" t="s">
        <v>322</v>
      </c>
      <c r="G28" s="894"/>
      <c r="H28" s="894"/>
      <c r="I28" s="894"/>
      <c r="J28" s="895"/>
      <c r="K28" s="20" t="s">
        <v>254</v>
      </c>
      <c r="L28" s="361"/>
      <c r="M28" s="356"/>
      <c r="N28" s="356"/>
      <c r="O28" s="356"/>
      <c r="P28" s="369"/>
      <c r="Q28" s="919"/>
      <c r="R28" s="871"/>
      <c r="S28" s="964"/>
      <c r="T28" s="965"/>
      <c r="U28" s="893" t="s">
        <v>320</v>
      </c>
      <c r="V28" s="894"/>
      <c r="W28" s="894"/>
      <c r="X28" s="894"/>
      <c r="Y28" s="895"/>
      <c r="Z28" s="20" t="s">
        <v>301</v>
      </c>
      <c r="AA28" s="361"/>
      <c r="AB28" s="356"/>
      <c r="AC28" s="356"/>
      <c r="AD28" s="356"/>
      <c r="AE28" s="357"/>
      <c r="AF28" s="1013"/>
      <c r="AG28" s="932" t="s">
        <v>287</v>
      </c>
      <c r="AH28" s="932"/>
      <c r="AI28" s="932"/>
      <c r="AJ28" s="932"/>
      <c r="AK28" s="361"/>
      <c r="AL28" s="356"/>
      <c r="AM28" s="356"/>
      <c r="AN28" s="356"/>
      <c r="AO28" s="369"/>
      <c r="AP28" s="361"/>
      <c r="AQ28" s="356"/>
      <c r="AR28" s="356"/>
      <c r="AS28" s="356"/>
      <c r="AT28" s="369"/>
      <c r="AU28" s="309"/>
      <c r="AV28" s="1003" t="s">
        <v>510</v>
      </c>
      <c r="AW28" s="1003"/>
      <c r="AX28" s="1003"/>
      <c r="AY28" s="1004"/>
      <c r="AZ28" s="689"/>
      <c r="BA28" s="690"/>
      <c r="BB28" s="690"/>
      <c r="BC28" s="690"/>
      <c r="BD28" s="1016"/>
      <c r="BE28" s="379"/>
      <c r="BF28" s="380"/>
      <c r="BG28" s="380"/>
      <c r="BH28" s="380"/>
      <c r="BI28" s="422"/>
      <c r="BJ28" s="918"/>
      <c r="BK28" s="598"/>
      <c r="BL28" s="598"/>
      <c r="BM28" s="598"/>
      <c r="BN28" s="646"/>
      <c r="BO28" s="409"/>
      <c r="BP28" s="401"/>
      <c r="BQ28" s="401"/>
      <c r="BR28" s="401"/>
      <c r="BS28" s="832"/>
      <c r="BT28" s="409"/>
      <c r="BU28" s="401"/>
      <c r="BV28" s="401"/>
      <c r="BW28" s="401"/>
      <c r="BX28" s="402"/>
    </row>
    <row r="29" spans="1:76" ht="9.75" customHeight="1" x14ac:dyDescent="0.15">
      <c r="A29" s="2">
        <v>25</v>
      </c>
      <c r="B29" s="872"/>
      <c r="C29" s="873"/>
      <c r="D29" s="996"/>
      <c r="E29" s="873"/>
      <c r="F29" s="947" t="s">
        <v>305</v>
      </c>
      <c r="G29" s="948"/>
      <c r="H29" s="948"/>
      <c r="I29" s="948"/>
      <c r="J29" s="949"/>
      <c r="K29" s="161" t="s">
        <v>254</v>
      </c>
      <c r="L29" s="457"/>
      <c r="M29" s="458"/>
      <c r="N29" s="458"/>
      <c r="O29" s="458"/>
      <c r="P29" s="845"/>
      <c r="Q29" s="919"/>
      <c r="R29" s="871"/>
      <c r="S29" s="964"/>
      <c r="T29" s="965"/>
      <c r="U29" s="893" t="s">
        <v>323</v>
      </c>
      <c r="V29" s="894"/>
      <c r="W29" s="894"/>
      <c r="X29" s="894"/>
      <c r="Y29" s="895"/>
      <c r="Z29" s="20" t="s">
        <v>80</v>
      </c>
      <c r="AA29" s="361"/>
      <c r="AB29" s="356"/>
      <c r="AC29" s="356"/>
      <c r="AD29" s="356"/>
      <c r="AE29" s="357"/>
      <c r="AF29" s="1013"/>
      <c r="AG29" s="1005" t="s">
        <v>324</v>
      </c>
      <c r="AH29" s="1006"/>
      <c r="AI29" s="1006"/>
      <c r="AJ29" s="1007"/>
      <c r="AK29" s="361"/>
      <c r="AL29" s="356"/>
      <c r="AM29" s="356"/>
      <c r="AN29" s="356"/>
      <c r="AO29" s="369"/>
      <c r="AP29" s="361"/>
      <c r="AQ29" s="356"/>
      <c r="AR29" s="356"/>
      <c r="AS29" s="356"/>
      <c r="AT29" s="357"/>
      <c r="BJ29" s="918"/>
      <c r="BK29" s="598"/>
      <c r="BL29" s="598"/>
      <c r="BM29" s="598"/>
      <c r="BN29" s="646"/>
      <c r="BO29" s="409"/>
      <c r="BP29" s="401"/>
      <c r="BQ29" s="401"/>
      <c r="BR29" s="401"/>
      <c r="BS29" s="832"/>
      <c r="BT29" s="409"/>
      <c r="BU29" s="401"/>
      <c r="BV29" s="401"/>
      <c r="BW29" s="401"/>
      <c r="BX29" s="402"/>
    </row>
    <row r="30" spans="1:76" ht="9.75" customHeight="1" x14ac:dyDescent="0.15">
      <c r="A30" s="2">
        <v>26</v>
      </c>
      <c r="B30" s="940" t="s">
        <v>326</v>
      </c>
      <c r="C30" s="941"/>
      <c r="D30" s="942" t="s">
        <v>229</v>
      </c>
      <c r="E30" s="941"/>
      <c r="F30" s="946" t="s">
        <v>327</v>
      </c>
      <c r="G30" s="884"/>
      <c r="H30" s="884"/>
      <c r="I30" s="884"/>
      <c r="J30" s="885"/>
      <c r="K30" s="19" t="s">
        <v>270</v>
      </c>
      <c r="L30" s="373"/>
      <c r="M30" s="374"/>
      <c r="N30" s="374"/>
      <c r="O30" s="374"/>
      <c r="P30" s="753"/>
      <c r="Q30" s="919"/>
      <c r="R30" s="871"/>
      <c r="S30" s="964"/>
      <c r="T30" s="965"/>
      <c r="U30" s="893" t="s">
        <v>325</v>
      </c>
      <c r="V30" s="894"/>
      <c r="W30" s="894"/>
      <c r="X30" s="894"/>
      <c r="Y30" s="895"/>
      <c r="Z30" s="158" t="s">
        <v>80</v>
      </c>
      <c r="AA30" s="376"/>
      <c r="AB30" s="377"/>
      <c r="AC30" s="377"/>
      <c r="AD30" s="377"/>
      <c r="AE30" s="416"/>
      <c r="AF30" s="1013"/>
      <c r="AG30" s="893" t="s">
        <v>101</v>
      </c>
      <c r="AH30" s="894"/>
      <c r="AI30" s="894"/>
      <c r="AJ30" s="894"/>
      <c r="AK30" s="590"/>
      <c r="AL30" s="591"/>
      <c r="AM30" s="591"/>
      <c r="AN30" s="591"/>
      <c r="AO30" s="636"/>
      <c r="AP30" s="361"/>
      <c r="AQ30" s="356"/>
      <c r="AR30" s="356"/>
      <c r="AS30" s="356"/>
      <c r="AT30" s="357"/>
      <c r="BJ30" s="918"/>
      <c r="BK30" s="598"/>
      <c r="BL30" s="598"/>
      <c r="BM30" s="598"/>
      <c r="BN30" s="646"/>
      <c r="BO30" s="409"/>
      <c r="BP30" s="401"/>
      <c r="BQ30" s="401"/>
      <c r="BR30" s="401"/>
      <c r="BS30" s="832"/>
      <c r="BT30" s="409"/>
      <c r="BU30" s="401"/>
      <c r="BV30" s="401"/>
      <c r="BW30" s="401"/>
      <c r="BX30" s="402"/>
    </row>
    <row r="31" spans="1:76" ht="9.75" customHeight="1" x14ac:dyDescent="0.15">
      <c r="A31" s="2">
        <v>27</v>
      </c>
      <c r="B31" s="870"/>
      <c r="C31" s="871"/>
      <c r="D31" s="943"/>
      <c r="E31" s="871"/>
      <c r="F31" s="893" t="s">
        <v>241</v>
      </c>
      <c r="G31" s="894"/>
      <c r="H31" s="894"/>
      <c r="I31" s="894"/>
      <c r="J31" s="895"/>
      <c r="K31" s="20" t="s">
        <v>80</v>
      </c>
      <c r="L31" s="361"/>
      <c r="M31" s="356"/>
      <c r="N31" s="356"/>
      <c r="O31" s="356"/>
      <c r="P31" s="369"/>
      <c r="Q31" s="920"/>
      <c r="R31" s="873"/>
      <c r="S31" s="966"/>
      <c r="T31" s="967"/>
      <c r="U31" s="947" t="s">
        <v>328</v>
      </c>
      <c r="V31" s="948"/>
      <c r="W31" s="948"/>
      <c r="X31" s="948"/>
      <c r="Y31" s="949"/>
      <c r="Z31" s="161" t="s">
        <v>270</v>
      </c>
      <c r="AA31" s="457"/>
      <c r="AB31" s="458"/>
      <c r="AC31" s="458"/>
      <c r="AD31" s="458"/>
      <c r="AE31" s="459"/>
      <c r="AF31" s="1014"/>
      <c r="AG31" s="1017" t="s">
        <v>273</v>
      </c>
      <c r="AH31" s="1018"/>
      <c r="AI31" s="1018"/>
      <c r="AJ31" s="1018"/>
      <c r="AK31" s="849"/>
      <c r="AL31" s="850"/>
      <c r="AM31" s="850"/>
      <c r="AN31" s="850"/>
      <c r="AO31" s="851"/>
      <c r="AP31" s="457"/>
      <c r="AQ31" s="458"/>
      <c r="AR31" s="458"/>
      <c r="AS31" s="458"/>
      <c r="AT31" s="459"/>
      <c r="BJ31" s="918"/>
      <c r="BK31" s="598"/>
      <c r="BL31" s="598"/>
      <c r="BM31" s="598"/>
      <c r="BN31" s="646"/>
      <c r="BO31" s="818"/>
      <c r="BP31" s="819"/>
      <c r="BQ31" s="819"/>
      <c r="BR31" s="819"/>
      <c r="BS31" s="833"/>
      <c r="BT31" s="818"/>
      <c r="BU31" s="819"/>
      <c r="BV31" s="819"/>
      <c r="BW31" s="819"/>
      <c r="BX31" s="820"/>
    </row>
    <row r="32" spans="1:76" ht="9.75" customHeight="1" thickBot="1" x14ac:dyDescent="0.2">
      <c r="A32" s="2">
        <v>28</v>
      </c>
      <c r="B32" s="870"/>
      <c r="C32" s="871"/>
      <c r="D32" s="943"/>
      <c r="E32" s="871"/>
      <c r="F32" s="1019" t="s">
        <v>297</v>
      </c>
      <c r="G32" s="1020"/>
      <c r="H32" s="1020"/>
      <c r="I32" s="1020"/>
      <c r="J32" s="1021"/>
      <c r="K32" s="20" t="s">
        <v>80</v>
      </c>
      <c r="L32" s="376"/>
      <c r="M32" s="377"/>
      <c r="N32" s="377"/>
      <c r="O32" s="377"/>
      <c r="P32" s="378"/>
      <c r="Q32" s="919" t="s">
        <v>329</v>
      </c>
      <c r="R32" s="919"/>
      <c r="S32" s="1008" t="s">
        <v>229</v>
      </c>
      <c r="T32" s="1009"/>
      <c r="U32" s="878" t="s">
        <v>330</v>
      </c>
      <c r="V32" s="879"/>
      <c r="W32" s="879"/>
      <c r="X32" s="879"/>
      <c r="Y32" s="880"/>
      <c r="Z32" s="158" t="s">
        <v>230</v>
      </c>
      <c r="AA32" s="373"/>
      <c r="AB32" s="374"/>
      <c r="AC32" s="374"/>
      <c r="AD32" s="374"/>
      <c r="AE32" s="375"/>
      <c r="AF32" s="997" t="s">
        <v>294</v>
      </c>
      <c r="AG32" s="968" t="s">
        <v>296</v>
      </c>
      <c r="AH32" s="495"/>
      <c r="AI32" s="495"/>
      <c r="AJ32" s="496"/>
      <c r="AK32" s="786"/>
      <c r="AL32" s="787"/>
      <c r="AM32" s="787"/>
      <c r="AN32" s="787"/>
      <c r="AO32" s="788"/>
      <c r="AP32" s="373"/>
      <c r="AQ32" s="374"/>
      <c r="AR32" s="374"/>
      <c r="AS32" s="374"/>
      <c r="AT32" s="375"/>
      <c r="BJ32" s="918"/>
      <c r="BK32" s="598"/>
      <c r="BL32" s="598"/>
      <c r="BM32" s="598"/>
      <c r="BN32" s="646"/>
      <c r="BO32" s="361"/>
      <c r="BP32" s="356"/>
      <c r="BQ32" s="356"/>
      <c r="BR32" s="356"/>
      <c r="BS32" s="369"/>
      <c r="BT32" s="361"/>
      <c r="BU32" s="356"/>
      <c r="BV32" s="356"/>
      <c r="BW32" s="356"/>
      <c r="BX32" s="357"/>
    </row>
    <row r="33" spans="1:78" ht="9.75" customHeight="1" x14ac:dyDescent="0.15">
      <c r="A33" s="2">
        <v>29</v>
      </c>
      <c r="B33" s="870"/>
      <c r="C33" s="871"/>
      <c r="D33" s="944"/>
      <c r="E33" s="945"/>
      <c r="F33" s="1019" t="s">
        <v>241</v>
      </c>
      <c r="G33" s="1020"/>
      <c r="H33" s="1020"/>
      <c r="I33" s="1020"/>
      <c r="J33" s="1021"/>
      <c r="K33" s="159" t="s">
        <v>80</v>
      </c>
      <c r="L33" s="376"/>
      <c r="M33" s="377"/>
      <c r="N33" s="377"/>
      <c r="O33" s="377"/>
      <c r="P33" s="378"/>
      <c r="Q33" s="919"/>
      <c r="R33" s="919"/>
      <c r="S33" s="964"/>
      <c r="T33" s="965"/>
      <c r="U33" s="893" t="s">
        <v>331</v>
      </c>
      <c r="V33" s="894"/>
      <c r="W33" s="894"/>
      <c r="X33" s="894"/>
      <c r="Y33" s="895"/>
      <c r="Z33" s="20" t="s">
        <v>80</v>
      </c>
      <c r="AA33" s="361"/>
      <c r="AB33" s="356"/>
      <c r="AC33" s="356"/>
      <c r="AD33" s="356"/>
      <c r="AE33" s="357"/>
      <c r="AF33" s="919"/>
      <c r="AG33" s="419" t="s">
        <v>300</v>
      </c>
      <c r="AH33" s="420"/>
      <c r="AI33" s="420"/>
      <c r="AJ33" s="421"/>
      <c r="AK33" s="590"/>
      <c r="AL33" s="591"/>
      <c r="AM33" s="591"/>
      <c r="AN33" s="591"/>
      <c r="AO33" s="636"/>
      <c r="AP33" s="361"/>
      <c r="AQ33" s="356"/>
      <c r="AR33" s="356"/>
      <c r="AS33" s="356"/>
      <c r="AT33" s="357"/>
      <c r="AZ33" s="1027" t="s">
        <v>332</v>
      </c>
      <c r="BA33" s="1028"/>
      <c r="BB33" s="1028"/>
      <c r="BC33" s="1028"/>
      <c r="BD33" s="1028"/>
      <c r="BE33" s="1028"/>
      <c r="BF33" s="1028"/>
      <c r="BG33" s="1028"/>
      <c r="BH33" s="1028"/>
      <c r="BI33" s="1028"/>
      <c r="BJ33" s="918"/>
      <c r="BK33" s="598"/>
      <c r="BL33" s="598"/>
      <c r="BM33" s="598"/>
      <c r="BN33" s="646"/>
      <c r="BO33" s="361"/>
      <c r="BP33" s="356"/>
      <c r="BQ33" s="356"/>
      <c r="BR33" s="356"/>
      <c r="BS33" s="369"/>
      <c r="BT33" s="361"/>
      <c r="BU33" s="356"/>
      <c r="BV33" s="356"/>
      <c r="BW33" s="356"/>
      <c r="BX33" s="357"/>
    </row>
    <row r="34" spans="1:78" ht="9.75" customHeight="1" x14ac:dyDescent="0.15">
      <c r="A34" s="2">
        <v>30</v>
      </c>
      <c r="B34" s="870"/>
      <c r="C34" s="871"/>
      <c r="D34" s="934" t="s">
        <v>232</v>
      </c>
      <c r="E34" s="935"/>
      <c r="F34" s="1019" t="s">
        <v>289</v>
      </c>
      <c r="G34" s="1020"/>
      <c r="H34" s="1020"/>
      <c r="I34" s="1020"/>
      <c r="J34" s="1021"/>
      <c r="K34" s="20" t="s">
        <v>234</v>
      </c>
      <c r="L34" s="361"/>
      <c r="M34" s="356"/>
      <c r="N34" s="356"/>
      <c r="O34" s="356"/>
      <c r="P34" s="369"/>
      <c r="Q34" s="919"/>
      <c r="R34" s="919"/>
      <c r="S34" s="964"/>
      <c r="T34" s="965"/>
      <c r="U34" s="893" t="s">
        <v>101</v>
      </c>
      <c r="V34" s="894"/>
      <c r="W34" s="894"/>
      <c r="X34" s="894"/>
      <c r="Y34" s="895"/>
      <c r="Z34" s="20" t="s">
        <v>80</v>
      </c>
      <c r="AA34" s="361"/>
      <c r="AB34" s="356"/>
      <c r="AC34" s="356"/>
      <c r="AD34" s="356"/>
      <c r="AE34" s="357"/>
      <c r="AF34" s="920"/>
      <c r="AG34" s="1024" t="s">
        <v>304</v>
      </c>
      <c r="AH34" s="1025"/>
      <c r="AI34" s="1025"/>
      <c r="AJ34" s="1026"/>
      <c r="AK34" s="849"/>
      <c r="AL34" s="850"/>
      <c r="AM34" s="850"/>
      <c r="AN34" s="850"/>
      <c r="AO34" s="851"/>
      <c r="AP34" s="457"/>
      <c r="AQ34" s="458"/>
      <c r="AR34" s="458"/>
      <c r="AS34" s="458"/>
      <c r="AT34" s="459"/>
      <c r="AZ34" s="815" t="s">
        <v>118</v>
      </c>
      <c r="BA34" s="816"/>
      <c r="BB34" s="816"/>
      <c r="BC34" s="816"/>
      <c r="BD34" s="817"/>
      <c r="BE34" s="358"/>
      <c r="BF34" s="359"/>
      <c r="BG34" s="359"/>
      <c r="BH34" s="359"/>
      <c r="BI34" s="360"/>
      <c r="BJ34" s="918"/>
      <c r="BK34" s="598"/>
      <c r="BL34" s="598"/>
      <c r="BM34" s="598"/>
      <c r="BN34" s="646"/>
      <c r="BO34" s="361"/>
      <c r="BP34" s="356"/>
      <c r="BQ34" s="356"/>
      <c r="BR34" s="356"/>
      <c r="BS34" s="369"/>
      <c r="BT34" s="361"/>
      <c r="BU34" s="356"/>
      <c r="BV34" s="356"/>
      <c r="BW34" s="356"/>
      <c r="BX34" s="357"/>
    </row>
    <row r="35" spans="1:78" ht="9.75" customHeight="1" x14ac:dyDescent="0.15">
      <c r="A35" s="2">
        <v>31</v>
      </c>
      <c r="B35" s="872"/>
      <c r="C35" s="873"/>
      <c r="D35" s="936"/>
      <c r="E35" s="854"/>
      <c r="F35" s="846" t="s">
        <v>297</v>
      </c>
      <c r="G35" s="847"/>
      <c r="H35" s="847"/>
      <c r="I35" s="847"/>
      <c r="J35" s="1022"/>
      <c r="K35" s="161" t="s">
        <v>80</v>
      </c>
      <c r="L35" s="457"/>
      <c r="M35" s="458"/>
      <c r="N35" s="458"/>
      <c r="O35" s="458"/>
      <c r="P35" s="845"/>
      <c r="Q35" s="919"/>
      <c r="R35" s="919"/>
      <c r="S35" s="964"/>
      <c r="T35" s="965"/>
      <c r="U35" s="893" t="s">
        <v>241</v>
      </c>
      <c r="V35" s="894"/>
      <c r="W35" s="894"/>
      <c r="X35" s="894"/>
      <c r="Y35" s="895"/>
      <c r="Z35" s="20" t="s">
        <v>80</v>
      </c>
      <c r="AA35" s="361"/>
      <c r="AB35" s="356"/>
      <c r="AC35" s="356"/>
      <c r="AD35" s="356"/>
      <c r="AE35" s="357"/>
      <c r="AF35" s="1001" t="s">
        <v>306</v>
      </c>
      <c r="AG35" s="1001"/>
      <c r="AH35" s="1001"/>
      <c r="AI35" s="1001"/>
      <c r="AJ35" s="1002"/>
      <c r="AK35" s="899"/>
      <c r="AL35" s="900"/>
      <c r="AM35" s="900"/>
      <c r="AN35" s="900"/>
      <c r="AO35" s="901"/>
      <c r="AP35" s="835"/>
      <c r="AQ35" s="836"/>
      <c r="AR35" s="836"/>
      <c r="AS35" s="836"/>
      <c r="AT35" s="837"/>
      <c r="AZ35" s="252"/>
      <c r="BA35" s="1019" t="s">
        <v>123</v>
      </c>
      <c r="BB35" s="1020"/>
      <c r="BC35" s="1020"/>
      <c r="BD35" s="1023"/>
      <c r="BE35" s="376"/>
      <c r="BF35" s="377"/>
      <c r="BG35" s="377"/>
      <c r="BH35" s="377"/>
      <c r="BI35" s="416"/>
      <c r="BJ35" s="918"/>
      <c r="BK35" s="598"/>
      <c r="BL35" s="598"/>
      <c r="BM35" s="598"/>
      <c r="BN35" s="646"/>
      <c r="BO35" s="361"/>
      <c r="BP35" s="356"/>
      <c r="BQ35" s="356"/>
      <c r="BR35" s="356"/>
      <c r="BS35" s="369"/>
      <c r="BT35" s="361"/>
      <c r="BU35" s="356"/>
      <c r="BV35" s="356"/>
      <c r="BW35" s="356"/>
      <c r="BX35" s="357"/>
    </row>
    <row r="36" spans="1:78" ht="9.75" customHeight="1" x14ac:dyDescent="0.15">
      <c r="A36" s="2">
        <v>32</v>
      </c>
      <c r="B36" s="940" t="s">
        <v>337</v>
      </c>
      <c r="C36" s="941"/>
      <c r="D36" s="942" t="s">
        <v>229</v>
      </c>
      <c r="E36" s="941"/>
      <c r="F36" s="946" t="s">
        <v>338</v>
      </c>
      <c r="G36" s="884"/>
      <c r="H36" s="884"/>
      <c r="I36" s="884"/>
      <c r="J36" s="885"/>
      <c r="K36" s="19" t="s">
        <v>270</v>
      </c>
      <c r="L36" s="373"/>
      <c r="M36" s="374"/>
      <c r="N36" s="374"/>
      <c r="O36" s="374"/>
      <c r="P36" s="753"/>
      <c r="Q36" s="919"/>
      <c r="R36" s="919"/>
      <c r="S36" s="964"/>
      <c r="T36" s="965"/>
      <c r="U36" s="1019" t="s">
        <v>333</v>
      </c>
      <c r="V36" s="1020"/>
      <c r="W36" s="1020"/>
      <c r="X36" s="1020"/>
      <c r="Y36" s="1021"/>
      <c r="Z36" s="159" t="s">
        <v>80</v>
      </c>
      <c r="AA36" s="376"/>
      <c r="AB36" s="377"/>
      <c r="AC36" s="377"/>
      <c r="AD36" s="377"/>
      <c r="AE36" s="416"/>
      <c r="AF36" s="1029" t="s">
        <v>334</v>
      </c>
      <c r="AG36" s="1032" t="s">
        <v>335</v>
      </c>
      <c r="AH36" s="1033"/>
      <c r="AI36" s="1040" t="s">
        <v>336</v>
      </c>
      <c r="AJ36" s="1041"/>
      <c r="AK36" s="786"/>
      <c r="AL36" s="787"/>
      <c r="AM36" s="787"/>
      <c r="AN36" s="787"/>
      <c r="AO36" s="788"/>
      <c r="AP36" s="373"/>
      <c r="AQ36" s="374"/>
      <c r="AR36" s="374"/>
      <c r="AS36" s="374"/>
      <c r="AT36" s="375"/>
      <c r="AZ36" s="252"/>
      <c r="BA36" s="1019" t="s">
        <v>341</v>
      </c>
      <c r="BB36" s="1020"/>
      <c r="BC36" s="1020"/>
      <c r="BD36" s="1023"/>
      <c r="BE36" s="376"/>
      <c r="BF36" s="377"/>
      <c r="BG36" s="377"/>
      <c r="BH36" s="377"/>
      <c r="BI36" s="416"/>
      <c r="BJ36" s="918"/>
      <c r="BK36" s="598"/>
      <c r="BL36" s="598"/>
      <c r="BM36" s="598"/>
      <c r="BN36" s="646"/>
      <c r="BO36" s="361"/>
      <c r="BP36" s="356"/>
      <c r="BQ36" s="356"/>
      <c r="BR36" s="356"/>
      <c r="BS36" s="369"/>
      <c r="BT36" s="361"/>
      <c r="BU36" s="356"/>
      <c r="BV36" s="356"/>
      <c r="BW36" s="356"/>
      <c r="BX36" s="357"/>
    </row>
    <row r="37" spans="1:78" ht="9.75" customHeight="1" x14ac:dyDescent="0.15">
      <c r="A37" s="2">
        <v>33</v>
      </c>
      <c r="B37" s="870"/>
      <c r="C37" s="871"/>
      <c r="D37" s="943"/>
      <c r="E37" s="871"/>
      <c r="F37" s="893" t="s">
        <v>241</v>
      </c>
      <c r="G37" s="894"/>
      <c r="H37" s="894"/>
      <c r="I37" s="894"/>
      <c r="J37" s="895"/>
      <c r="K37" s="20" t="s">
        <v>254</v>
      </c>
      <c r="L37" s="361"/>
      <c r="M37" s="356"/>
      <c r="N37" s="356"/>
      <c r="O37" s="356"/>
      <c r="P37" s="369"/>
      <c r="Q37" s="920"/>
      <c r="R37" s="920"/>
      <c r="S37" s="611" t="s">
        <v>339</v>
      </c>
      <c r="T37" s="612"/>
      <c r="U37" s="612"/>
      <c r="V37" s="612"/>
      <c r="W37" s="612"/>
      <c r="X37" s="612"/>
      <c r="Y37" s="972"/>
      <c r="Z37" s="161" t="s">
        <v>234</v>
      </c>
      <c r="AA37" s="370"/>
      <c r="AB37" s="371"/>
      <c r="AC37" s="371"/>
      <c r="AD37" s="371"/>
      <c r="AE37" s="418"/>
      <c r="AF37" s="1030"/>
      <c r="AG37" s="1034"/>
      <c r="AH37" s="1035"/>
      <c r="AI37" s="419" t="s">
        <v>340</v>
      </c>
      <c r="AJ37" s="421"/>
      <c r="AK37" s="590"/>
      <c r="AL37" s="591"/>
      <c r="AM37" s="591"/>
      <c r="AN37" s="591"/>
      <c r="AO37" s="636"/>
      <c r="AP37" s="361"/>
      <c r="AQ37" s="356"/>
      <c r="AR37" s="356"/>
      <c r="AS37" s="356"/>
      <c r="AT37" s="357"/>
      <c r="AZ37" s="252"/>
      <c r="BA37" s="1019" t="s">
        <v>344</v>
      </c>
      <c r="BB37" s="1020"/>
      <c r="BC37" s="1020"/>
      <c r="BD37" s="1023"/>
      <c r="BE37" s="376"/>
      <c r="BF37" s="377"/>
      <c r="BG37" s="377"/>
      <c r="BH37" s="377"/>
      <c r="BI37" s="416"/>
      <c r="BJ37" s="918"/>
      <c r="BK37" s="598"/>
      <c r="BL37" s="598"/>
      <c r="BM37" s="598"/>
      <c r="BN37" s="646"/>
      <c r="BO37" s="361"/>
      <c r="BP37" s="356"/>
      <c r="BQ37" s="356"/>
      <c r="BR37" s="356"/>
      <c r="BS37" s="369"/>
      <c r="BT37" s="361"/>
      <c r="BU37" s="356"/>
      <c r="BV37" s="356"/>
      <c r="BW37" s="356"/>
      <c r="BX37" s="357"/>
    </row>
    <row r="38" spans="1:78" ht="9.75" customHeight="1" x14ac:dyDescent="0.15">
      <c r="A38" s="2">
        <v>34</v>
      </c>
      <c r="B38" s="870"/>
      <c r="C38" s="871"/>
      <c r="D38" s="943"/>
      <c r="E38" s="871"/>
      <c r="F38" s="893" t="s">
        <v>509</v>
      </c>
      <c r="G38" s="894"/>
      <c r="H38" s="894"/>
      <c r="I38" s="894"/>
      <c r="J38" s="895"/>
      <c r="K38" s="20" t="s">
        <v>254</v>
      </c>
      <c r="L38" s="361"/>
      <c r="M38" s="356"/>
      <c r="N38" s="356"/>
      <c r="O38" s="356"/>
      <c r="P38" s="369"/>
      <c r="Q38" s="1036" t="s">
        <v>467</v>
      </c>
      <c r="R38" s="1037"/>
      <c r="S38" s="968" t="s">
        <v>229</v>
      </c>
      <c r="T38" s="495"/>
      <c r="U38" s="495"/>
      <c r="V38" s="495"/>
      <c r="W38" s="495"/>
      <c r="X38" s="495"/>
      <c r="Y38" s="976"/>
      <c r="Z38" s="310" t="s">
        <v>270</v>
      </c>
      <c r="AA38" s="373"/>
      <c r="AB38" s="374"/>
      <c r="AC38" s="374"/>
      <c r="AD38" s="374"/>
      <c r="AE38" s="375"/>
      <c r="AF38" s="1030"/>
      <c r="AG38" s="1034"/>
      <c r="AH38" s="1035"/>
      <c r="AI38" s="1042" t="s">
        <v>343</v>
      </c>
      <c r="AJ38" s="1043"/>
      <c r="AK38" s="590"/>
      <c r="AL38" s="591"/>
      <c r="AM38" s="591"/>
      <c r="AN38" s="591"/>
      <c r="AO38" s="636"/>
      <c r="AP38" s="376"/>
      <c r="AQ38" s="377"/>
      <c r="AR38" s="377"/>
      <c r="AS38" s="377"/>
      <c r="AT38" s="416"/>
      <c r="AZ38" s="252"/>
      <c r="BA38" s="1019" t="s">
        <v>347</v>
      </c>
      <c r="BB38" s="1020"/>
      <c r="BC38" s="1020"/>
      <c r="BD38" s="1023"/>
      <c r="BE38" s="376"/>
      <c r="BF38" s="377"/>
      <c r="BG38" s="377"/>
      <c r="BH38" s="377"/>
      <c r="BI38" s="416"/>
      <c r="BJ38" s="918"/>
      <c r="BK38" s="598"/>
      <c r="BL38" s="598"/>
      <c r="BM38" s="598"/>
      <c r="BN38" s="646"/>
      <c r="BO38" s="361"/>
      <c r="BP38" s="356"/>
      <c r="BQ38" s="356"/>
      <c r="BR38" s="356"/>
      <c r="BS38" s="369"/>
      <c r="BT38" s="361"/>
      <c r="BU38" s="356"/>
      <c r="BV38" s="356"/>
      <c r="BW38" s="356"/>
      <c r="BX38" s="357"/>
    </row>
    <row r="39" spans="1:78" ht="9.75" customHeight="1" x14ac:dyDescent="0.15">
      <c r="A39" s="2">
        <v>35</v>
      </c>
      <c r="B39" s="870"/>
      <c r="C39" s="871"/>
      <c r="D39" s="943"/>
      <c r="E39" s="871"/>
      <c r="F39" s="893" t="s">
        <v>241</v>
      </c>
      <c r="G39" s="894"/>
      <c r="H39" s="894"/>
      <c r="I39" s="894"/>
      <c r="J39" s="895"/>
      <c r="K39" s="159" t="s">
        <v>254</v>
      </c>
      <c r="L39" s="361"/>
      <c r="M39" s="356"/>
      <c r="N39" s="356"/>
      <c r="O39" s="356"/>
      <c r="P39" s="369"/>
      <c r="Q39" s="1038"/>
      <c r="R39" s="1039"/>
      <c r="S39" s="611" t="s">
        <v>241</v>
      </c>
      <c r="T39" s="612"/>
      <c r="U39" s="612"/>
      <c r="V39" s="612"/>
      <c r="W39" s="612"/>
      <c r="X39" s="612"/>
      <c r="Y39" s="972"/>
      <c r="Z39" s="24" t="s">
        <v>254</v>
      </c>
      <c r="AA39" s="370"/>
      <c r="AB39" s="371"/>
      <c r="AC39" s="371"/>
      <c r="AD39" s="371"/>
      <c r="AE39" s="418"/>
      <c r="AF39" s="1030"/>
      <c r="AG39" s="1057" t="s">
        <v>346</v>
      </c>
      <c r="AH39" s="1058"/>
      <c r="AI39" s="795" t="s">
        <v>336</v>
      </c>
      <c r="AJ39" s="797"/>
      <c r="AK39" s="590"/>
      <c r="AL39" s="591"/>
      <c r="AM39" s="591"/>
      <c r="AN39" s="591"/>
      <c r="AO39" s="636"/>
      <c r="AP39" s="361"/>
      <c r="AQ39" s="356"/>
      <c r="AR39" s="356"/>
      <c r="AS39" s="356"/>
      <c r="AT39" s="357"/>
      <c r="AZ39" s="252"/>
      <c r="BA39" s="1019" t="s">
        <v>351</v>
      </c>
      <c r="BB39" s="1020"/>
      <c r="BC39" s="1020"/>
      <c r="BD39" s="1023"/>
      <c r="BE39" s="376"/>
      <c r="BF39" s="377"/>
      <c r="BG39" s="377"/>
      <c r="BH39" s="377"/>
      <c r="BI39" s="416"/>
      <c r="BJ39" s="956"/>
      <c r="BK39" s="957"/>
      <c r="BL39" s="957"/>
      <c r="BM39" s="957"/>
      <c r="BN39" s="958"/>
      <c r="BO39" s="361"/>
      <c r="BP39" s="356"/>
      <c r="BQ39" s="356"/>
      <c r="BR39" s="356"/>
      <c r="BS39" s="369"/>
      <c r="BT39" s="361"/>
      <c r="BU39" s="356"/>
      <c r="BV39" s="356"/>
      <c r="BW39" s="356"/>
      <c r="BX39" s="357"/>
    </row>
    <row r="40" spans="1:78" ht="9.75" customHeight="1" thickBot="1" x14ac:dyDescent="0.2">
      <c r="A40" s="2">
        <v>36</v>
      </c>
      <c r="B40" s="870"/>
      <c r="C40" s="871"/>
      <c r="D40" s="943"/>
      <c r="E40" s="871"/>
      <c r="F40" s="893" t="s">
        <v>308</v>
      </c>
      <c r="G40" s="894"/>
      <c r="H40" s="894"/>
      <c r="I40" s="894"/>
      <c r="J40" s="895"/>
      <c r="K40" s="20" t="s">
        <v>254</v>
      </c>
      <c r="L40" s="376"/>
      <c r="M40" s="377"/>
      <c r="N40" s="377"/>
      <c r="O40" s="377"/>
      <c r="P40" s="378"/>
      <c r="Q40" s="919" t="s">
        <v>252</v>
      </c>
      <c r="R40" s="871"/>
      <c r="S40" s="878" t="s">
        <v>576</v>
      </c>
      <c r="T40" s="879"/>
      <c r="U40" s="879"/>
      <c r="V40" s="879"/>
      <c r="W40" s="879"/>
      <c r="X40" s="879"/>
      <c r="Y40" s="880"/>
      <c r="Z40" s="158" t="s">
        <v>342</v>
      </c>
      <c r="AA40" s="373"/>
      <c r="AB40" s="374"/>
      <c r="AC40" s="374"/>
      <c r="AD40" s="374"/>
      <c r="AE40" s="375"/>
      <c r="AF40" s="1030"/>
      <c r="AG40" s="1034"/>
      <c r="AH40" s="1035"/>
      <c r="AI40" s="419" t="s">
        <v>340</v>
      </c>
      <c r="AJ40" s="421"/>
      <c r="AK40" s="590"/>
      <c r="AL40" s="591"/>
      <c r="AM40" s="591"/>
      <c r="AN40" s="591"/>
      <c r="AO40" s="636"/>
      <c r="AP40" s="361"/>
      <c r="AQ40" s="356"/>
      <c r="AR40" s="356"/>
      <c r="AS40" s="356"/>
      <c r="AT40" s="357"/>
      <c r="AZ40" s="252"/>
      <c r="BA40" s="1019" t="s">
        <v>354</v>
      </c>
      <c r="BB40" s="1020"/>
      <c r="BC40" s="1020"/>
      <c r="BD40" s="1023"/>
      <c r="BE40" s="376"/>
      <c r="BF40" s="377"/>
      <c r="BG40" s="377"/>
      <c r="BH40" s="377"/>
      <c r="BI40" s="416"/>
      <c r="BJ40" s="1044"/>
      <c r="BK40" s="1045"/>
      <c r="BL40" s="1045"/>
      <c r="BM40" s="1045"/>
      <c r="BN40" s="1046"/>
      <c r="BO40" s="362"/>
      <c r="BP40" s="363"/>
      <c r="BQ40" s="363"/>
      <c r="BR40" s="363"/>
      <c r="BS40" s="417"/>
      <c r="BT40" s="362"/>
      <c r="BU40" s="363"/>
      <c r="BV40" s="363"/>
      <c r="BW40" s="363"/>
      <c r="BX40" s="364"/>
      <c r="BZ40" s="25"/>
    </row>
    <row r="41" spans="1:78" ht="9.75" customHeight="1" x14ac:dyDescent="0.15">
      <c r="A41" s="2">
        <v>37</v>
      </c>
      <c r="B41" s="870"/>
      <c r="C41" s="871"/>
      <c r="D41" s="944"/>
      <c r="E41" s="945"/>
      <c r="F41" s="893" t="s">
        <v>241</v>
      </c>
      <c r="G41" s="894"/>
      <c r="H41" s="894"/>
      <c r="I41" s="894"/>
      <c r="J41" s="895"/>
      <c r="K41" s="159" t="s">
        <v>254</v>
      </c>
      <c r="L41" s="376"/>
      <c r="M41" s="377"/>
      <c r="N41" s="377"/>
      <c r="O41" s="377"/>
      <c r="P41" s="378"/>
      <c r="Q41" s="920"/>
      <c r="R41" s="873"/>
      <c r="S41" s="611" t="s">
        <v>345</v>
      </c>
      <c r="T41" s="612"/>
      <c r="U41" s="612"/>
      <c r="V41" s="612"/>
      <c r="W41" s="612"/>
      <c r="X41" s="612"/>
      <c r="Y41" s="972"/>
      <c r="Z41" s="161" t="s">
        <v>234</v>
      </c>
      <c r="AA41" s="370"/>
      <c r="AB41" s="371"/>
      <c r="AC41" s="371"/>
      <c r="AD41" s="371"/>
      <c r="AE41" s="418"/>
      <c r="AF41" s="1030"/>
      <c r="AG41" s="992"/>
      <c r="AH41" s="1059"/>
      <c r="AI41" s="1052" t="s">
        <v>353</v>
      </c>
      <c r="AJ41" s="1053"/>
      <c r="AK41" s="590"/>
      <c r="AL41" s="591"/>
      <c r="AM41" s="591"/>
      <c r="AN41" s="591"/>
      <c r="AO41" s="636"/>
      <c r="AP41" s="376"/>
      <c r="AQ41" s="377"/>
      <c r="AR41" s="377"/>
      <c r="AS41" s="377"/>
      <c r="AT41" s="416"/>
      <c r="AZ41" s="252"/>
      <c r="BA41" s="1019" t="s">
        <v>356</v>
      </c>
      <c r="BB41" s="1020"/>
      <c r="BC41" s="1020"/>
      <c r="BD41" s="1023"/>
      <c r="BE41" s="376"/>
      <c r="BF41" s="377"/>
      <c r="BG41" s="377"/>
      <c r="BH41" s="377"/>
      <c r="BI41" s="416"/>
      <c r="BJ41" s="546" t="s">
        <v>357</v>
      </c>
      <c r="BK41" s="547"/>
      <c r="BL41" s="547"/>
      <c r="BM41" s="547"/>
      <c r="BN41" s="547"/>
      <c r="BO41" s="547"/>
      <c r="BP41" s="547"/>
      <c r="BQ41" s="547"/>
      <c r="BR41" s="547"/>
      <c r="BS41" s="547"/>
      <c r="BT41" s="365"/>
      <c r="BU41" s="366"/>
      <c r="BV41" s="366"/>
      <c r="BW41" s="366"/>
      <c r="BX41" s="367"/>
      <c r="BZ41" s="25"/>
    </row>
    <row r="42" spans="1:78" ht="9.75" customHeight="1" x14ac:dyDescent="0.15">
      <c r="A42" s="2">
        <v>38</v>
      </c>
      <c r="B42" s="870"/>
      <c r="C42" s="871"/>
      <c r="D42" s="934" t="s">
        <v>232</v>
      </c>
      <c r="E42" s="935"/>
      <c r="F42" s="893" t="s">
        <v>303</v>
      </c>
      <c r="G42" s="894"/>
      <c r="H42" s="894"/>
      <c r="I42" s="894"/>
      <c r="J42" s="895"/>
      <c r="K42" s="20" t="s">
        <v>234</v>
      </c>
      <c r="L42" s="361"/>
      <c r="M42" s="356"/>
      <c r="N42" s="356"/>
      <c r="O42" s="356"/>
      <c r="P42" s="369"/>
      <c r="Q42" s="1066" t="s">
        <v>348</v>
      </c>
      <c r="R42" s="1067"/>
      <c r="S42" s="884" t="s">
        <v>349</v>
      </c>
      <c r="T42" s="884"/>
      <c r="U42" s="884"/>
      <c r="V42" s="884"/>
      <c r="W42" s="884"/>
      <c r="X42" s="884"/>
      <c r="Y42" s="885"/>
      <c r="Z42" s="19" t="s">
        <v>350</v>
      </c>
      <c r="AA42" s="373"/>
      <c r="AB42" s="374"/>
      <c r="AC42" s="374"/>
      <c r="AD42" s="374"/>
      <c r="AE42" s="375"/>
      <c r="AF42" s="1031"/>
      <c r="AG42" s="611" t="s">
        <v>328</v>
      </c>
      <c r="AH42" s="612"/>
      <c r="AI42" s="612"/>
      <c r="AJ42" s="613"/>
      <c r="AK42" s="849"/>
      <c r="AL42" s="850"/>
      <c r="AM42" s="850"/>
      <c r="AN42" s="850"/>
      <c r="AO42" s="851"/>
      <c r="AP42" s="457"/>
      <c r="AQ42" s="458"/>
      <c r="AR42" s="458"/>
      <c r="AS42" s="458"/>
      <c r="AT42" s="459"/>
      <c r="AZ42" s="252"/>
      <c r="BA42" s="1019" t="s">
        <v>362</v>
      </c>
      <c r="BB42" s="1020"/>
      <c r="BC42" s="1020"/>
      <c r="BD42" s="1023"/>
      <c r="BE42" s="376"/>
      <c r="BF42" s="377"/>
      <c r="BG42" s="377"/>
      <c r="BH42" s="377"/>
      <c r="BI42" s="416"/>
      <c r="BJ42" s="815" t="s">
        <v>363</v>
      </c>
      <c r="BK42" s="816"/>
      <c r="BL42" s="816"/>
      <c r="BM42" s="816"/>
      <c r="BN42" s="817"/>
      <c r="BO42" s="358"/>
      <c r="BP42" s="359"/>
      <c r="BQ42" s="359"/>
      <c r="BR42" s="359"/>
      <c r="BS42" s="360"/>
      <c r="BT42" s="355"/>
      <c r="BU42" s="356"/>
      <c r="BV42" s="356"/>
      <c r="BW42" s="356"/>
      <c r="BX42" s="357"/>
    </row>
    <row r="43" spans="1:78" ht="9.75" customHeight="1" x14ac:dyDescent="0.15">
      <c r="A43" s="2">
        <v>39</v>
      </c>
      <c r="B43" s="870"/>
      <c r="C43" s="871"/>
      <c r="D43" s="1060"/>
      <c r="E43" s="853"/>
      <c r="F43" s="893" t="s">
        <v>355</v>
      </c>
      <c r="G43" s="894"/>
      <c r="H43" s="894"/>
      <c r="I43" s="894"/>
      <c r="J43" s="895"/>
      <c r="K43" s="20" t="s">
        <v>80</v>
      </c>
      <c r="L43" s="361"/>
      <c r="M43" s="356"/>
      <c r="N43" s="356"/>
      <c r="O43" s="356"/>
      <c r="P43" s="369"/>
      <c r="Q43" s="1068"/>
      <c r="R43" s="1069"/>
      <c r="S43" s="1061" t="s">
        <v>503</v>
      </c>
      <c r="T43" s="1062"/>
      <c r="U43" s="894" t="s">
        <v>352</v>
      </c>
      <c r="V43" s="894"/>
      <c r="W43" s="894"/>
      <c r="X43" s="894"/>
      <c r="Y43" s="895"/>
      <c r="Z43" s="20" t="s">
        <v>254</v>
      </c>
      <c r="AA43" s="361"/>
      <c r="AB43" s="356"/>
      <c r="AC43" s="356"/>
      <c r="AD43" s="356"/>
      <c r="AE43" s="357"/>
      <c r="AF43" s="723" t="s">
        <v>361</v>
      </c>
      <c r="AG43" s="1065" t="s">
        <v>330</v>
      </c>
      <c r="AH43" s="1065"/>
      <c r="AI43" s="1065"/>
      <c r="AJ43" s="1065"/>
      <c r="AK43" s="786"/>
      <c r="AL43" s="787"/>
      <c r="AM43" s="787"/>
      <c r="AN43" s="787"/>
      <c r="AO43" s="788"/>
      <c r="AP43" s="373"/>
      <c r="AQ43" s="374"/>
      <c r="AR43" s="374"/>
      <c r="AS43" s="374"/>
      <c r="AT43" s="375"/>
      <c r="AZ43" s="252"/>
      <c r="BA43" s="1019" t="s">
        <v>366</v>
      </c>
      <c r="BB43" s="1020"/>
      <c r="BC43" s="1020"/>
      <c r="BD43" s="1023"/>
      <c r="BE43" s="376"/>
      <c r="BF43" s="377"/>
      <c r="BG43" s="377"/>
      <c r="BH43" s="377"/>
      <c r="BI43" s="416"/>
      <c r="BJ43" s="15"/>
      <c r="BK43" s="1019" t="s">
        <v>367</v>
      </c>
      <c r="BL43" s="1020"/>
      <c r="BM43" s="1020"/>
      <c r="BN43" s="1023"/>
      <c r="BO43" s="361"/>
      <c r="BP43" s="356"/>
      <c r="BQ43" s="356"/>
      <c r="BR43" s="356"/>
      <c r="BS43" s="357"/>
      <c r="BT43" s="355"/>
      <c r="BU43" s="356"/>
      <c r="BV43" s="356"/>
      <c r="BW43" s="356"/>
      <c r="BX43" s="357"/>
    </row>
    <row r="44" spans="1:78" ht="9.75" customHeight="1" x14ac:dyDescent="0.15">
      <c r="A44" s="2">
        <v>40</v>
      </c>
      <c r="B44" s="872"/>
      <c r="C44" s="873"/>
      <c r="D44" s="936"/>
      <c r="E44" s="854"/>
      <c r="F44" s="1047" t="s">
        <v>308</v>
      </c>
      <c r="G44" s="926"/>
      <c r="H44" s="926"/>
      <c r="I44" s="926"/>
      <c r="J44" s="927"/>
      <c r="K44" s="160"/>
      <c r="L44" s="457"/>
      <c r="M44" s="458"/>
      <c r="N44" s="458"/>
      <c r="O44" s="458"/>
      <c r="P44" s="845"/>
      <c r="Q44" s="1068"/>
      <c r="R44" s="1069"/>
      <c r="S44" s="1061"/>
      <c r="T44" s="1062"/>
      <c r="U44" s="420" t="s">
        <v>272</v>
      </c>
      <c r="V44" s="420"/>
      <c r="W44" s="420"/>
      <c r="X44" s="420"/>
      <c r="Y44" s="933"/>
      <c r="Z44" s="302" t="s">
        <v>80</v>
      </c>
      <c r="AA44" s="361"/>
      <c r="AB44" s="356"/>
      <c r="AC44" s="356"/>
      <c r="AD44" s="356"/>
      <c r="AE44" s="357"/>
      <c r="AF44" s="723"/>
      <c r="AG44" s="1048" t="s">
        <v>365</v>
      </c>
      <c r="AH44" s="1048"/>
      <c r="AI44" s="1048"/>
      <c r="AJ44" s="1048"/>
      <c r="AK44" s="590"/>
      <c r="AL44" s="591"/>
      <c r="AM44" s="591"/>
      <c r="AN44" s="591"/>
      <c r="AO44" s="636"/>
      <c r="AP44" s="361"/>
      <c r="AQ44" s="356"/>
      <c r="AR44" s="356"/>
      <c r="AS44" s="356"/>
      <c r="AT44" s="357"/>
      <c r="AZ44" s="252"/>
      <c r="BA44" s="1019" t="s">
        <v>372</v>
      </c>
      <c r="BB44" s="1020"/>
      <c r="BC44" s="1020"/>
      <c r="BD44" s="1023"/>
      <c r="BE44" s="376"/>
      <c r="BF44" s="377"/>
      <c r="BG44" s="377"/>
      <c r="BH44" s="377"/>
      <c r="BI44" s="416"/>
      <c r="BJ44" s="15"/>
      <c r="BK44" s="1049" t="s">
        <v>373</v>
      </c>
      <c r="BL44" s="1050"/>
      <c r="BM44" s="1050"/>
      <c r="BN44" s="1051"/>
      <c r="BO44" s="361"/>
      <c r="BP44" s="356"/>
      <c r="BQ44" s="356"/>
      <c r="BR44" s="356"/>
      <c r="BS44" s="357"/>
      <c r="BT44" s="355"/>
      <c r="BU44" s="356"/>
      <c r="BV44" s="356"/>
      <c r="BW44" s="356"/>
      <c r="BX44" s="357"/>
    </row>
    <row r="45" spans="1:78" ht="9.75" customHeight="1" x14ac:dyDescent="0.15">
      <c r="A45" s="2">
        <v>41</v>
      </c>
      <c r="B45" s="940" t="s">
        <v>358</v>
      </c>
      <c r="C45" s="997"/>
      <c r="D45" s="942" t="s">
        <v>229</v>
      </c>
      <c r="E45" s="941"/>
      <c r="F45" s="1077" t="s">
        <v>359</v>
      </c>
      <c r="G45" s="1077"/>
      <c r="H45" s="1077"/>
      <c r="I45" s="1077"/>
      <c r="J45" s="1078"/>
      <c r="K45" s="19" t="s">
        <v>270</v>
      </c>
      <c r="L45" s="373"/>
      <c r="M45" s="374"/>
      <c r="N45" s="374"/>
      <c r="O45" s="374"/>
      <c r="P45" s="753"/>
      <c r="Q45" s="1070"/>
      <c r="R45" s="1071"/>
      <c r="S45" s="1063"/>
      <c r="T45" s="1064"/>
      <c r="U45" s="612" t="s">
        <v>468</v>
      </c>
      <c r="V45" s="612"/>
      <c r="W45" s="612"/>
      <c r="X45" s="612"/>
      <c r="Y45" s="972"/>
      <c r="Z45" s="24" t="s">
        <v>80</v>
      </c>
      <c r="AA45" s="370"/>
      <c r="AB45" s="371"/>
      <c r="AC45" s="371"/>
      <c r="AD45" s="371"/>
      <c r="AE45" s="418"/>
      <c r="AF45" s="723"/>
      <c r="AG45" s="1048" t="s">
        <v>101</v>
      </c>
      <c r="AH45" s="1048"/>
      <c r="AI45" s="1048"/>
      <c r="AJ45" s="1048"/>
      <c r="AK45" s="590"/>
      <c r="AL45" s="591"/>
      <c r="AM45" s="591"/>
      <c r="AN45" s="591"/>
      <c r="AO45" s="636"/>
      <c r="AP45" s="361"/>
      <c r="AQ45" s="356"/>
      <c r="AR45" s="356"/>
      <c r="AS45" s="356"/>
      <c r="AT45" s="357"/>
      <c r="AZ45" s="252"/>
      <c r="BA45" s="1019" t="s">
        <v>375</v>
      </c>
      <c r="BB45" s="1020"/>
      <c r="BC45" s="1020"/>
      <c r="BD45" s="1023"/>
      <c r="BE45" s="376"/>
      <c r="BF45" s="377"/>
      <c r="BG45" s="377"/>
      <c r="BH45" s="377"/>
      <c r="BI45" s="416"/>
      <c r="BJ45" s="15"/>
      <c r="BK45" s="1054" t="s">
        <v>376</v>
      </c>
      <c r="BL45" s="1055"/>
      <c r="BM45" s="1055"/>
      <c r="BN45" s="1056"/>
      <c r="BO45" s="376"/>
      <c r="BP45" s="377"/>
      <c r="BQ45" s="377"/>
      <c r="BR45" s="377"/>
      <c r="BS45" s="416"/>
      <c r="BT45" s="355"/>
      <c r="BU45" s="356"/>
      <c r="BV45" s="356"/>
      <c r="BW45" s="356"/>
      <c r="BX45" s="357"/>
    </row>
    <row r="46" spans="1:78" ht="9.75" customHeight="1" x14ac:dyDescent="0.15">
      <c r="A46" s="2">
        <v>42</v>
      </c>
      <c r="B46" s="870"/>
      <c r="C46" s="919"/>
      <c r="D46" s="943"/>
      <c r="E46" s="871"/>
      <c r="F46" s="893" t="s">
        <v>241</v>
      </c>
      <c r="G46" s="894"/>
      <c r="H46" s="894"/>
      <c r="I46" s="894"/>
      <c r="J46" s="895"/>
      <c r="K46" s="20" t="s">
        <v>254</v>
      </c>
      <c r="L46" s="361"/>
      <c r="M46" s="356"/>
      <c r="N46" s="356"/>
      <c r="O46" s="356"/>
      <c r="P46" s="369"/>
      <c r="Q46" s="1079" t="s">
        <v>279</v>
      </c>
      <c r="R46" s="919"/>
      <c r="S46" s="1081" t="s">
        <v>504</v>
      </c>
      <c r="T46" s="1082"/>
      <c r="U46" s="766" t="s">
        <v>360</v>
      </c>
      <c r="V46" s="593"/>
      <c r="W46" s="593"/>
      <c r="X46" s="593"/>
      <c r="Y46" s="993"/>
      <c r="Z46" s="22" t="s">
        <v>342</v>
      </c>
      <c r="AA46" s="373"/>
      <c r="AB46" s="374"/>
      <c r="AC46" s="374"/>
      <c r="AD46" s="374"/>
      <c r="AE46" s="375"/>
      <c r="AF46" s="725"/>
      <c r="AG46" s="937" t="s">
        <v>333</v>
      </c>
      <c r="AH46" s="937"/>
      <c r="AI46" s="937"/>
      <c r="AJ46" s="1072"/>
      <c r="AK46" s="849"/>
      <c r="AL46" s="850"/>
      <c r="AM46" s="850"/>
      <c r="AN46" s="850"/>
      <c r="AO46" s="851"/>
      <c r="AP46" s="457"/>
      <c r="AQ46" s="458"/>
      <c r="AR46" s="458"/>
      <c r="AS46" s="458"/>
      <c r="AT46" s="459"/>
      <c r="AZ46" s="252"/>
      <c r="BA46" s="1019" t="s">
        <v>379</v>
      </c>
      <c r="BB46" s="1020"/>
      <c r="BC46" s="1020"/>
      <c r="BD46" s="1023"/>
      <c r="BE46" s="376"/>
      <c r="BF46" s="377"/>
      <c r="BG46" s="377"/>
      <c r="BH46" s="377"/>
      <c r="BI46" s="416"/>
      <c r="BJ46" s="15"/>
      <c r="BK46" s="10"/>
      <c r="BL46" s="1019" t="s">
        <v>380</v>
      </c>
      <c r="BM46" s="1020"/>
      <c r="BN46" s="1023"/>
      <c r="BO46" s="361"/>
      <c r="BP46" s="356"/>
      <c r="BQ46" s="356"/>
      <c r="BR46" s="356"/>
      <c r="BS46" s="357"/>
      <c r="BT46" s="355"/>
      <c r="BU46" s="356"/>
      <c r="BV46" s="356"/>
      <c r="BW46" s="356"/>
      <c r="BX46" s="357"/>
      <c r="BZ46" s="303"/>
    </row>
    <row r="47" spans="1:78" ht="9.75" customHeight="1" thickBot="1" x14ac:dyDescent="0.2">
      <c r="A47" s="2">
        <v>43</v>
      </c>
      <c r="B47" s="870"/>
      <c r="C47" s="919"/>
      <c r="D47" s="943"/>
      <c r="E47" s="871"/>
      <c r="F47" s="893" t="s">
        <v>368</v>
      </c>
      <c r="G47" s="894"/>
      <c r="H47" s="894"/>
      <c r="I47" s="894"/>
      <c r="J47" s="895"/>
      <c r="K47" s="20" t="s">
        <v>254</v>
      </c>
      <c r="L47" s="361"/>
      <c r="M47" s="356"/>
      <c r="N47" s="356"/>
      <c r="O47" s="356"/>
      <c r="P47" s="369"/>
      <c r="Q47" s="1080"/>
      <c r="R47" s="920"/>
      <c r="S47" s="1083"/>
      <c r="T47" s="1084"/>
      <c r="U47" s="947" t="s">
        <v>364</v>
      </c>
      <c r="V47" s="948"/>
      <c r="W47" s="948"/>
      <c r="X47" s="948"/>
      <c r="Y47" s="949"/>
      <c r="Z47" s="160" t="s">
        <v>80</v>
      </c>
      <c r="AA47" s="370"/>
      <c r="AB47" s="371"/>
      <c r="AC47" s="371"/>
      <c r="AD47" s="371"/>
      <c r="AE47" s="418"/>
      <c r="AF47" s="1094" t="s">
        <v>378</v>
      </c>
      <c r="AG47" s="1095"/>
      <c r="AH47" s="1095"/>
      <c r="AI47" s="1095"/>
      <c r="AJ47" s="1095"/>
      <c r="AK47" s="1096"/>
      <c r="AL47" s="1097"/>
      <c r="AM47" s="1097"/>
      <c r="AN47" s="1097"/>
      <c r="AO47" s="1098"/>
      <c r="AP47" s="841"/>
      <c r="AQ47" s="842"/>
      <c r="AR47" s="842"/>
      <c r="AS47" s="842"/>
      <c r="AT47" s="843"/>
      <c r="AZ47" s="252"/>
      <c r="BA47" s="1019" t="s">
        <v>381</v>
      </c>
      <c r="BB47" s="1020"/>
      <c r="BC47" s="1020"/>
      <c r="BD47" s="1023"/>
      <c r="BE47" s="376"/>
      <c r="BF47" s="377"/>
      <c r="BG47" s="377"/>
      <c r="BH47" s="377"/>
      <c r="BI47" s="416"/>
      <c r="BJ47" s="15"/>
      <c r="BK47" s="10"/>
      <c r="BL47" s="1099" t="s">
        <v>382</v>
      </c>
      <c r="BM47" s="1100"/>
      <c r="BN47" s="1101"/>
      <c r="BO47" s="361"/>
      <c r="BP47" s="356"/>
      <c r="BQ47" s="356"/>
      <c r="BR47" s="356"/>
      <c r="BS47" s="357"/>
      <c r="BT47" s="355"/>
      <c r="BU47" s="356"/>
      <c r="BV47" s="356"/>
      <c r="BW47" s="356"/>
      <c r="BX47" s="357"/>
    </row>
    <row r="48" spans="1:78" ht="9.75" customHeight="1" x14ac:dyDescent="0.15">
      <c r="A48" s="2">
        <v>44</v>
      </c>
      <c r="B48" s="870"/>
      <c r="C48" s="919"/>
      <c r="D48" s="943"/>
      <c r="E48" s="871"/>
      <c r="F48" s="893" t="s">
        <v>469</v>
      </c>
      <c r="G48" s="894"/>
      <c r="H48" s="894"/>
      <c r="I48" s="894"/>
      <c r="J48" s="895"/>
      <c r="K48" s="159" t="s">
        <v>254</v>
      </c>
      <c r="L48" s="361"/>
      <c r="M48" s="356"/>
      <c r="N48" s="356"/>
      <c r="O48" s="356"/>
      <c r="P48" s="369"/>
      <c r="Q48" s="1079" t="s">
        <v>369</v>
      </c>
      <c r="R48" s="919"/>
      <c r="S48" s="766" t="s">
        <v>370</v>
      </c>
      <c r="T48" s="593"/>
      <c r="U48" s="593"/>
      <c r="V48" s="593"/>
      <c r="W48" s="593"/>
      <c r="X48" s="593"/>
      <c r="Y48" s="993"/>
      <c r="Z48" s="158" t="s">
        <v>371</v>
      </c>
      <c r="AA48" s="373"/>
      <c r="AB48" s="374"/>
      <c r="AC48" s="374"/>
      <c r="AD48" s="374"/>
      <c r="AE48" s="375"/>
      <c r="AZ48" s="252"/>
      <c r="BA48" s="1019" t="s">
        <v>384</v>
      </c>
      <c r="BB48" s="1020"/>
      <c r="BC48" s="1020"/>
      <c r="BD48" s="1023"/>
      <c r="BE48" s="376"/>
      <c r="BF48" s="377"/>
      <c r="BG48" s="377"/>
      <c r="BH48" s="377"/>
      <c r="BI48" s="416"/>
      <c r="BJ48" s="15"/>
      <c r="BK48" s="10"/>
      <c r="BL48" s="1102" t="s">
        <v>385</v>
      </c>
      <c r="BM48" s="1103"/>
      <c r="BN48" s="1104"/>
      <c r="BO48" s="361"/>
      <c r="BP48" s="356"/>
      <c r="BQ48" s="356"/>
      <c r="BR48" s="356"/>
      <c r="BS48" s="357"/>
      <c r="BT48" s="355"/>
      <c r="BU48" s="356"/>
      <c r="BV48" s="356"/>
      <c r="BW48" s="356"/>
      <c r="BX48" s="357"/>
    </row>
    <row r="49" spans="1:76" ht="9.75" customHeight="1" x14ac:dyDescent="0.15">
      <c r="A49" s="2">
        <v>45</v>
      </c>
      <c r="B49" s="870"/>
      <c r="C49" s="919"/>
      <c r="D49" s="943"/>
      <c r="E49" s="871"/>
      <c r="F49" s="893" t="s">
        <v>316</v>
      </c>
      <c r="G49" s="894"/>
      <c r="H49" s="894"/>
      <c r="I49" s="894"/>
      <c r="J49" s="895"/>
      <c r="K49" s="20" t="s">
        <v>254</v>
      </c>
      <c r="L49" s="376"/>
      <c r="M49" s="377"/>
      <c r="N49" s="377"/>
      <c r="O49" s="377"/>
      <c r="P49" s="378"/>
      <c r="Q49" s="1079"/>
      <c r="R49" s="919"/>
      <c r="S49" s="419" t="s">
        <v>374</v>
      </c>
      <c r="T49" s="420"/>
      <c r="U49" s="420"/>
      <c r="V49" s="420"/>
      <c r="W49" s="420"/>
      <c r="X49" s="420"/>
      <c r="Y49" s="933"/>
      <c r="Z49" s="159" t="s">
        <v>234</v>
      </c>
      <c r="AA49" s="361"/>
      <c r="AB49" s="356"/>
      <c r="AC49" s="356"/>
      <c r="AD49" s="356"/>
      <c r="AE49" s="357"/>
      <c r="AF49" s="311"/>
      <c r="AY49" s="14"/>
      <c r="AZ49" s="252"/>
      <c r="BA49" s="1019" t="s">
        <v>388</v>
      </c>
      <c r="BB49" s="1020"/>
      <c r="BC49" s="1020"/>
      <c r="BD49" s="1023"/>
      <c r="BE49" s="376"/>
      <c r="BF49" s="377"/>
      <c r="BG49" s="377"/>
      <c r="BH49" s="377"/>
      <c r="BI49" s="416"/>
      <c r="BJ49" s="15"/>
      <c r="BK49" s="9"/>
      <c r="BL49" s="1019" t="s">
        <v>389</v>
      </c>
      <c r="BM49" s="1020"/>
      <c r="BN49" s="1023"/>
      <c r="BO49" s="361"/>
      <c r="BP49" s="356"/>
      <c r="BQ49" s="356"/>
      <c r="BR49" s="356"/>
      <c r="BS49" s="357"/>
      <c r="BT49" s="355"/>
      <c r="BU49" s="356"/>
      <c r="BV49" s="356"/>
      <c r="BW49" s="356"/>
      <c r="BX49" s="357"/>
    </row>
    <row r="50" spans="1:76" ht="9.75" customHeight="1" thickBot="1" x14ac:dyDescent="0.2">
      <c r="A50" s="2">
        <v>46</v>
      </c>
      <c r="B50" s="1073"/>
      <c r="C50" s="1074"/>
      <c r="D50" s="1075"/>
      <c r="E50" s="1076"/>
      <c r="F50" s="1086" t="s">
        <v>469</v>
      </c>
      <c r="G50" s="1086"/>
      <c r="H50" s="1086"/>
      <c r="I50" s="1086"/>
      <c r="J50" s="1087"/>
      <c r="K50" s="26" t="s">
        <v>254</v>
      </c>
      <c r="L50" s="379"/>
      <c r="M50" s="380"/>
      <c r="N50" s="380"/>
      <c r="O50" s="380"/>
      <c r="P50" s="381"/>
      <c r="Q50" s="1079"/>
      <c r="R50" s="919"/>
      <c r="S50" s="686" t="s">
        <v>377</v>
      </c>
      <c r="T50" s="687"/>
      <c r="U50" s="687"/>
      <c r="V50" s="687"/>
      <c r="W50" s="687"/>
      <c r="X50" s="687"/>
      <c r="Y50" s="1085"/>
      <c r="Z50" s="159" t="s">
        <v>371</v>
      </c>
      <c r="AA50" s="379"/>
      <c r="AB50" s="380"/>
      <c r="AC50" s="380"/>
      <c r="AD50" s="380"/>
      <c r="AE50" s="422"/>
      <c r="AF50" s="312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8"/>
      <c r="AZ50" s="252"/>
      <c r="BA50" s="1088" t="s">
        <v>397</v>
      </c>
      <c r="BB50" s="1089"/>
      <c r="BC50" s="1089"/>
      <c r="BD50" s="1090"/>
      <c r="BE50" s="376"/>
      <c r="BF50" s="377"/>
      <c r="BG50" s="377"/>
      <c r="BH50" s="377"/>
      <c r="BI50" s="416"/>
      <c r="BJ50" s="27"/>
      <c r="BK50" s="1091" t="s">
        <v>101</v>
      </c>
      <c r="BL50" s="1092"/>
      <c r="BM50" s="1092"/>
      <c r="BN50" s="1093"/>
      <c r="BO50" s="362"/>
      <c r="BP50" s="363"/>
      <c r="BQ50" s="363"/>
      <c r="BR50" s="363"/>
      <c r="BS50" s="364"/>
      <c r="BT50" s="355"/>
      <c r="BU50" s="356"/>
      <c r="BV50" s="356"/>
      <c r="BW50" s="356"/>
      <c r="BX50" s="357"/>
    </row>
    <row r="51" spans="1:76" ht="9.75" customHeight="1" x14ac:dyDescent="0.15">
      <c r="A51" s="2">
        <v>47</v>
      </c>
      <c r="B51" s="1027" t="s">
        <v>383</v>
      </c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N51" s="1028"/>
      <c r="AO51" s="1028"/>
      <c r="AP51" s="1028"/>
      <c r="AQ51" s="1028"/>
      <c r="AR51" s="1028"/>
      <c r="AS51" s="1028"/>
      <c r="AT51" s="1028"/>
      <c r="AU51" s="1028"/>
      <c r="AV51" s="1028"/>
      <c r="AW51" s="1028"/>
      <c r="AX51" s="1028"/>
      <c r="AY51" s="1105"/>
      <c r="AZ51" s="252"/>
      <c r="BA51" s="1106" t="s">
        <v>399</v>
      </c>
      <c r="BB51" s="1020"/>
      <c r="BC51" s="1020"/>
      <c r="BD51" s="1023"/>
      <c r="BE51" s="376"/>
      <c r="BF51" s="377"/>
      <c r="BG51" s="377"/>
      <c r="BH51" s="377"/>
      <c r="BI51" s="416"/>
      <c r="BT51" s="355"/>
      <c r="BU51" s="356"/>
      <c r="BV51" s="356"/>
      <c r="BW51" s="356"/>
      <c r="BX51" s="357"/>
    </row>
    <row r="52" spans="1:76" ht="9.75" customHeight="1" x14ac:dyDescent="0.15">
      <c r="A52" s="2">
        <v>48</v>
      </c>
      <c r="B52" s="1107" t="s">
        <v>189</v>
      </c>
      <c r="C52" s="1108"/>
      <c r="D52" s="1108"/>
      <c r="E52" s="1108"/>
      <c r="F52" s="1109"/>
      <c r="G52" s="1110" t="s">
        <v>386</v>
      </c>
      <c r="H52" s="1111"/>
      <c r="I52" s="1111"/>
      <c r="J52" s="1111"/>
      <c r="K52" s="1112"/>
      <c r="L52" s="1110" t="s">
        <v>387</v>
      </c>
      <c r="M52" s="1111"/>
      <c r="N52" s="1111"/>
      <c r="O52" s="1111"/>
      <c r="P52" s="1111"/>
      <c r="Q52" s="28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30"/>
      <c r="AZ52" s="252"/>
      <c r="BA52" s="274"/>
      <c r="BB52" s="1019" t="s">
        <v>121</v>
      </c>
      <c r="BC52" s="1020"/>
      <c r="BD52" s="1023"/>
      <c r="BE52" s="376"/>
      <c r="BF52" s="377"/>
      <c r="BG52" s="377"/>
      <c r="BH52" s="377"/>
      <c r="BI52" s="416"/>
      <c r="BT52" s="355"/>
      <c r="BU52" s="356"/>
      <c r="BV52" s="356"/>
      <c r="BW52" s="356"/>
      <c r="BX52" s="357"/>
    </row>
    <row r="53" spans="1:76" ht="9.75" customHeight="1" x14ac:dyDescent="0.15">
      <c r="A53" s="2">
        <v>49</v>
      </c>
      <c r="B53" s="1107"/>
      <c r="C53" s="1108"/>
      <c r="D53" s="1108"/>
      <c r="E53" s="1108"/>
      <c r="F53" s="1109"/>
      <c r="G53" s="1113"/>
      <c r="H53" s="1114"/>
      <c r="I53" s="1114"/>
      <c r="J53" s="1114"/>
      <c r="K53" s="1115"/>
      <c r="L53" s="1113"/>
      <c r="M53" s="1114"/>
      <c r="N53" s="1114"/>
      <c r="O53" s="1114"/>
      <c r="P53" s="1114"/>
      <c r="Q53" s="1116" t="s">
        <v>390</v>
      </c>
      <c r="R53" s="1117"/>
      <c r="S53" s="1117"/>
      <c r="T53" s="1117"/>
      <c r="U53" s="1118"/>
      <c r="V53" s="1116" t="s">
        <v>391</v>
      </c>
      <c r="W53" s="1117"/>
      <c r="X53" s="1117"/>
      <c r="Y53" s="1117"/>
      <c r="Z53" s="1118"/>
      <c r="AA53" s="1116" t="s">
        <v>392</v>
      </c>
      <c r="AB53" s="1117"/>
      <c r="AC53" s="1117"/>
      <c r="AD53" s="1117"/>
      <c r="AE53" s="1118"/>
      <c r="AF53" s="1116" t="s">
        <v>393</v>
      </c>
      <c r="AG53" s="1117"/>
      <c r="AH53" s="1117"/>
      <c r="AI53" s="1117"/>
      <c r="AJ53" s="1118"/>
      <c r="AK53" s="1116" t="s">
        <v>394</v>
      </c>
      <c r="AL53" s="1117"/>
      <c r="AM53" s="1117"/>
      <c r="AN53" s="1117"/>
      <c r="AO53" s="1118"/>
      <c r="AP53" s="1116" t="s">
        <v>395</v>
      </c>
      <c r="AQ53" s="1117"/>
      <c r="AR53" s="1117"/>
      <c r="AS53" s="1117"/>
      <c r="AT53" s="1118"/>
      <c r="AU53" s="1119" t="s">
        <v>396</v>
      </c>
      <c r="AV53" s="1120"/>
      <c r="AW53" s="1120"/>
      <c r="AX53" s="1120"/>
      <c r="AY53" s="1121"/>
      <c r="AZ53" s="252"/>
      <c r="BA53" s="1019" t="s">
        <v>133</v>
      </c>
      <c r="BB53" s="1020"/>
      <c r="BC53" s="1020"/>
      <c r="BD53" s="1023"/>
      <c r="BE53" s="376"/>
      <c r="BF53" s="377"/>
      <c r="BG53" s="377"/>
      <c r="BH53" s="377"/>
      <c r="BI53" s="416"/>
      <c r="BT53" s="355"/>
      <c r="BU53" s="356"/>
      <c r="BV53" s="356"/>
      <c r="BW53" s="356"/>
      <c r="BX53" s="357"/>
    </row>
    <row r="54" spans="1:76" ht="9.75" customHeight="1" x14ac:dyDescent="0.15">
      <c r="A54" s="2">
        <v>50</v>
      </c>
      <c r="B54" s="1122" t="s">
        <v>506</v>
      </c>
      <c r="C54" s="1123"/>
      <c r="D54" s="1124"/>
      <c r="E54" s="1128" t="s">
        <v>398</v>
      </c>
      <c r="F54" s="1129"/>
      <c r="G54" s="373"/>
      <c r="H54" s="374"/>
      <c r="I54" s="374"/>
      <c r="J54" s="374"/>
      <c r="K54" s="753"/>
      <c r="L54" s="358"/>
      <c r="M54" s="359"/>
      <c r="N54" s="359"/>
      <c r="O54" s="359"/>
      <c r="P54" s="368"/>
      <c r="Q54" s="373"/>
      <c r="R54" s="374"/>
      <c r="S54" s="374"/>
      <c r="T54" s="374"/>
      <c r="U54" s="753"/>
      <c r="V54" s="373"/>
      <c r="W54" s="374"/>
      <c r="X54" s="374"/>
      <c r="Y54" s="374"/>
      <c r="Z54" s="753"/>
      <c r="AA54" s="373"/>
      <c r="AB54" s="374"/>
      <c r="AC54" s="374"/>
      <c r="AD54" s="374"/>
      <c r="AE54" s="753"/>
      <c r="AF54" s="373"/>
      <c r="AG54" s="374"/>
      <c r="AH54" s="374"/>
      <c r="AI54" s="374"/>
      <c r="AJ54" s="753"/>
      <c r="AK54" s="373"/>
      <c r="AL54" s="374"/>
      <c r="AM54" s="374"/>
      <c r="AN54" s="374"/>
      <c r="AO54" s="753"/>
      <c r="AP54" s="373"/>
      <c r="AQ54" s="374"/>
      <c r="AR54" s="374"/>
      <c r="AS54" s="374"/>
      <c r="AT54" s="753"/>
      <c r="AU54" s="373"/>
      <c r="AV54" s="374"/>
      <c r="AW54" s="374"/>
      <c r="AX54" s="374"/>
      <c r="AY54" s="375"/>
      <c r="AZ54" s="252"/>
      <c r="BA54" s="1130" t="s">
        <v>402</v>
      </c>
      <c r="BB54" s="1131"/>
      <c r="BC54" s="1131"/>
      <c r="BD54" s="1132"/>
      <c r="BE54" s="376"/>
      <c r="BF54" s="377"/>
      <c r="BG54" s="377"/>
      <c r="BH54" s="377"/>
      <c r="BI54" s="416"/>
      <c r="BJ54" s="311"/>
      <c r="BT54" s="355"/>
      <c r="BU54" s="356"/>
      <c r="BV54" s="356"/>
      <c r="BW54" s="356"/>
      <c r="BX54" s="357"/>
    </row>
    <row r="55" spans="1:76" ht="9.75" customHeight="1" thickBot="1" x14ac:dyDescent="0.2">
      <c r="A55" s="2">
        <v>51</v>
      </c>
      <c r="B55" s="1107"/>
      <c r="C55" s="1108"/>
      <c r="D55" s="1125"/>
      <c r="E55" s="1019" t="s">
        <v>263</v>
      </c>
      <c r="F55" s="1023"/>
      <c r="G55" s="361"/>
      <c r="H55" s="356"/>
      <c r="I55" s="356"/>
      <c r="J55" s="356"/>
      <c r="K55" s="369"/>
      <c r="L55" s="376"/>
      <c r="M55" s="377"/>
      <c r="N55" s="377"/>
      <c r="O55" s="377"/>
      <c r="P55" s="378"/>
      <c r="Q55" s="1133"/>
      <c r="R55" s="1134"/>
      <c r="S55" s="1134"/>
      <c r="T55" s="1134"/>
      <c r="U55" s="1135"/>
      <c r="V55" s="361"/>
      <c r="W55" s="356"/>
      <c r="X55" s="356"/>
      <c r="Y55" s="356"/>
      <c r="Z55" s="369"/>
      <c r="AA55" s="361"/>
      <c r="AB55" s="356"/>
      <c r="AC55" s="356"/>
      <c r="AD55" s="356"/>
      <c r="AE55" s="369"/>
      <c r="AF55" s="361"/>
      <c r="AG55" s="356"/>
      <c r="AH55" s="356"/>
      <c r="AI55" s="356"/>
      <c r="AJ55" s="369"/>
      <c r="AK55" s="361"/>
      <c r="AL55" s="356"/>
      <c r="AM55" s="356"/>
      <c r="AN55" s="356"/>
      <c r="AO55" s="369"/>
      <c r="AP55" s="361"/>
      <c r="AQ55" s="356"/>
      <c r="AR55" s="356"/>
      <c r="AS55" s="356"/>
      <c r="AT55" s="369"/>
      <c r="AU55" s="361"/>
      <c r="AV55" s="356"/>
      <c r="AW55" s="356"/>
      <c r="AX55" s="356"/>
      <c r="AY55" s="357"/>
      <c r="AZ55" s="252"/>
      <c r="BA55" s="1136" t="s">
        <v>403</v>
      </c>
      <c r="BB55" s="1137"/>
      <c r="BC55" s="1137"/>
      <c r="BD55" s="1138"/>
      <c r="BE55" s="379"/>
      <c r="BF55" s="380"/>
      <c r="BG55" s="380"/>
      <c r="BH55" s="380"/>
      <c r="BI55" s="422"/>
      <c r="BJ55" s="311"/>
      <c r="BT55" s="355"/>
      <c r="BU55" s="356"/>
      <c r="BV55" s="356"/>
      <c r="BW55" s="356"/>
      <c r="BX55" s="357"/>
    </row>
    <row r="56" spans="1:76" ht="9.75" customHeight="1" x14ac:dyDescent="0.15">
      <c r="A56" s="2">
        <v>52</v>
      </c>
      <c r="B56" s="1126"/>
      <c r="C56" s="890"/>
      <c r="D56" s="1127"/>
      <c r="E56" s="846" t="s">
        <v>400</v>
      </c>
      <c r="F56" s="848"/>
      <c r="G56" s="370"/>
      <c r="H56" s="371"/>
      <c r="I56" s="371"/>
      <c r="J56" s="371"/>
      <c r="K56" s="372"/>
      <c r="L56" s="457"/>
      <c r="M56" s="458"/>
      <c r="N56" s="458"/>
      <c r="O56" s="458"/>
      <c r="P56" s="845"/>
      <c r="Q56" s="1139"/>
      <c r="R56" s="1140"/>
      <c r="S56" s="1140"/>
      <c r="T56" s="1140"/>
      <c r="U56" s="1141"/>
      <c r="V56" s="370"/>
      <c r="W56" s="371"/>
      <c r="X56" s="371"/>
      <c r="Y56" s="371"/>
      <c r="Z56" s="372"/>
      <c r="AA56" s="370"/>
      <c r="AB56" s="371"/>
      <c r="AC56" s="371"/>
      <c r="AD56" s="371"/>
      <c r="AE56" s="372"/>
      <c r="AF56" s="370"/>
      <c r="AG56" s="371"/>
      <c r="AH56" s="371"/>
      <c r="AI56" s="371"/>
      <c r="AJ56" s="372"/>
      <c r="AK56" s="370"/>
      <c r="AL56" s="371"/>
      <c r="AM56" s="371"/>
      <c r="AN56" s="371"/>
      <c r="AO56" s="372"/>
      <c r="AP56" s="370"/>
      <c r="AQ56" s="371"/>
      <c r="AR56" s="371"/>
      <c r="AS56" s="371"/>
      <c r="AT56" s="372"/>
      <c r="AU56" s="370"/>
      <c r="AV56" s="371"/>
      <c r="AW56" s="371"/>
      <c r="AX56" s="371"/>
      <c r="AY56" s="418"/>
      <c r="AZ56" s="313"/>
      <c r="BA56" s="314"/>
      <c r="BB56" s="314"/>
      <c r="BC56" s="314"/>
      <c r="BD56" s="314"/>
      <c r="BE56" s="314"/>
      <c r="BF56" s="314"/>
      <c r="BG56" s="314"/>
      <c r="BH56" s="314"/>
      <c r="BI56" s="314"/>
      <c r="BT56" s="355"/>
      <c r="BU56" s="356"/>
      <c r="BV56" s="356"/>
      <c r="BW56" s="356"/>
      <c r="BX56" s="357"/>
    </row>
    <row r="57" spans="1:76" ht="9.75" customHeight="1" x14ac:dyDescent="0.15">
      <c r="A57" s="2">
        <v>53</v>
      </c>
      <c r="B57" s="1122" t="s">
        <v>401</v>
      </c>
      <c r="C57" s="1123"/>
      <c r="D57" s="1124"/>
      <c r="E57" s="1128" t="s">
        <v>398</v>
      </c>
      <c r="F57" s="1129"/>
      <c r="G57" s="373"/>
      <c r="H57" s="374"/>
      <c r="I57" s="374"/>
      <c r="J57" s="374"/>
      <c r="K57" s="753"/>
      <c r="L57" s="358"/>
      <c r="M57" s="359"/>
      <c r="N57" s="359"/>
      <c r="O57" s="359"/>
      <c r="P57" s="368"/>
      <c r="Q57" s="373"/>
      <c r="R57" s="374"/>
      <c r="S57" s="374"/>
      <c r="T57" s="374"/>
      <c r="U57" s="753"/>
      <c r="V57" s="373"/>
      <c r="W57" s="374"/>
      <c r="X57" s="374"/>
      <c r="Y57" s="374"/>
      <c r="Z57" s="753"/>
      <c r="AA57" s="373"/>
      <c r="AB57" s="374"/>
      <c r="AC57" s="374"/>
      <c r="AD57" s="374"/>
      <c r="AE57" s="753"/>
      <c r="AF57" s="373"/>
      <c r="AG57" s="374"/>
      <c r="AH57" s="374"/>
      <c r="AI57" s="374"/>
      <c r="AJ57" s="753"/>
      <c r="AK57" s="373"/>
      <c r="AL57" s="374"/>
      <c r="AM57" s="374"/>
      <c r="AN57" s="374"/>
      <c r="AO57" s="753"/>
      <c r="AP57" s="373"/>
      <c r="AQ57" s="374"/>
      <c r="AR57" s="374"/>
      <c r="AS57" s="374"/>
      <c r="AT57" s="753"/>
      <c r="AU57" s="373"/>
      <c r="AV57" s="374"/>
      <c r="AW57" s="374"/>
      <c r="AX57" s="374"/>
      <c r="AY57" s="375"/>
      <c r="AZ57" s="311"/>
      <c r="BT57" s="355"/>
      <c r="BU57" s="356"/>
      <c r="BV57" s="356"/>
      <c r="BW57" s="356"/>
      <c r="BX57" s="357"/>
    </row>
    <row r="58" spans="1:76" ht="9.75" customHeight="1" x14ac:dyDescent="0.15">
      <c r="A58" s="2">
        <v>54</v>
      </c>
      <c r="B58" s="1107"/>
      <c r="C58" s="1108"/>
      <c r="D58" s="1125"/>
      <c r="E58" s="1019" t="s">
        <v>263</v>
      </c>
      <c r="F58" s="1023"/>
      <c r="G58" s="361"/>
      <c r="H58" s="356"/>
      <c r="I58" s="356"/>
      <c r="J58" s="356"/>
      <c r="K58" s="369"/>
      <c r="L58" s="376"/>
      <c r="M58" s="377"/>
      <c r="N58" s="377"/>
      <c r="O58" s="377"/>
      <c r="P58" s="378"/>
      <c r="Q58" s="1133"/>
      <c r="R58" s="1134"/>
      <c r="S58" s="1134"/>
      <c r="T58" s="1134"/>
      <c r="U58" s="1135"/>
      <c r="V58" s="361"/>
      <c r="W58" s="356"/>
      <c r="X58" s="356"/>
      <c r="Y58" s="356"/>
      <c r="Z58" s="369"/>
      <c r="AA58" s="361"/>
      <c r="AB58" s="356"/>
      <c r="AC58" s="356"/>
      <c r="AD58" s="356"/>
      <c r="AE58" s="369"/>
      <c r="AF58" s="361"/>
      <c r="AG58" s="356"/>
      <c r="AH58" s="356"/>
      <c r="AI58" s="356"/>
      <c r="AJ58" s="369"/>
      <c r="AK58" s="361"/>
      <c r="AL58" s="356"/>
      <c r="AM58" s="356"/>
      <c r="AN58" s="356"/>
      <c r="AO58" s="369"/>
      <c r="AP58" s="361"/>
      <c r="AQ58" s="356"/>
      <c r="AR58" s="356"/>
      <c r="AS58" s="356"/>
      <c r="AT58" s="369"/>
      <c r="AU58" s="361"/>
      <c r="AV58" s="356"/>
      <c r="AW58" s="356"/>
      <c r="AX58" s="356"/>
      <c r="AY58" s="357"/>
      <c r="AZ58" s="311"/>
      <c r="BT58" s="355"/>
      <c r="BU58" s="356"/>
      <c r="BV58" s="356"/>
      <c r="BW58" s="356"/>
      <c r="BX58" s="357"/>
    </row>
    <row r="59" spans="1:76" ht="9.75" customHeight="1" thickBot="1" x14ac:dyDescent="0.2">
      <c r="A59" s="2">
        <v>55</v>
      </c>
      <c r="B59" s="1142"/>
      <c r="C59" s="1143"/>
      <c r="D59" s="1144"/>
      <c r="E59" s="1091" t="s">
        <v>400</v>
      </c>
      <c r="F59" s="1093"/>
      <c r="G59" s="362"/>
      <c r="H59" s="363"/>
      <c r="I59" s="363"/>
      <c r="J59" s="363"/>
      <c r="K59" s="417"/>
      <c r="L59" s="379"/>
      <c r="M59" s="380"/>
      <c r="N59" s="380"/>
      <c r="O59" s="380"/>
      <c r="P59" s="381"/>
      <c r="Q59" s="1145"/>
      <c r="R59" s="1146"/>
      <c r="S59" s="1146"/>
      <c r="T59" s="1146"/>
      <c r="U59" s="1147"/>
      <c r="V59" s="362"/>
      <c r="W59" s="363"/>
      <c r="X59" s="363"/>
      <c r="Y59" s="363"/>
      <c r="Z59" s="417"/>
      <c r="AA59" s="362"/>
      <c r="AB59" s="363"/>
      <c r="AC59" s="363"/>
      <c r="AD59" s="363"/>
      <c r="AE59" s="417"/>
      <c r="AF59" s="362"/>
      <c r="AG59" s="363"/>
      <c r="AH59" s="363"/>
      <c r="AI59" s="363"/>
      <c r="AJ59" s="417"/>
      <c r="AK59" s="362"/>
      <c r="AL59" s="363"/>
      <c r="AM59" s="363"/>
      <c r="AN59" s="363"/>
      <c r="AO59" s="417"/>
      <c r="AP59" s="362"/>
      <c r="AQ59" s="363"/>
      <c r="AR59" s="363"/>
      <c r="AS59" s="363"/>
      <c r="AT59" s="417"/>
      <c r="AU59" s="362"/>
      <c r="AV59" s="363"/>
      <c r="AW59" s="363"/>
      <c r="AX59" s="363"/>
      <c r="AY59" s="364"/>
      <c r="AZ59" s="1142"/>
      <c r="BA59" s="1143"/>
      <c r="BB59" s="1143"/>
      <c r="BC59" s="1143"/>
      <c r="BD59" s="1143"/>
      <c r="BE59" s="16"/>
      <c r="BF59" s="16"/>
      <c r="BG59" s="16"/>
      <c r="BH59" s="16"/>
      <c r="BI59" s="16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812"/>
      <c r="BU59" s="363"/>
      <c r="BV59" s="363"/>
      <c r="BW59" s="363"/>
      <c r="BX59" s="364"/>
    </row>
    <row r="60" spans="1:76" ht="9.75" customHeight="1" x14ac:dyDescent="0.15">
      <c r="A60" s="2"/>
      <c r="B60" s="1148">
        <v>1</v>
      </c>
      <c r="C60" s="1148"/>
      <c r="D60" s="1148"/>
      <c r="E60" s="1148"/>
      <c r="F60" s="1148"/>
      <c r="G60" s="1148">
        <v>2</v>
      </c>
      <c r="H60" s="1148"/>
      <c r="I60" s="1148"/>
      <c r="J60" s="1148"/>
      <c r="K60" s="1148"/>
      <c r="L60" s="1148">
        <v>3</v>
      </c>
      <c r="M60" s="1148"/>
      <c r="N60" s="1148"/>
      <c r="O60" s="1148"/>
      <c r="P60" s="1148"/>
      <c r="Q60" s="1148">
        <v>4</v>
      </c>
      <c r="R60" s="1148"/>
      <c r="S60" s="1148"/>
      <c r="T60" s="1148"/>
      <c r="U60" s="1148"/>
      <c r="V60" s="1148">
        <v>5</v>
      </c>
      <c r="W60" s="1148"/>
      <c r="X60" s="1148"/>
      <c r="Y60" s="1148"/>
      <c r="Z60" s="1148"/>
      <c r="AA60" s="1148">
        <v>6</v>
      </c>
      <c r="AB60" s="1148"/>
      <c r="AC60" s="1148"/>
      <c r="AD60" s="1148"/>
      <c r="AE60" s="1148"/>
      <c r="AF60" s="1148">
        <v>7</v>
      </c>
      <c r="AG60" s="1148"/>
      <c r="AH60" s="1148"/>
      <c r="AI60" s="1148"/>
      <c r="AJ60" s="1148"/>
      <c r="AK60" s="1148">
        <v>8</v>
      </c>
      <c r="AL60" s="1148"/>
      <c r="AM60" s="1148"/>
      <c r="AN60" s="1148"/>
      <c r="AO60" s="1148"/>
      <c r="AP60" s="1148">
        <v>9</v>
      </c>
      <c r="AQ60" s="1148"/>
      <c r="AR60" s="1148"/>
      <c r="AS60" s="1148"/>
      <c r="AT60" s="1148"/>
      <c r="AU60" s="1148">
        <v>10</v>
      </c>
      <c r="AV60" s="1148"/>
      <c r="AW60" s="1148"/>
      <c r="AX60" s="1148"/>
      <c r="AY60" s="1148"/>
      <c r="AZ60" s="1148">
        <v>11</v>
      </c>
      <c r="BA60" s="1148"/>
      <c r="BB60" s="1148"/>
      <c r="BC60" s="1148"/>
      <c r="BD60" s="1148"/>
      <c r="BE60" s="1148">
        <v>12</v>
      </c>
      <c r="BF60" s="1148"/>
      <c r="BG60" s="1148"/>
      <c r="BH60" s="1148"/>
      <c r="BI60" s="1148"/>
      <c r="BJ60" s="1148">
        <v>13</v>
      </c>
      <c r="BK60" s="1148"/>
      <c r="BL60" s="1148"/>
      <c r="BM60" s="1148"/>
      <c r="BN60" s="1148"/>
      <c r="BO60" s="1148">
        <v>14</v>
      </c>
      <c r="BP60" s="1148"/>
      <c r="BQ60" s="1148"/>
      <c r="BR60" s="1148"/>
      <c r="BS60" s="1148"/>
      <c r="BT60" s="1148">
        <v>15</v>
      </c>
      <c r="BU60" s="1148"/>
      <c r="BV60" s="1148"/>
      <c r="BW60" s="1148"/>
      <c r="BX60" s="1148"/>
    </row>
    <row r="61" spans="1:76" ht="9.75" customHeight="1" x14ac:dyDescent="0.15">
      <c r="A61" s="2"/>
    </row>
    <row r="62" spans="1:76" ht="9.75" customHeight="1" x14ac:dyDescent="0.15">
      <c r="A62" s="2"/>
    </row>
    <row r="63" spans="1:76" ht="9.75" customHeight="1" x14ac:dyDescent="0.15">
      <c r="A63" s="2"/>
    </row>
    <row r="64" spans="1:76" ht="8.25" customHeight="1" x14ac:dyDescent="0.15"/>
  </sheetData>
  <mergeCells count="742">
    <mergeCell ref="AU60:AY60"/>
    <mergeCell ref="AZ60:BD60"/>
    <mergeCell ref="BE60:BI60"/>
    <mergeCell ref="BJ60:BN60"/>
    <mergeCell ref="BO60:BS60"/>
    <mergeCell ref="BT60:BX60"/>
    <mergeCell ref="AZ59:BD59"/>
    <mergeCell ref="B60:F60"/>
    <mergeCell ref="G60:K60"/>
    <mergeCell ref="L60:P60"/>
    <mergeCell ref="Q60:U60"/>
    <mergeCell ref="V60:Z60"/>
    <mergeCell ref="AA60:AE60"/>
    <mergeCell ref="AF60:AJ60"/>
    <mergeCell ref="AK60:AO60"/>
    <mergeCell ref="AP60:AT60"/>
    <mergeCell ref="BT59:BX59"/>
    <mergeCell ref="B54:D56"/>
    <mergeCell ref="E54:F54"/>
    <mergeCell ref="BA54:BD54"/>
    <mergeCell ref="E55:F55"/>
    <mergeCell ref="Q55:U55"/>
    <mergeCell ref="BA55:BD55"/>
    <mergeCell ref="E56:F56"/>
    <mergeCell ref="Q56:U56"/>
    <mergeCell ref="B57:D59"/>
    <mergeCell ref="E57:F57"/>
    <mergeCell ref="E58:F58"/>
    <mergeCell ref="Q58:U58"/>
    <mergeCell ref="E59:F59"/>
    <mergeCell ref="Q59:U59"/>
    <mergeCell ref="G55:K55"/>
    <mergeCell ref="G56:K56"/>
    <mergeCell ref="G57:K57"/>
    <mergeCell ref="G58:K58"/>
    <mergeCell ref="G59:K59"/>
    <mergeCell ref="L55:P55"/>
    <mergeCell ref="L56:P56"/>
    <mergeCell ref="L57:P57"/>
    <mergeCell ref="L58:P58"/>
    <mergeCell ref="L59:P59"/>
    <mergeCell ref="B51:AY51"/>
    <mergeCell ref="BA51:BD51"/>
    <mergeCell ref="B52:F53"/>
    <mergeCell ref="G52:K53"/>
    <mergeCell ref="L52:P53"/>
    <mergeCell ref="BB52:BD52"/>
    <mergeCell ref="Q53:U53"/>
    <mergeCell ref="V53:Z53"/>
    <mergeCell ref="AA53:AE53"/>
    <mergeCell ref="AF53:AJ53"/>
    <mergeCell ref="AP53:AT53"/>
    <mergeCell ref="AU53:AY53"/>
    <mergeCell ref="BA53:BD53"/>
    <mergeCell ref="AK53:AO53"/>
    <mergeCell ref="BA46:BD46"/>
    <mergeCell ref="BL46:BN46"/>
    <mergeCell ref="S50:Y50"/>
    <mergeCell ref="BA49:BD49"/>
    <mergeCell ref="BL49:BN49"/>
    <mergeCell ref="F50:J50"/>
    <mergeCell ref="BA50:BD50"/>
    <mergeCell ref="BK50:BN50"/>
    <mergeCell ref="AF47:AJ47"/>
    <mergeCell ref="AK47:AO47"/>
    <mergeCell ref="BA47:BD47"/>
    <mergeCell ref="BL47:BN47"/>
    <mergeCell ref="F48:J48"/>
    <mergeCell ref="S49:Y49"/>
    <mergeCell ref="BA48:BD48"/>
    <mergeCell ref="BL48:BN48"/>
    <mergeCell ref="AA47:AE47"/>
    <mergeCell ref="AA48:AE48"/>
    <mergeCell ref="AA49:AE49"/>
    <mergeCell ref="AA50:AE50"/>
    <mergeCell ref="B45:C50"/>
    <mergeCell ref="D45:E50"/>
    <mergeCell ref="F45:J45"/>
    <mergeCell ref="Q46:R47"/>
    <mergeCell ref="S46:T47"/>
    <mergeCell ref="U46:Y46"/>
    <mergeCell ref="F47:J47"/>
    <mergeCell ref="Q48:R50"/>
    <mergeCell ref="S48:Y48"/>
    <mergeCell ref="F49:J49"/>
    <mergeCell ref="F46:J46"/>
    <mergeCell ref="U47:Y47"/>
    <mergeCell ref="L48:P48"/>
    <mergeCell ref="L49:P49"/>
    <mergeCell ref="L50:P50"/>
    <mergeCell ref="D42:E44"/>
    <mergeCell ref="F42:J42"/>
    <mergeCell ref="S43:T45"/>
    <mergeCell ref="U43:Y43"/>
    <mergeCell ref="AG42:AJ42"/>
    <mergeCell ref="AK42:AO42"/>
    <mergeCell ref="F43:J43"/>
    <mergeCell ref="U44:Y44"/>
    <mergeCell ref="AF43:AF46"/>
    <mergeCell ref="AG43:AJ43"/>
    <mergeCell ref="Q42:R45"/>
    <mergeCell ref="S42:Y42"/>
    <mergeCell ref="AG45:AJ45"/>
    <mergeCell ref="AK45:AO45"/>
    <mergeCell ref="AG46:AJ46"/>
    <mergeCell ref="AK46:AO46"/>
    <mergeCell ref="AA42:AE42"/>
    <mergeCell ref="AA43:AE43"/>
    <mergeCell ref="AA44:AE44"/>
    <mergeCell ref="AA45:AE45"/>
    <mergeCell ref="AA46:AE46"/>
    <mergeCell ref="F40:J40"/>
    <mergeCell ref="S41:Y41"/>
    <mergeCell ref="AI40:AJ40"/>
    <mergeCell ref="AK40:AO40"/>
    <mergeCell ref="BA40:BD40"/>
    <mergeCell ref="BJ40:BN40"/>
    <mergeCell ref="BK43:BN43"/>
    <mergeCell ref="F44:J44"/>
    <mergeCell ref="U45:Y45"/>
    <mergeCell ref="AG44:AJ44"/>
    <mergeCell ref="AK44:AO44"/>
    <mergeCell ref="BA44:BD44"/>
    <mergeCell ref="BK44:BN44"/>
    <mergeCell ref="AI41:AJ41"/>
    <mergeCell ref="AK41:AO41"/>
    <mergeCell ref="BA41:BD41"/>
    <mergeCell ref="BJ41:BS41"/>
    <mergeCell ref="BA42:BD42"/>
    <mergeCell ref="BA45:BD45"/>
    <mergeCell ref="BK45:BN45"/>
    <mergeCell ref="Q40:R41"/>
    <mergeCell ref="S40:Y40"/>
    <mergeCell ref="AG39:AH41"/>
    <mergeCell ref="AI39:AJ39"/>
    <mergeCell ref="BA43:BD43"/>
    <mergeCell ref="BA39:BD39"/>
    <mergeCell ref="BJ39:BN39"/>
    <mergeCell ref="AI37:AJ37"/>
    <mergeCell ref="AK37:AO37"/>
    <mergeCell ref="BA37:BD37"/>
    <mergeCell ref="BJ37:BN37"/>
    <mergeCell ref="AI38:AJ38"/>
    <mergeCell ref="AK38:AO38"/>
    <mergeCell ref="BA38:BD38"/>
    <mergeCell ref="BJ38:BN38"/>
    <mergeCell ref="AP38:AT38"/>
    <mergeCell ref="AP39:AT39"/>
    <mergeCell ref="AP40:AT40"/>
    <mergeCell ref="AP41:AT41"/>
    <mergeCell ref="AP42:AT42"/>
    <mergeCell ref="AP43:AT43"/>
    <mergeCell ref="F39:J39"/>
    <mergeCell ref="BJ32:BN32"/>
    <mergeCell ref="F33:J33"/>
    <mergeCell ref="U33:Y33"/>
    <mergeCell ref="AG33:AJ33"/>
    <mergeCell ref="AK33:AO33"/>
    <mergeCell ref="AZ33:BI33"/>
    <mergeCell ref="BJ33:BN33"/>
    <mergeCell ref="B36:C44"/>
    <mergeCell ref="D36:E41"/>
    <mergeCell ref="F36:J36"/>
    <mergeCell ref="U36:Y36"/>
    <mergeCell ref="AF36:AF42"/>
    <mergeCell ref="AG36:AH38"/>
    <mergeCell ref="F38:J38"/>
    <mergeCell ref="S38:Y38"/>
    <mergeCell ref="F41:J41"/>
    <mergeCell ref="Q38:R39"/>
    <mergeCell ref="S39:Y39"/>
    <mergeCell ref="AI36:AJ36"/>
    <mergeCell ref="AK36:AO36"/>
    <mergeCell ref="BA36:BD36"/>
    <mergeCell ref="BJ36:BN36"/>
    <mergeCell ref="F37:J37"/>
    <mergeCell ref="S37:Y37"/>
    <mergeCell ref="D34:E35"/>
    <mergeCell ref="F34:J34"/>
    <mergeCell ref="U34:Y34"/>
    <mergeCell ref="AG34:AJ34"/>
    <mergeCell ref="AK34:AO34"/>
    <mergeCell ref="AZ34:BD34"/>
    <mergeCell ref="AF32:AF34"/>
    <mergeCell ref="AG32:AJ32"/>
    <mergeCell ref="AK32:AO32"/>
    <mergeCell ref="AA37:AE37"/>
    <mergeCell ref="AP32:AT32"/>
    <mergeCell ref="AP33:AT33"/>
    <mergeCell ref="AP34:AT34"/>
    <mergeCell ref="AP35:AT35"/>
    <mergeCell ref="AP36:AT36"/>
    <mergeCell ref="AP37:AT37"/>
    <mergeCell ref="BJ29:BN29"/>
    <mergeCell ref="BJ30:BN30"/>
    <mergeCell ref="F31:J31"/>
    <mergeCell ref="U31:Y31"/>
    <mergeCell ref="AG31:AJ31"/>
    <mergeCell ref="AK31:AO31"/>
    <mergeCell ref="BJ31:BN31"/>
    <mergeCell ref="B30:C35"/>
    <mergeCell ref="D30:E33"/>
    <mergeCell ref="F30:J30"/>
    <mergeCell ref="U30:Y30"/>
    <mergeCell ref="AG30:AJ30"/>
    <mergeCell ref="AK30:AO30"/>
    <mergeCell ref="F32:J32"/>
    <mergeCell ref="Q32:R37"/>
    <mergeCell ref="S32:T36"/>
    <mergeCell ref="U32:Y32"/>
    <mergeCell ref="BJ34:BN34"/>
    <mergeCell ref="F35:J35"/>
    <mergeCell ref="U35:Y35"/>
    <mergeCell ref="AF35:AJ35"/>
    <mergeCell ref="AK35:AO35"/>
    <mergeCell ref="BA35:BD35"/>
    <mergeCell ref="BJ35:BN35"/>
    <mergeCell ref="AZ24:BD24"/>
    <mergeCell ref="BJ24:BN24"/>
    <mergeCell ref="F25:J25"/>
    <mergeCell ref="Q25:R31"/>
    <mergeCell ref="S25:T31"/>
    <mergeCell ref="U25:Y25"/>
    <mergeCell ref="AG25:AJ25"/>
    <mergeCell ref="AV25:AY25"/>
    <mergeCell ref="AZ25:BD25"/>
    <mergeCell ref="BJ25:BN25"/>
    <mergeCell ref="AZ26:BD26"/>
    <mergeCell ref="BJ26:BN26"/>
    <mergeCell ref="F27:J27"/>
    <mergeCell ref="U27:Y27"/>
    <mergeCell ref="AF27:AF31"/>
    <mergeCell ref="AG27:AJ27"/>
    <mergeCell ref="AU27:AY27"/>
    <mergeCell ref="AZ27:BD27"/>
    <mergeCell ref="BJ27:BN27"/>
    <mergeCell ref="F28:J28"/>
    <mergeCell ref="U28:Y28"/>
    <mergeCell ref="AG28:AJ28"/>
    <mergeCell ref="AZ28:BD28"/>
    <mergeCell ref="BJ28:BN28"/>
    <mergeCell ref="D24:E29"/>
    <mergeCell ref="F24:J24"/>
    <mergeCell ref="S24:Y24"/>
    <mergeCell ref="AF24:AF26"/>
    <mergeCell ref="AG24:AJ24"/>
    <mergeCell ref="AU24:AY24"/>
    <mergeCell ref="F26:J26"/>
    <mergeCell ref="U26:Y26"/>
    <mergeCell ref="AG26:AJ26"/>
    <mergeCell ref="AU26:AY26"/>
    <mergeCell ref="AV28:AY28"/>
    <mergeCell ref="F29:J29"/>
    <mergeCell ref="U29:Y29"/>
    <mergeCell ref="AG29:AJ29"/>
    <mergeCell ref="L24:P24"/>
    <mergeCell ref="L25:P25"/>
    <mergeCell ref="L26:P26"/>
    <mergeCell ref="L27:P27"/>
    <mergeCell ref="L28:P28"/>
    <mergeCell ref="L29:P29"/>
    <mergeCell ref="AA24:AE24"/>
    <mergeCell ref="AA25:AE25"/>
    <mergeCell ref="AA26:AE26"/>
    <mergeCell ref="AA27:AE27"/>
    <mergeCell ref="AW22:AY22"/>
    <mergeCell ref="AZ22:BD22"/>
    <mergeCell ref="BJ22:BN22"/>
    <mergeCell ref="F23:J23"/>
    <mergeCell ref="Q23:R24"/>
    <mergeCell ref="S23:Y23"/>
    <mergeCell ref="AG23:AJ23"/>
    <mergeCell ref="AU23:AY23"/>
    <mergeCell ref="AZ23:BD23"/>
    <mergeCell ref="BJ23:BN23"/>
    <mergeCell ref="AU20:AV22"/>
    <mergeCell ref="AW20:AY20"/>
    <mergeCell ref="AZ20:BD20"/>
    <mergeCell ref="BJ20:BN20"/>
    <mergeCell ref="F21:J21"/>
    <mergeCell ref="U21:Y21"/>
    <mergeCell ref="AG21:AJ21"/>
    <mergeCell ref="AW21:AY21"/>
    <mergeCell ref="AZ21:BD21"/>
    <mergeCell ref="BJ21:BN21"/>
    <mergeCell ref="F20:J20"/>
    <mergeCell ref="Q20:R22"/>
    <mergeCell ref="S20:T22"/>
    <mergeCell ref="U20:Y20"/>
    <mergeCell ref="F22:J22"/>
    <mergeCell ref="U22:Y22"/>
    <mergeCell ref="AG22:AJ22"/>
    <mergeCell ref="F19:J19"/>
    <mergeCell ref="U19:Y19"/>
    <mergeCell ref="AG19:AJ19"/>
    <mergeCell ref="AK19:AO19"/>
    <mergeCell ref="AK22:AO22"/>
    <mergeCell ref="L23:P23"/>
    <mergeCell ref="AA23:AE23"/>
    <mergeCell ref="AK20:AO20"/>
    <mergeCell ref="AK21:AO21"/>
    <mergeCell ref="AK23:AO23"/>
    <mergeCell ref="AF20:AF23"/>
    <mergeCell ref="AG20:AJ20"/>
    <mergeCell ref="AU19:AY19"/>
    <mergeCell ref="BJ19:BN19"/>
    <mergeCell ref="BJ17:BN17"/>
    <mergeCell ref="F18:J18"/>
    <mergeCell ref="U18:Y18"/>
    <mergeCell ref="AG18:AJ18"/>
    <mergeCell ref="AK18:AO18"/>
    <mergeCell ref="AU18:AY18"/>
    <mergeCell ref="AZ18:BD18"/>
    <mergeCell ref="BJ18:BN18"/>
    <mergeCell ref="S17:T19"/>
    <mergeCell ref="U17:Y17"/>
    <mergeCell ref="AF17:AF19"/>
    <mergeCell ref="AG17:AJ17"/>
    <mergeCell ref="AW17:AY17"/>
    <mergeCell ref="AZ17:BD17"/>
    <mergeCell ref="BE18:BI18"/>
    <mergeCell ref="BE19:BI19"/>
    <mergeCell ref="AP18:AT18"/>
    <mergeCell ref="AP19:AT19"/>
    <mergeCell ref="AW15:AY15"/>
    <mergeCell ref="BJ15:BN15"/>
    <mergeCell ref="F16:J16"/>
    <mergeCell ref="S16:Y16"/>
    <mergeCell ref="AG16:AJ16"/>
    <mergeCell ref="AW16:AY16"/>
    <mergeCell ref="BJ16:BN16"/>
    <mergeCell ref="F17:J17"/>
    <mergeCell ref="BE15:BI15"/>
    <mergeCell ref="BE16:BI16"/>
    <mergeCell ref="BE17:BI17"/>
    <mergeCell ref="AP15:AT15"/>
    <mergeCell ref="AP16:AT16"/>
    <mergeCell ref="AP17:AT17"/>
    <mergeCell ref="F14:J14"/>
    <mergeCell ref="U14:Y14"/>
    <mergeCell ref="AG14:AJ14"/>
    <mergeCell ref="AW14:AY14"/>
    <mergeCell ref="AZ14:BD14"/>
    <mergeCell ref="BJ14:BN14"/>
    <mergeCell ref="BJ11:BN11"/>
    <mergeCell ref="B12:C29"/>
    <mergeCell ref="D12:E23"/>
    <mergeCell ref="F12:J12"/>
    <mergeCell ref="U12:Y12"/>
    <mergeCell ref="AG12:AJ12"/>
    <mergeCell ref="AW12:AY12"/>
    <mergeCell ref="BJ12:BN12"/>
    <mergeCell ref="F13:J13"/>
    <mergeCell ref="U13:Y13"/>
    <mergeCell ref="F11:J11"/>
    <mergeCell ref="U11:Y11"/>
    <mergeCell ref="AF11:AF16"/>
    <mergeCell ref="AG11:AJ11"/>
    <mergeCell ref="AU11:AV14"/>
    <mergeCell ref="AW11:AY11"/>
    <mergeCell ref="AG13:AJ13"/>
    <mergeCell ref="AG15:AJ15"/>
    <mergeCell ref="BJ9:BN9"/>
    <mergeCell ref="D10:E11"/>
    <mergeCell ref="F10:J10"/>
    <mergeCell ref="U10:Y10"/>
    <mergeCell ref="AG10:AJ10"/>
    <mergeCell ref="AK10:AO10"/>
    <mergeCell ref="AU10:AY10"/>
    <mergeCell ref="BJ10:BN10"/>
    <mergeCell ref="BJ13:BN13"/>
    <mergeCell ref="BE5:BI5"/>
    <mergeCell ref="AW7:AY7"/>
    <mergeCell ref="AZ7:BD7"/>
    <mergeCell ref="BJ7:BN7"/>
    <mergeCell ref="F8:J8"/>
    <mergeCell ref="Q8:R19"/>
    <mergeCell ref="S8:T14"/>
    <mergeCell ref="U8:Y8"/>
    <mergeCell ref="AI8:AJ8"/>
    <mergeCell ref="AW8:AY8"/>
    <mergeCell ref="BJ8:BN8"/>
    <mergeCell ref="F7:J7"/>
    <mergeCell ref="U7:Y7"/>
    <mergeCell ref="AF7:AF10"/>
    <mergeCell ref="AG7:AH8"/>
    <mergeCell ref="AI7:AJ7"/>
    <mergeCell ref="AU7:AV9"/>
    <mergeCell ref="F9:J9"/>
    <mergeCell ref="U9:Y9"/>
    <mergeCell ref="AG9:AJ9"/>
    <mergeCell ref="AK9:AO9"/>
    <mergeCell ref="AW13:AY13"/>
    <mergeCell ref="F15:J15"/>
    <mergeCell ref="S15:Y15"/>
    <mergeCell ref="B4:AE4"/>
    <mergeCell ref="AF4:BI4"/>
    <mergeCell ref="BJ4:BX4"/>
    <mergeCell ref="B5:C11"/>
    <mergeCell ref="D5:E9"/>
    <mergeCell ref="F5:J5"/>
    <mergeCell ref="Q5:R7"/>
    <mergeCell ref="S5:T7"/>
    <mergeCell ref="U5:Y5"/>
    <mergeCell ref="BJ5:BN5"/>
    <mergeCell ref="BO5:BS5"/>
    <mergeCell ref="BT5:BX5"/>
    <mergeCell ref="F6:J6"/>
    <mergeCell ref="U6:Y6"/>
    <mergeCell ref="AF6:AJ6"/>
    <mergeCell ref="AK6:AO6"/>
    <mergeCell ref="AU6:AY6"/>
    <mergeCell ref="AZ6:BD6"/>
    <mergeCell ref="BJ6:BN6"/>
    <mergeCell ref="AF5:AJ5"/>
    <mergeCell ref="AK5:AO5"/>
    <mergeCell ref="AP5:AT5"/>
    <mergeCell ref="AU5:AY5"/>
    <mergeCell ref="AZ5:BD5"/>
    <mergeCell ref="BE2:BN2"/>
    <mergeCell ref="BO2:BS2"/>
    <mergeCell ref="BT2:BX2"/>
    <mergeCell ref="B3:F3"/>
    <mergeCell ref="G3:P3"/>
    <mergeCell ref="Q3:U3"/>
    <mergeCell ref="V3:Z3"/>
    <mergeCell ref="AA3:AE3"/>
    <mergeCell ref="AF3:AJ3"/>
    <mergeCell ref="AK3:AO3"/>
    <mergeCell ref="AP3:AT3"/>
    <mergeCell ref="BT3:BX3"/>
    <mergeCell ref="B1:BA1"/>
    <mergeCell ref="B2:F2"/>
    <mergeCell ref="G2:P2"/>
    <mergeCell ref="Q2:U2"/>
    <mergeCell ref="V2:Z2"/>
    <mergeCell ref="AA2:AE2"/>
    <mergeCell ref="AF2:AJ2"/>
    <mergeCell ref="AK2:AO2"/>
    <mergeCell ref="AP2:AT2"/>
    <mergeCell ref="AZ2:BD2"/>
    <mergeCell ref="L5:P5"/>
    <mergeCell ref="L6:P6"/>
    <mergeCell ref="L7:P7"/>
    <mergeCell ref="L8:P8"/>
    <mergeCell ref="L9:P9"/>
    <mergeCell ref="L10:P10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2:P22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L39:P39"/>
    <mergeCell ref="L40:P40"/>
    <mergeCell ref="L41:P41"/>
    <mergeCell ref="L42:P42"/>
    <mergeCell ref="L43:P43"/>
    <mergeCell ref="L44:P44"/>
    <mergeCell ref="L45:P45"/>
    <mergeCell ref="L46:P46"/>
    <mergeCell ref="L47:P47"/>
    <mergeCell ref="AA5:AE5"/>
    <mergeCell ref="AA6:AE6"/>
    <mergeCell ref="AA7:AE7"/>
    <mergeCell ref="AA8:AE8"/>
    <mergeCell ref="AA9:AE9"/>
    <mergeCell ref="AA10:AE10"/>
    <mergeCell ref="AA11:AE11"/>
    <mergeCell ref="AA12:AE12"/>
    <mergeCell ref="AA13:AE13"/>
    <mergeCell ref="AK26:AO26"/>
    <mergeCell ref="AK27:AO27"/>
    <mergeCell ref="AK28:AO28"/>
    <mergeCell ref="AK29:AO29"/>
    <mergeCell ref="AA39:AE39"/>
    <mergeCell ref="AK39:AO39"/>
    <mergeCell ref="AA38:AE38"/>
    <mergeCell ref="AA40:AE40"/>
    <mergeCell ref="AA41:AE41"/>
    <mergeCell ref="AA28:AE28"/>
    <mergeCell ref="AA29:AE29"/>
    <mergeCell ref="AA30:AE30"/>
    <mergeCell ref="AA31:AE31"/>
    <mergeCell ref="AA32:AE32"/>
    <mergeCell ref="AA33:AE33"/>
    <mergeCell ref="AA34:AE34"/>
    <mergeCell ref="AA35:AE35"/>
    <mergeCell ref="AA36:AE36"/>
    <mergeCell ref="AA14:AE14"/>
    <mergeCell ref="AA15:AE15"/>
    <mergeCell ref="AA16:AE16"/>
    <mergeCell ref="AA17:AE17"/>
    <mergeCell ref="AA18:AE18"/>
    <mergeCell ref="AA19:AE19"/>
    <mergeCell ref="AA20:AE20"/>
    <mergeCell ref="AA21:AE21"/>
    <mergeCell ref="AA22:AE22"/>
    <mergeCell ref="AP21:AT21"/>
    <mergeCell ref="AP22:AT22"/>
    <mergeCell ref="AK7:AO7"/>
    <mergeCell ref="AK8:AO8"/>
    <mergeCell ref="AK11:AO11"/>
    <mergeCell ref="AK12:AO12"/>
    <mergeCell ref="AK13:AO13"/>
    <mergeCell ref="AP44:AT44"/>
    <mergeCell ref="AP6:AT6"/>
    <mergeCell ref="AP7:AT7"/>
    <mergeCell ref="AP8:AT8"/>
    <mergeCell ref="AP9:AT9"/>
    <mergeCell ref="AP10:AT10"/>
    <mergeCell ref="AP11:AT11"/>
    <mergeCell ref="AP12:AT12"/>
    <mergeCell ref="AP13:AT13"/>
    <mergeCell ref="AP14:AT14"/>
    <mergeCell ref="AK14:AO14"/>
    <mergeCell ref="AK15:AO15"/>
    <mergeCell ref="AK16:AO16"/>
    <mergeCell ref="AK17:AO17"/>
    <mergeCell ref="AK43:AO43"/>
    <mergeCell ref="AK24:AO24"/>
    <mergeCell ref="AK25:AO25"/>
    <mergeCell ref="AP45:AT45"/>
    <mergeCell ref="AP46:AT46"/>
    <mergeCell ref="AP47:AT47"/>
    <mergeCell ref="AZ8:BD8"/>
    <mergeCell ref="AZ10:BD10"/>
    <mergeCell ref="AZ11:BD11"/>
    <mergeCell ref="AZ12:BD12"/>
    <mergeCell ref="AZ13:BD13"/>
    <mergeCell ref="AZ15:BD15"/>
    <mergeCell ref="AZ16:BD16"/>
    <mergeCell ref="AZ19:BD19"/>
    <mergeCell ref="AP23:AT23"/>
    <mergeCell ref="AP24:AT24"/>
    <mergeCell ref="AP25:AT25"/>
    <mergeCell ref="AP26:AT26"/>
    <mergeCell ref="AP27:AT27"/>
    <mergeCell ref="AP28:AT28"/>
    <mergeCell ref="AP29:AT29"/>
    <mergeCell ref="AP30:AT30"/>
    <mergeCell ref="AP31:AT31"/>
    <mergeCell ref="AW9:AY9"/>
    <mergeCell ref="AZ9:BD9"/>
    <mergeCell ref="AU15:AV17"/>
    <mergeCell ref="AP20:AT20"/>
    <mergeCell ref="BE6:BI6"/>
    <mergeCell ref="BE7:BI7"/>
    <mergeCell ref="BE8:BI8"/>
    <mergeCell ref="BE9:BI9"/>
    <mergeCell ref="BE10:BI10"/>
    <mergeCell ref="BE11:BI11"/>
    <mergeCell ref="BE12:BI12"/>
    <mergeCell ref="BE13:BI13"/>
    <mergeCell ref="BE14:BI14"/>
    <mergeCell ref="BE20:BI20"/>
    <mergeCell ref="BE21:BI21"/>
    <mergeCell ref="BE22:BI22"/>
    <mergeCell ref="BE23:BI23"/>
    <mergeCell ref="BE24:BI24"/>
    <mergeCell ref="BE25:BI25"/>
    <mergeCell ref="BE26:BI26"/>
    <mergeCell ref="BE27:BI27"/>
    <mergeCell ref="BE28:BI28"/>
    <mergeCell ref="BO19:BS19"/>
    <mergeCell ref="BO20:BS20"/>
    <mergeCell ref="BO21:BS21"/>
    <mergeCell ref="BO22:BS22"/>
    <mergeCell ref="BO23:BS23"/>
    <mergeCell ref="BO6:BS6"/>
    <mergeCell ref="BO7:BS7"/>
    <mergeCell ref="BO8:BS8"/>
    <mergeCell ref="BO9:BS9"/>
    <mergeCell ref="BO10:BS10"/>
    <mergeCell ref="BO11:BS11"/>
    <mergeCell ref="BO12:BS12"/>
    <mergeCell ref="BO13:BS13"/>
    <mergeCell ref="BO14:BS14"/>
    <mergeCell ref="BO33:BS33"/>
    <mergeCell ref="BO34:BS34"/>
    <mergeCell ref="BO35:BS35"/>
    <mergeCell ref="BO36:BS36"/>
    <mergeCell ref="BO37:BS37"/>
    <mergeCell ref="BO38:BS38"/>
    <mergeCell ref="BO39:BS39"/>
    <mergeCell ref="BO40:BS40"/>
    <mergeCell ref="AZ3:BD3"/>
    <mergeCell ref="BE3:BN3"/>
    <mergeCell ref="BO3:BS3"/>
    <mergeCell ref="BO24:BS24"/>
    <mergeCell ref="BO25:BS25"/>
    <mergeCell ref="BO26:BS26"/>
    <mergeCell ref="BO27:BS27"/>
    <mergeCell ref="BO28:BS28"/>
    <mergeCell ref="BO29:BS29"/>
    <mergeCell ref="BO30:BS30"/>
    <mergeCell ref="BO31:BS31"/>
    <mergeCell ref="BO32:BS32"/>
    <mergeCell ref="BO15:BS15"/>
    <mergeCell ref="BO16:BS16"/>
    <mergeCell ref="BO17:BS17"/>
    <mergeCell ref="BO18:BS18"/>
    <mergeCell ref="BT6:BX6"/>
    <mergeCell ref="BT7:BX7"/>
    <mergeCell ref="BT8:BX8"/>
    <mergeCell ref="BT9:BX9"/>
    <mergeCell ref="BT10:BX10"/>
    <mergeCell ref="BT11:BX11"/>
    <mergeCell ref="BT12:BX12"/>
    <mergeCell ref="BT13:BX13"/>
    <mergeCell ref="BT14:BX14"/>
    <mergeCell ref="BT15:BX15"/>
    <mergeCell ref="BT16:BX16"/>
    <mergeCell ref="BT17:BX17"/>
    <mergeCell ref="BT18:BX18"/>
    <mergeCell ref="BT19:BX19"/>
    <mergeCell ref="BT20:BX20"/>
    <mergeCell ref="BT21:BX21"/>
    <mergeCell ref="BT22:BX22"/>
    <mergeCell ref="BT23:BX23"/>
    <mergeCell ref="BT24:BX24"/>
    <mergeCell ref="BT25:BX25"/>
    <mergeCell ref="BT26:BX26"/>
    <mergeCell ref="BT27:BX27"/>
    <mergeCell ref="BT28:BX28"/>
    <mergeCell ref="BT29:BX29"/>
    <mergeCell ref="BT30:BX30"/>
    <mergeCell ref="BT31:BX31"/>
    <mergeCell ref="BT32:BX32"/>
    <mergeCell ref="BT33:BX33"/>
    <mergeCell ref="BT34:BX34"/>
    <mergeCell ref="BT35:BX35"/>
    <mergeCell ref="BT36:BX36"/>
    <mergeCell ref="BT37:BX37"/>
    <mergeCell ref="BT38:BX38"/>
    <mergeCell ref="BT39:BX39"/>
    <mergeCell ref="BT40:BX40"/>
    <mergeCell ref="G54:K54"/>
    <mergeCell ref="L54:P54"/>
    <mergeCell ref="Q54:U54"/>
    <mergeCell ref="AF54:AJ54"/>
    <mergeCell ref="AP54:AT54"/>
    <mergeCell ref="BE34:BI34"/>
    <mergeCell ref="BE35:BI35"/>
    <mergeCell ref="BE36:BI36"/>
    <mergeCell ref="BE37:BI37"/>
    <mergeCell ref="BE38:BI38"/>
    <mergeCell ref="BE39:BI39"/>
    <mergeCell ref="BE40:BI40"/>
    <mergeCell ref="BE41:BI41"/>
    <mergeCell ref="BE42:BI42"/>
    <mergeCell ref="BE43:BI43"/>
    <mergeCell ref="BE44:BI44"/>
    <mergeCell ref="Q57:U57"/>
    <mergeCell ref="V54:Z54"/>
    <mergeCell ref="V55:Z55"/>
    <mergeCell ref="V56:Z56"/>
    <mergeCell ref="V57:Z57"/>
    <mergeCell ref="V58:Z58"/>
    <mergeCell ref="V59:Z59"/>
    <mergeCell ref="AA54:AE54"/>
    <mergeCell ref="AA55:AE55"/>
    <mergeCell ref="AA56:AE56"/>
    <mergeCell ref="AA57:AE57"/>
    <mergeCell ref="AA58:AE58"/>
    <mergeCell ref="AA59:AE59"/>
    <mergeCell ref="AF55:AJ55"/>
    <mergeCell ref="AF56:AJ56"/>
    <mergeCell ref="AF57:AJ57"/>
    <mergeCell ref="AF58:AJ58"/>
    <mergeCell ref="AF59:AJ59"/>
    <mergeCell ref="AK54:AO54"/>
    <mergeCell ref="AK55:AO55"/>
    <mergeCell ref="AK56:AO56"/>
    <mergeCell ref="AK57:AO57"/>
    <mergeCell ref="AK58:AO58"/>
    <mergeCell ref="AK59:AO59"/>
    <mergeCell ref="AP55:AT55"/>
    <mergeCell ref="AP56:AT56"/>
    <mergeCell ref="AP57:AT57"/>
    <mergeCell ref="AP58:AT58"/>
    <mergeCell ref="AP59:AT59"/>
    <mergeCell ref="AU57:AY57"/>
    <mergeCell ref="AU58:AY58"/>
    <mergeCell ref="AU59:AY59"/>
    <mergeCell ref="AU54:AY54"/>
    <mergeCell ref="AU55:AY55"/>
    <mergeCell ref="AU56:AY56"/>
    <mergeCell ref="BE54:BI54"/>
    <mergeCell ref="BE55:BI55"/>
    <mergeCell ref="BO42:BS42"/>
    <mergeCell ref="BO43:BS43"/>
    <mergeCell ref="BO44:BS44"/>
    <mergeCell ref="BO45:BS45"/>
    <mergeCell ref="BO46:BS46"/>
    <mergeCell ref="BO47:BS47"/>
    <mergeCell ref="BO48:BS48"/>
    <mergeCell ref="BO49:BS49"/>
    <mergeCell ref="BO50:BS50"/>
    <mergeCell ref="BE45:BI45"/>
    <mergeCell ref="BE46:BI46"/>
    <mergeCell ref="BE47:BI47"/>
    <mergeCell ref="BE48:BI48"/>
    <mergeCell ref="BE49:BI49"/>
    <mergeCell ref="BE50:BI50"/>
    <mergeCell ref="BE51:BI51"/>
    <mergeCell ref="BE52:BI52"/>
    <mergeCell ref="BE53:BI53"/>
    <mergeCell ref="BJ42:BN42"/>
    <mergeCell ref="BT41:BX41"/>
    <mergeCell ref="BT42:BX42"/>
    <mergeCell ref="BT43:BX43"/>
    <mergeCell ref="BT44:BX44"/>
    <mergeCell ref="BT45:BX45"/>
    <mergeCell ref="BT46:BX46"/>
    <mergeCell ref="BT47:BX47"/>
    <mergeCell ref="BT48:BX48"/>
    <mergeCell ref="BT49:BX49"/>
    <mergeCell ref="BT50:BX50"/>
    <mergeCell ref="BT51:BX51"/>
    <mergeCell ref="BT52:BX52"/>
    <mergeCell ref="BT53:BX53"/>
    <mergeCell ref="BT54:BX54"/>
    <mergeCell ref="BT55:BX55"/>
    <mergeCell ref="BT56:BX56"/>
    <mergeCell ref="BT57:BX57"/>
    <mergeCell ref="BT58:BX58"/>
  </mergeCells>
  <phoneticPr fontId="4"/>
  <printOptions horizontalCentered="1" verticalCentered="1"/>
  <pageMargins left="0.39370078740157483" right="0.39370078740157483" top="0.59055118110236227" bottom="0" header="0.31496062992125984" footer="0.31496062992125984"/>
  <pageSetup paperSize="9" scale="9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3">
    <pageSetUpPr fitToPage="1"/>
  </sheetPr>
  <dimension ref="A1:CC67"/>
  <sheetViews>
    <sheetView view="pageBreakPreview" zoomScale="120" zoomScaleNormal="120" zoomScaleSheetLayoutView="120" workbookViewId="0"/>
  </sheetViews>
  <sheetFormatPr defaultColWidth="9" defaultRowHeight="12" x14ac:dyDescent="0.15"/>
  <cols>
    <col min="1" max="1" width="1.875" style="3" customWidth="1"/>
    <col min="2" max="2" width="0.5" style="47" customWidth="1"/>
    <col min="3" max="4" width="0.5" style="145" customWidth="1"/>
    <col min="5" max="5" width="2.375" style="145" customWidth="1"/>
    <col min="6" max="6" width="6.875" style="145" customWidth="1"/>
    <col min="7" max="21" width="1.625" style="47" customWidth="1"/>
    <col min="22" max="24" width="0.5" style="47" customWidth="1"/>
    <col min="25" max="25" width="2.375" style="47" customWidth="1"/>
    <col min="26" max="26" width="7.125" style="47" customWidth="1"/>
    <col min="27" max="41" width="1.625" style="47" customWidth="1"/>
    <col min="42" max="44" width="0.5" style="47" customWidth="1"/>
    <col min="45" max="45" width="7.5" style="47" customWidth="1"/>
    <col min="46" max="46" width="1.875" style="47" customWidth="1"/>
    <col min="47" max="56" width="1.625" style="47" customWidth="1"/>
    <col min="57" max="57" width="1.5" style="47" customWidth="1"/>
    <col min="58" max="58" width="1.125" style="47" customWidth="1"/>
    <col min="59" max="59" width="1.625" style="47" customWidth="1"/>
    <col min="60" max="60" width="2.875" style="47" customWidth="1"/>
    <col min="61" max="61" width="1.125" style="47" customWidth="1"/>
    <col min="62" max="62" width="1.5" style="47" customWidth="1"/>
    <col min="63" max="64" width="0.375" style="47" customWidth="1"/>
    <col min="65" max="65" width="2.625" style="47" customWidth="1"/>
    <col min="66" max="66" width="6.5" style="47" customWidth="1"/>
    <col min="67" max="71" width="1.625" style="47" customWidth="1"/>
    <col min="72" max="72" width="1" style="47" customWidth="1"/>
    <col min="73" max="75" width="1.625" style="47" customWidth="1"/>
    <col min="76" max="76" width="2.625" style="47" customWidth="1"/>
    <col min="77" max="81" width="1.625" style="47" customWidth="1"/>
    <col min="82" max="82" width="2.375" style="47" customWidth="1"/>
    <col min="83" max="16384" width="9" style="47"/>
  </cols>
  <sheetData>
    <row r="1" spans="1:81" ht="14.25" customHeight="1" thickBot="1" x14ac:dyDescent="0.2">
      <c r="A1" s="13"/>
      <c r="B1" s="545" t="str">
        <f>BE3&amp;"年　農業経営統計調査（営農類型別経営統計（法人経営））　個別結果表No.３"</f>
        <v>0年　農業経営統計調査（営農類型別経営統計（法人経営））　個別結果表No.３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</row>
    <row r="2" spans="1:81" ht="9.75" customHeight="1" x14ac:dyDescent="0.15">
      <c r="B2" s="150"/>
      <c r="C2" s="150"/>
      <c r="D2" s="150"/>
      <c r="E2" s="150"/>
      <c r="F2" s="150"/>
      <c r="G2" s="3"/>
      <c r="H2" s="3"/>
      <c r="I2" s="3"/>
      <c r="J2" s="3"/>
      <c r="K2" s="3"/>
      <c r="L2" s="3"/>
      <c r="M2" s="3"/>
      <c r="N2" s="3"/>
      <c r="O2" s="3"/>
      <c r="P2" s="3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202" t="s">
        <v>0</v>
      </c>
      <c r="BF2" s="859"/>
      <c r="BG2" s="859"/>
      <c r="BH2" s="859"/>
      <c r="BI2" s="860"/>
      <c r="BJ2" s="1203" t="s">
        <v>2</v>
      </c>
      <c r="BK2" s="1204"/>
      <c r="BL2" s="1204"/>
      <c r="BM2" s="1204"/>
      <c r="BN2" s="1204"/>
      <c r="BO2" s="1204"/>
      <c r="BP2" s="1204"/>
      <c r="BQ2" s="1204"/>
      <c r="BR2" s="1204"/>
      <c r="BS2" s="1205"/>
      <c r="BT2" s="861" t="s">
        <v>5</v>
      </c>
      <c r="BU2" s="857"/>
      <c r="BV2" s="857"/>
      <c r="BW2" s="857"/>
      <c r="BX2" s="857"/>
      <c r="BY2" s="858" t="s">
        <v>514</v>
      </c>
      <c r="BZ2" s="859"/>
      <c r="CA2" s="859"/>
      <c r="CB2" s="859"/>
      <c r="CC2" s="862"/>
    </row>
    <row r="3" spans="1:81" ht="9.75" customHeight="1" thickBo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825">
        <f>'No1'!B5</f>
        <v>0</v>
      </c>
      <c r="BF3" s="826"/>
      <c r="BG3" s="826"/>
      <c r="BH3" s="826"/>
      <c r="BI3" s="827"/>
      <c r="BJ3" s="828" t="str">
        <f>IF('No1'!L5&lt;&gt;"",'No1'!L5,"")</f>
        <v/>
      </c>
      <c r="BK3" s="826"/>
      <c r="BL3" s="826"/>
      <c r="BM3" s="826"/>
      <c r="BN3" s="826"/>
      <c r="BO3" s="826"/>
      <c r="BP3" s="826"/>
      <c r="BQ3" s="826"/>
      <c r="BR3" s="826"/>
      <c r="BS3" s="827"/>
      <c r="BT3" s="829">
        <f>'No1'!AK5</f>
        <v>0</v>
      </c>
      <c r="BU3" s="830"/>
      <c r="BV3" s="830"/>
      <c r="BW3" s="830"/>
      <c r="BX3" s="831"/>
      <c r="BY3" s="864">
        <f>'No1'!AP5</f>
        <v>0</v>
      </c>
      <c r="BZ3" s="865"/>
      <c r="CA3" s="865"/>
      <c r="CB3" s="865"/>
      <c r="CC3" s="866"/>
    </row>
    <row r="4" spans="1:81" ht="9.75" customHeight="1" x14ac:dyDescent="0.15">
      <c r="B4" s="31" t="s">
        <v>404</v>
      </c>
      <c r="C4" s="32"/>
      <c r="D4" s="32"/>
      <c r="E4" s="32"/>
      <c r="F4" s="32"/>
      <c r="G4" s="33"/>
      <c r="H4" s="34"/>
      <c r="I4" s="34"/>
      <c r="J4" s="33"/>
      <c r="K4" s="154"/>
      <c r="L4" s="33"/>
      <c r="M4" s="33"/>
      <c r="N4" s="154"/>
      <c r="O4" s="154"/>
      <c r="P4" s="154"/>
      <c r="Q4" s="33"/>
      <c r="R4" s="33"/>
      <c r="S4" s="154"/>
      <c r="T4" s="154"/>
      <c r="U4" s="154"/>
      <c r="V4" s="109"/>
      <c r="W4" s="32"/>
      <c r="X4" s="32"/>
      <c r="Y4" s="32"/>
      <c r="Z4" s="32"/>
      <c r="AA4" s="33"/>
      <c r="AB4" s="33"/>
      <c r="AC4" s="33"/>
      <c r="AD4" s="33"/>
      <c r="AE4" s="154"/>
      <c r="AF4" s="33"/>
      <c r="AG4" s="33"/>
      <c r="AH4" s="154"/>
      <c r="AI4" s="154"/>
      <c r="AJ4" s="154"/>
      <c r="AK4" s="33"/>
      <c r="AL4" s="33"/>
      <c r="AM4" s="154"/>
      <c r="AN4" s="154"/>
      <c r="AO4" s="35"/>
      <c r="AP4" s="110" t="s">
        <v>439</v>
      </c>
      <c r="AQ4" s="315"/>
      <c r="AR4" s="316"/>
      <c r="AS4" s="316"/>
      <c r="AT4" s="316"/>
      <c r="AU4" s="316"/>
      <c r="AV4" s="316"/>
      <c r="AW4" s="316"/>
      <c r="AX4" s="316"/>
      <c r="AY4" s="317"/>
      <c r="AZ4" s="34"/>
      <c r="BA4" s="34"/>
      <c r="BB4" s="34"/>
      <c r="BC4" s="34"/>
      <c r="BD4" s="34"/>
      <c r="BE4" s="34"/>
      <c r="BF4" s="34"/>
      <c r="BG4" s="34"/>
      <c r="BH4" s="34"/>
      <c r="BI4" s="318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319"/>
    </row>
    <row r="5" spans="1:81" ht="9.75" customHeight="1" x14ac:dyDescent="0.15">
      <c r="A5" s="3">
        <v>1</v>
      </c>
      <c r="B5" s="580" t="s">
        <v>68</v>
      </c>
      <c r="C5" s="581"/>
      <c r="D5" s="581"/>
      <c r="E5" s="581"/>
      <c r="F5" s="582"/>
      <c r="G5" s="584" t="s">
        <v>71</v>
      </c>
      <c r="H5" s="581"/>
      <c r="I5" s="581"/>
      <c r="J5" s="581"/>
      <c r="K5" s="581"/>
      <c r="L5" s="147"/>
      <c r="M5" s="147"/>
      <c r="N5" s="149"/>
      <c r="O5" s="149"/>
      <c r="P5" s="149"/>
      <c r="Q5" s="38"/>
      <c r="R5" s="38"/>
      <c r="S5" s="38"/>
      <c r="T5" s="38"/>
      <c r="U5" s="320"/>
      <c r="V5" s="489" t="s">
        <v>68</v>
      </c>
      <c r="W5" s="489"/>
      <c r="X5" s="489"/>
      <c r="Y5" s="489"/>
      <c r="Z5" s="490"/>
      <c r="AA5" s="583" t="s">
        <v>71</v>
      </c>
      <c r="AB5" s="489"/>
      <c r="AC5" s="489"/>
      <c r="AD5" s="489"/>
      <c r="AE5" s="489"/>
      <c r="AF5" s="148"/>
      <c r="AG5" s="148"/>
      <c r="AH5" s="153"/>
      <c r="AI5" s="153"/>
      <c r="AJ5" s="153"/>
      <c r="AK5" s="198"/>
      <c r="AL5" s="198"/>
      <c r="AM5" s="198"/>
      <c r="AN5" s="198"/>
      <c r="AO5" s="321"/>
      <c r="AP5" s="553" t="s">
        <v>238</v>
      </c>
      <c r="AQ5" s="553"/>
      <c r="AR5" s="553"/>
      <c r="AS5" s="553"/>
      <c r="AT5" s="554"/>
      <c r="AU5" s="552" t="s">
        <v>440</v>
      </c>
      <c r="AV5" s="553"/>
      <c r="AW5" s="553"/>
      <c r="AX5" s="553"/>
      <c r="AY5" s="553"/>
      <c r="AZ5" s="558" t="s">
        <v>505</v>
      </c>
      <c r="BA5" s="521"/>
      <c r="BB5" s="521"/>
      <c r="BC5" s="521"/>
      <c r="BD5" s="522"/>
      <c r="BE5" s="724" t="s">
        <v>441</v>
      </c>
      <c r="BF5" s="725"/>
      <c r="BG5" s="725"/>
      <c r="BH5" s="725"/>
      <c r="BI5" s="1206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05"/>
    </row>
    <row r="6" spans="1:81" ht="9.75" customHeight="1" x14ac:dyDescent="0.15">
      <c r="A6" s="3">
        <v>2</v>
      </c>
      <c r="B6" s="580"/>
      <c r="C6" s="581"/>
      <c r="D6" s="581"/>
      <c r="E6" s="581"/>
      <c r="F6" s="582"/>
      <c r="G6" s="584"/>
      <c r="H6" s="581"/>
      <c r="I6" s="581"/>
      <c r="J6" s="581"/>
      <c r="K6" s="581"/>
      <c r="L6" s="583" t="s">
        <v>408</v>
      </c>
      <c r="M6" s="489"/>
      <c r="N6" s="489"/>
      <c r="O6" s="489"/>
      <c r="P6" s="490"/>
      <c r="Q6" s="583" t="s">
        <v>409</v>
      </c>
      <c r="R6" s="489"/>
      <c r="S6" s="489"/>
      <c r="T6" s="489"/>
      <c r="U6" s="490"/>
      <c r="V6" s="553"/>
      <c r="W6" s="553"/>
      <c r="X6" s="553"/>
      <c r="Y6" s="553"/>
      <c r="Z6" s="554"/>
      <c r="AA6" s="552"/>
      <c r="AB6" s="553"/>
      <c r="AC6" s="553"/>
      <c r="AD6" s="553"/>
      <c r="AE6" s="553"/>
      <c r="AF6" s="558" t="s">
        <v>408</v>
      </c>
      <c r="AG6" s="521"/>
      <c r="AH6" s="521"/>
      <c r="AI6" s="521"/>
      <c r="AJ6" s="522"/>
      <c r="AK6" s="558" t="s">
        <v>409</v>
      </c>
      <c r="AL6" s="521"/>
      <c r="AM6" s="521"/>
      <c r="AN6" s="521"/>
      <c r="AO6" s="560"/>
      <c r="AP6" s="605" t="s">
        <v>443</v>
      </c>
      <c r="AQ6" s="605"/>
      <c r="AR6" s="605"/>
      <c r="AS6" s="605"/>
      <c r="AT6" s="798"/>
      <c r="AU6" s="442"/>
      <c r="AV6" s="443"/>
      <c r="AW6" s="443"/>
      <c r="AX6" s="443"/>
      <c r="AY6" s="1178"/>
      <c r="AZ6" s="1207" t="s">
        <v>424</v>
      </c>
      <c r="BA6" s="750"/>
      <c r="BB6" s="750"/>
      <c r="BC6" s="750"/>
      <c r="BD6" s="954"/>
      <c r="BE6" s="469"/>
      <c r="BF6" s="470"/>
      <c r="BG6" s="470"/>
      <c r="BH6" s="470"/>
      <c r="BI6" s="471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05"/>
    </row>
    <row r="7" spans="1:81" ht="9.75" customHeight="1" x14ac:dyDescent="0.15">
      <c r="A7" s="3">
        <v>3</v>
      </c>
      <c r="B7" s="494" t="s">
        <v>413</v>
      </c>
      <c r="C7" s="640"/>
      <c r="D7" s="640"/>
      <c r="E7" s="640"/>
      <c r="F7" s="640"/>
      <c r="G7" s="442"/>
      <c r="H7" s="443"/>
      <c r="I7" s="443"/>
      <c r="J7" s="443"/>
      <c r="K7" s="1178"/>
      <c r="L7" s="442"/>
      <c r="M7" s="443"/>
      <c r="N7" s="443"/>
      <c r="O7" s="443"/>
      <c r="P7" s="1178"/>
      <c r="Q7" s="442"/>
      <c r="R7" s="443"/>
      <c r="S7" s="443"/>
      <c r="T7" s="443"/>
      <c r="U7" s="1178"/>
      <c r="V7" s="1210" t="s">
        <v>429</v>
      </c>
      <c r="W7" s="1210"/>
      <c r="X7" s="1210"/>
      <c r="Y7" s="1210"/>
      <c r="Z7" s="1210"/>
      <c r="AA7" s="442"/>
      <c r="AB7" s="443"/>
      <c r="AC7" s="443"/>
      <c r="AD7" s="443"/>
      <c r="AE7" s="1178"/>
      <c r="AF7" s="442"/>
      <c r="AG7" s="443"/>
      <c r="AH7" s="443"/>
      <c r="AI7" s="443"/>
      <c r="AJ7" s="1178"/>
      <c r="AK7" s="442"/>
      <c r="AL7" s="443"/>
      <c r="AM7" s="443"/>
      <c r="AN7" s="443"/>
      <c r="AO7" s="444"/>
      <c r="AP7" s="3"/>
      <c r="AQ7" s="3"/>
      <c r="AR7" s="500" t="s">
        <v>444</v>
      </c>
      <c r="AS7" s="501"/>
      <c r="AT7" s="502"/>
      <c r="AU7" s="448"/>
      <c r="AV7" s="449"/>
      <c r="AW7" s="449"/>
      <c r="AX7" s="449"/>
      <c r="AY7" s="1150"/>
      <c r="AZ7" s="1211" t="s">
        <v>445</v>
      </c>
      <c r="BA7" s="1212"/>
      <c r="BB7" s="1212"/>
      <c r="BC7" s="1212"/>
      <c r="BD7" s="1213"/>
      <c r="BE7" s="448"/>
      <c r="BF7" s="449"/>
      <c r="BG7" s="449"/>
      <c r="BH7" s="449"/>
      <c r="BI7" s="450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05"/>
    </row>
    <row r="8" spans="1:81" ht="9.75" customHeight="1" thickBot="1" x14ac:dyDescent="0.2">
      <c r="A8" s="3">
        <v>4</v>
      </c>
      <c r="B8" s="151"/>
      <c r="C8" s="419" t="s">
        <v>77</v>
      </c>
      <c r="D8" s="420"/>
      <c r="E8" s="420"/>
      <c r="F8" s="421"/>
      <c r="G8" s="445"/>
      <c r="H8" s="446"/>
      <c r="I8" s="446"/>
      <c r="J8" s="446"/>
      <c r="K8" s="1173"/>
      <c r="L8" s="448"/>
      <c r="M8" s="449"/>
      <c r="N8" s="449"/>
      <c r="O8" s="449"/>
      <c r="P8" s="1150"/>
      <c r="Q8" s="448"/>
      <c r="R8" s="449"/>
      <c r="S8" s="449"/>
      <c r="T8" s="449"/>
      <c r="U8" s="1150"/>
      <c r="V8" s="301"/>
      <c r="W8" s="500" t="s">
        <v>77</v>
      </c>
      <c r="X8" s="501"/>
      <c r="Y8" s="501"/>
      <c r="Z8" s="502"/>
      <c r="AA8" s="445"/>
      <c r="AB8" s="446"/>
      <c r="AC8" s="446"/>
      <c r="AD8" s="446"/>
      <c r="AE8" s="1173"/>
      <c r="AF8" s="448"/>
      <c r="AG8" s="449"/>
      <c r="AH8" s="449"/>
      <c r="AI8" s="449"/>
      <c r="AJ8" s="1150"/>
      <c r="AK8" s="448"/>
      <c r="AL8" s="449"/>
      <c r="AM8" s="449"/>
      <c r="AN8" s="449"/>
      <c r="AO8" s="450"/>
      <c r="AP8" s="3"/>
      <c r="AQ8" s="49"/>
      <c r="AR8" s="686" t="s">
        <v>446</v>
      </c>
      <c r="AS8" s="687"/>
      <c r="AT8" s="688"/>
      <c r="AU8" s="451"/>
      <c r="AV8" s="452"/>
      <c r="AW8" s="452"/>
      <c r="AX8" s="452"/>
      <c r="AY8" s="1163"/>
      <c r="AZ8" s="1214" t="s">
        <v>447</v>
      </c>
      <c r="BA8" s="1215"/>
      <c r="BB8" s="1215"/>
      <c r="BC8" s="1215"/>
      <c r="BD8" s="1216"/>
      <c r="BE8" s="448"/>
      <c r="BF8" s="449"/>
      <c r="BG8" s="449"/>
      <c r="BH8" s="449"/>
      <c r="BI8" s="450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05"/>
    </row>
    <row r="9" spans="1:81" ht="9.75" customHeight="1" thickBot="1" x14ac:dyDescent="0.2">
      <c r="A9" s="3">
        <v>5</v>
      </c>
      <c r="B9" s="151"/>
      <c r="C9" s="500" t="s">
        <v>83</v>
      </c>
      <c r="D9" s="501"/>
      <c r="E9" s="501"/>
      <c r="F9" s="502"/>
      <c r="G9" s="445"/>
      <c r="H9" s="446"/>
      <c r="I9" s="446"/>
      <c r="J9" s="446"/>
      <c r="K9" s="1173"/>
      <c r="L9" s="445"/>
      <c r="M9" s="446"/>
      <c r="N9" s="446"/>
      <c r="O9" s="446"/>
      <c r="P9" s="1173"/>
      <c r="Q9" s="445"/>
      <c r="R9" s="446"/>
      <c r="S9" s="446"/>
      <c r="T9" s="446"/>
      <c r="U9" s="1173"/>
      <c r="V9" s="301"/>
      <c r="W9" s="500" t="s">
        <v>83</v>
      </c>
      <c r="X9" s="501"/>
      <c r="Y9" s="501"/>
      <c r="Z9" s="502"/>
      <c r="AA9" s="445"/>
      <c r="AB9" s="446"/>
      <c r="AC9" s="446"/>
      <c r="AD9" s="446"/>
      <c r="AE9" s="1173"/>
      <c r="AF9" s="445"/>
      <c r="AG9" s="446"/>
      <c r="AH9" s="446"/>
      <c r="AI9" s="446"/>
      <c r="AJ9" s="1173"/>
      <c r="AK9" s="445"/>
      <c r="AL9" s="446"/>
      <c r="AM9" s="446"/>
      <c r="AN9" s="446"/>
      <c r="AO9" s="447"/>
      <c r="AP9" s="124"/>
      <c r="AQ9" s="322"/>
      <c r="AR9" s="322"/>
      <c r="AS9" s="322"/>
      <c r="AT9" s="322"/>
      <c r="AU9" s="124"/>
      <c r="AV9" s="124"/>
      <c r="AW9" s="124"/>
      <c r="AX9" s="124"/>
      <c r="AY9" s="319"/>
      <c r="AZ9" s="1208" t="s">
        <v>448</v>
      </c>
      <c r="BA9" s="1208"/>
      <c r="BB9" s="1208"/>
      <c r="BC9" s="1208"/>
      <c r="BD9" s="1209"/>
      <c r="BE9" s="463"/>
      <c r="BF9" s="464"/>
      <c r="BG9" s="464"/>
      <c r="BH9" s="464"/>
      <c r="BI9" s="465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05"/>
    </row>
    <row r="10" spans="1:81" ht="9.75" customHeight="1" x14ac:dyDescent="0.15">
      <c r="A10" s="3">
        <v>6</v>
      </c>
      <c r="B10" s="151"/>
      <c r="C10" s="155"/>
      <c r="D10" s="323"/>
      <c r="E10" s="419" t="s">
        <v>93</v>
      </c>
      <c r="F10" s="421"/>
      <c r="G10" s="445"/>
      <c r="H10" s="446"/>
      <c r="I10" s="446"/>
      <c r="J10" s="446"/>
      <c r="K10" s="1173"/>
      <c r="L10" s="448"/>
      <c r="M10" s="449"/>
      <c r="N10" s="449"/>
      <c r="O10" s="449"/>
      <c r="P10" s="1150"/>
      <c r="Q10" s="448"/>
      <c r="R10" s="449"/>
      <c r="S10" s="449"/>
      <c r="T10" s="449"/>
      <c r="U10" s="1150"/>
      <c r="V10" s="301"/>
      <c r="W10" s="155"/>
      <c r="X10" s="323"/>
      <c r="Y10" s="419" t="s">
        <v>93</v>
      </c>
      <c r="Z10" s="421"/>
      <c r="AA10" s="445"/>
      <c r="AB10" s="446"/>
      <c r="AC10" s="446"/>
      <c r="AD10" s="446"/>
      <c r="AE10" s="1173"/>
      <c r="AF10" s="448"/>
      <c r="AG10" s="449"/>
      <c r="AH10" s="449"/>
      <c r="AI10" s="449"/>
      <c r="AJ10" s="1150"/>
      <c r="AK10" s="448"/>
      <c r="AL10" s="449"/>
      <c r="AM10" s="449"/>
      <c r="AN10" s="449"/>
      <c r="AO10" s="450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05"/>
    </row>
    <row r="11" spans="1:81" ht="9.75" customHeight="1" x14ac:dyDescent="0.15">
      <c r="A11" s="3">
        <v>7</v>
      </c>
      <c r="B11" s="152"/>
      <c r="C11" s="8"/>
      <c r="D11" s="58"/>
      <c r="E11" s="795" t="s">
        <v>98</v>
      </c>
      <c r="F11" s="797"/>
      <c r="G11" s="445"/>
      <c r="H11" s="446"/>
      <c r="I11" s="446"/>
      <c r="J11" s="446"/>
      <c r="K11" s="1173"/>
      <c r="L11" s="448"/>
      <c r="M11" s="449"/>
      <c r="N11" s="449"/>
      <c r="O11" s="449"/>
      <c r="P11" s="1150"/>
      <c r="Q11" s="448"/>
      <c r="R11" s="449"/>
      <c r="S11" s="449"/>
      <c r="T11" s="449"/>
      <c r="U11" s="1150"/>
      <c r="V11" s="301"/>
      <c r="W11" s="8"/>
      <c r="X11" s="58"/>
      <c r="Y11" s="795" t="s">
        <v>98</v>
      </c>
      <c r="Z11" s="797"/>
      <c r="AA11" s="445"/>
      <c r="AB11" s="446"/>
      <c r="AC11" s="446"/>
      <c r="AD11" s="446"/>
      <c r="AE11" s="1173"/>
      <c r="AF11" s="448"/>
      <c r="AG11" s="449"/>
      <c r="AH11" s="449"/>
      <c r="AI11" s="449"/>
      <c r="AJ11" s="1150"/>
      <c r="AK11" s="448"/>
      <c r="AL11" s="449"/>
      <c r="AM11" s="449"/>
      <c r="AN11" s="449"/>
      <c r="AO11" s="450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05"/>
    </row>
    <row r="12" spans="1:81" ht="9.75" customHeight="1" x14ac:dyDescent="0.15">
      <c r="A12" s="3">
        <v>8</v>
      </c>
      <c r="B12" s="152"/>
      <c r="C12" s="8"/>
      <c r="D12" s="592" t="s">
        <v>88</v>
      </c>
      <c r="E12" s="605"/>
      <c r="F12" s="798"/>
      <c r="G12" s="445"/>
      <c r="H12" s="446"/>
      <c r="I12" s="446"/>
      <c r="J12" s="446"/>
      <c r="K12" s="1173"/>
      <c r="L12" s="445"/>
      <c r="M12" s="446"/>
      <c r="N12" s="446"/>
      <c r="O12" s="446"/>
      <c r="P12" s="1173"/>
      <c r="Q12" s="445"/>
      <c r="R12" s="446"/>
      <c r="S12" s="446"/>
      <c r="T12" s="446"/>
      <c r="U12" s="1173"/>
      <c r="V12" s="301"/>
      <c r="W12" s="8"/>
      <c r="X12" s="592" t="s">
        <v>88</v>
      </c>
      <c r="Y12" s="605"/>
      <c r="Z12" s="798"/>
      <c r="AA12" s="445"/>
      <c r="AB12" s="446"/>
      <c r="AC12" s="446"/>
      <c r="AD12" s="446"/>
      <c r="AE12" s="1173"/>
      <c r="AF12" s="445"/>
      <c r="AG12" s="446"/>
      <c r="AH12" s="446"/>
      <c r="AI12" s="446"/>
      <c r="AJ12" s="1173"/>
      <c r="AK12" s="445"/>
      <c r="AL12" s="446"/>
      <c r="AM12" s="446"/>
      <c r="AN12" s="446"/>
      <c r="AO12" s="447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05"/>
    </row>
    <row r="13" spans="1:81" ht="9.75" customHeight="1" x14ac:dyDescent="0.15">
      <c r="A13" s="3">
        <v>9</v>
      </c>
      <c r="B13" s="152"/>
      <c r="C13" s="8"/>
      <c r="D13" s="36"/>
      <c r="E13" s="419" t="s">
        <v>421</v>
      </c>
      <c r="F13" s="421"/>
      <c r="G13" s="445"/>
      <c r="H13" s="446"/>
      <c r="I13" s="446"/>
      <c r="J13" s="446"/>
      <c r="K13" s="1173"/>
      <c r="L13" s="448"/>
      <c r="M13" s="449"/>
      <c r="N13" s="449"/>
      <c r="O13" s="449"/>
      <c r="P13" s="1150"/>
      <c r="Q13" s="448"/>
      <c r="R13" s="449"/>
      <c r="S13" s="449"/>
      <c r="T13" s="449"/>
      <c r="U13" s="1150"/>
      <c r="V13" s="301"/>
      <c r="W13" s="8"/>
      <c r="X13" s="36"/>
      <c r="Y13" s="419" t="s">
        <v>421</v>
      </c>
      <c r="Z13" s="421"/>
      <c r="AA13" s="445"/>
      <c r="AB13" s="446"/>
      <c r="AC13" s="446"/>
      <c r="AD13" s="446"/>
      <c r="AE13" s="1173"/>
      <c r="AF13" s="448"/>
      <c r="AG13" s="449"/>
      <c r="AH13" s="449"/>
      <c r="AI13" s="449"/>
      <c r="AJ13" s="1150"/>
      <c r="AK13" s="448"/>
      <c r="AL13" s="449"/>
      <c r="AM13" s="449"/>
      <c r="AN13" s="449"/>
      <c r="AO13" s="450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05"/>
    </row>
    <row r="14" spans="1:81" ht="9.75" customHeight="1" thickBot="1" x14ac:dyDescent="0.2">
      <c r="A14" s="3">
        <v>10</v>
      </c>
      <c r="B14" s="324"/>
      <c r="C14" s="325"/>
      <c r="D14" s="625" t="s">
        <v>102</v>
      </c>
      <c r="E14" s="626"/>
      <c r="F14" s="627"/>
      <c r="G14" s="1193"/>
      <c r="H14" s="1194"/>
      <c r="I14" s="1194"/>
      <c r="J14" s="1194"/>
      <c r="K14" s="1195"/>
      <c r="L14" s="1189"/>
      <c r="M14" s="1190"/>
      <c r="N14" s="1190"/>
      <c r="O14" s="1190"/>
      <c r="P14" s="1192"/>
      <c r="Q14" s="1189"/>
      <c r="R14" s="1190"/>
      <c r="S14" s="1190"/>
      <c r="T14" s="1190"/>
      <c r="U14" s="1192"/>
      <c r="V14" s="99"/>
      <c r="W14" s="12"/>
      <c r="X14" s="686" t="s">
        <v>102</v>
      </c>
      <c r="Y14" s="687"/>
      <c r="Z14" s="688"/>
      <c r="AA14" s="463"/>
      <c r="AB14" s="464"/>
      <c r="AC14" s="464"/>
      <c r="AD14" s="464"/>
      <c r="AE14" s="1174"/>
      <c r="AF14" s="451"/>
      <c r="AG14" s="452"/>
      <c r="AH14" s="452"/>
      <c r="AI14" s="452"/>
      <c r="AJ14" s="1163"/>
      <c r="AK14" s="451"/>
      <c r="AL14" s="452"/>
      <c r="AM14" s="452"/>
      <c r="AN14" s="452"/>
      <c r="AO14" s="453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326"/>
    </row>
    <row r="15" spans="1:81" ht="9.75" customHeight="1" thickTop="1" x14ac:dyDescent="0.15">
      <c r="A15" s="3">
        <v>11</v>
      </c>
      <c r="B15" s="1217" t="s">
        <v>424</v>
      </c>
      <c r="C15" s="1218"/>
      <c r="D15" s="1218"/>
      <c r="E15" s="1218"/>
      <c r="F15" s="1218"/>
      <c r="G15" s="1196"/>
      <c r="H15" s="1197"/>
      <c r="I15" s="1197"/>
      <c r="J15" s="1197"/>
      <c r="K15" s="1198"/>
      <c r="L15" s="1185"/>
      <c r="M15" s="1186"/>
      <c r="N15" s="1186"/>
      <c r="O15" s="1186"/>
      <c r="P15" s="1188"/>
      <c r="Q15" s="1185"/>
      <c r="R15" s="1186"/>
      <c r="S15" s="1186"/>
      <c r="T15" s="1186"/>
      <c r="U15" s="1187"/>
      <c r="V15" s="31" t="s">
        <v>405</v>
      </c>
      <c r="W15" s="32"/>
      <c r="X15" s="32"/>
      <c r="Y15" s="32"/>
      <c r="Z15" s="32"/>
      <c r="AA15" s="33"/>
      <c r="AB15" s="33"/>
      <c r="AC15" s="33"/>
      <c r="AD15" s="33"/>
      <c r="AE15" s="154"/>
      <c r="AF15" s="33"/>
      <c r="AG15" s="33"/>
      <c r="AH15" s="154"/>
      <c r="AI15" s="154"/>
      <c r="AJ15" s="154"/>
      <c r="AK15" s="33"/>
      <c r="AL15" s="33"/>
      <c r="AM15" s="154"/>
      <c r="AN15" s="154"/>
      <c r="AO15" s="15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318"/>
    </row>
    <row r="16" spans="1:81" ht="9.75" customHeight="1" x14ac:dyDescent="0.15">
      <c r="A16" s="3">
        <v>12</v>
      </c>
      <c r="B16" s="1219" t="s">
        <v>407</v>
      </c>
      <c r="C16" s="612"/>
      <c r="D16" s="612"/>
      <c r="E16" s="612"/>
      <c r="F16" s="612"/>
      <c r="G16" s="454"/>
      <c r="H16" s="455"/>
      <c r="I16" s="455"/>
      <c r="J16" s="455"/>
      <c r="K16" s="1180"/>
      <c r="L16" s="1151"/>
      <c r="M16" s="1152"/>
      <c r="N16" s="1152"/>
      <c r="O16" s="1152"/>
      <c r="P16" s="1179"/>
      <c r="Q16" s="1151"/>
      <c r="R16" s="1152"/>
      <c r="S16" s="1152"/>
      <c r="T16" s="1152"/>
      <c r="U16" s="1153"/>
      <c r="V16" s="488" t="s">
        <v>68</v>
      </c>
      <c r="W16" s="489"/>
      <c r="X16" s="489"/>
      <c r="Y16" s="489"/>
      <c r="Z16" s="490"/>
      <c r="AA16" s="583" t="s">
        <v>71</v>
      </c>
      <c r="AB16" s="489"/>
      <c r="AC16" s="489"/>
      <c r="AD16" s="489"/>
      <c r="AE16" s="489"/>
      <c r="AF16" s="148"/>
      <c r="AG16" s="148"/>
      <c r="AH16" s="153"/>
      <c r="AI16" s="153"/>
      <c r="AJ16" s="153"/>
      <c r="AK16" s="198"/>
      <c r="AL16" s="198"/>
      <c r="AM16" s="198"/>
      <c r="AN16" s="198"/>
      <c r="AO16" s="327"/>
      <c r="AP16" s="583" t="s">
        <v>68</v>
      </c>
      <c r="AQ16" s="489"/>
      <c r="AR16" s="489"/>
      <c r="AS16" s="489"/>
      <c r="AT16" s="490"/>
      <c r="AU16" s="583" t="s">
        <v>71</v>
      </c>
      <c r="AV16" s="489"/>
      <c r="AW16" s="489"/>
      <c r="AX16" s="489"/>
      <c r="AY16" s="489"/>
      <c r="AZ16" s="148"/>
      <c r="BA16" s="148"/>
      <c r="BB16" s="153"/>
      <c r="BC16" s="153"/>
      <c r="BD16" s="153"/>
      <c r="BE16" s="198"/>
      <c r="BF16" s="198"/>
      <c r="BG16" s="198"/>
      <c r="BH16" s="198"/>
      <c r="BI16" s="198"/>
      <c r="BJ16" s="583" t="s">
        <v>68</v>
      </c>
      <c r="BK16" s="489"/>
      <c r="BL16" s="489"/>
      <c r="BM16" s="489"/>
      <c r="BN16" s="490"/>
      <c r="BO16" s="583" t="s">
        <v>71</v>
      </c>
      <c r="BP16" s="489"/>
      <c r="BQ16" s="489"/>
      <c r="BR16" s="489"/>
      <c r="BS16" s="489"/>
      <c r="BT16" s="148"/>
      <c r="BU16" s="148"/>
      <c r="BV16" s="153"/>
      <c r="BW16" s="153"/>
      <c r="BX16" s="153"/>
      <c r="BY16" s="198"/>
      <c r="BZ16" s="198"/>
      <c r="CA16" s="198"/>
      <c r="CB16" s="198"/>
      <c r="CC16" s="321"/>
    </row>
    <row r="17" spans="1:81" ht="9.75" customHeight="1" thickBot="1" x14ac:dyDescent="0.2">
      <c r="A17" s="3">
        <v>13</v>
      </c>
      <c r="B17" s="604" t="s">
        <v>425</v>
      </c>
      <c r="C17" s="605"/>
      <c r="D17" s="605"/>
      <c r="E17" s="605"/>
      <c r="F17" s="798"/>
      <c r="G17" s="442"/>
      <c r="H17" s="443"/>
      <c r="I17" s="443"/>
      <c r="J17" s="443"/>
      <c r="K17" s="1178"/>
      <c r="L17" s="442"/>
      <c r="M17" s="443"/>
      <c r="N17" s="443"/>
      <c r="O17" s="443"/>
      <c r="P17" s="1178"/>
      <c r="Q17" s="442"/>
      <c r="R17" s="443"/>
      <c r="S17" s="443"/>
      <c r="T17" s="443"/>
      <c r="U17" s="444"/>
      <c r="V17" s="1220"/>
      <c r="W17" s="1221"/>
      <c r="X17" s="1221"/>
      <c r="Y17" s="1221"/>
      <c r="Z17" s="1222"/>
      <c r="AA17" s="1223"/>
      <c r="AB17" s="1221"/>
      <c r="AC17" s="1221"/>
      <c r="AD17" s="1221"/>
      <c r="AE17" s="1221"/>
      <c r="AF17" s="1224" t="s">
        <v>408</v>
      </c>
      <c r="AG17" s="1225"/>
      <c r="AH17" s="1225"/>
      <c r="AI17" s="1225"/>
      <c r="AJ17" s="1226"/>
      <c r="AK17" s="1224" t="s">
        <v>409</v>
      </c>
      <c r="AL17" s="1225"/>
      <c r="AM17" s="1225"/>
      <c r="AN17" s="1225"/>
      <c r="AO17" s="1226"/>
      <c r="AP17" s="1223"/>
      <c r="AQ17" s="1221"/>
      <c r="AR17" s="1221"/>
      <c r="AS17" s="1221"/>
      <c r="AT17" s="1222"/>
      <c r="AU17" s="1223"/>
      <c r="AV17" s="1221"/>
      <c r="AW17" s="1221"/>
      <c r="AX17" s="1221"/>
      <c r="AY17" s="1221"/>
      <c r="AZ17" s="1224" t="s">
        <v>408</v>
      </c>
      <c r="BA17" s="1225"/>
      <c r="BB17" s="1225"/>
      <c r="BC17" s="1225"/>
      <c r="BD17" s="1226"/>
      <c r="BE17" s="1224" t="s">
        <v>409</v>
      </c>
      <c r="BF17" s="1225"/>
      <c r="BG17" s="1225"/>
      <c r="BH17" s="1225"/>
      <c r="BI17" s="1225"/>
      <c r="BJ17" s="1223"/>
      <c r="BK17" s="1221"/>
      <c r="BL17" s="1221"/>
      <c r="BM17" s="1221"/>
      <c r="BN17" s="1222"/>
      <c r="BO17" s="1223"/>
      <c r="BP17" s="1221"/>
      <c r="BQ17" s="1221"/>
      <c r="BR17" s="1221"/>
      <c r="BS17" s="1221"/>
      <c r="BT17" s="1224" t="s">
        <v>408</v>
      </c>
      <c r="BU17" s="1225"/>
      <c r="BV17" s="1225"/>
      <c r="BW17" s="1225"/>
      <c r="BX17" s="1226"/>
      <c r="BY17" s="1224" t="s">
        <v>409</v>
      </c>
      <c r="BZ17" s="1225"/>
      <c r="CA17" s="1225"/>
      <c r="CB17" s="1225"/>
      <c r="CC17" s="1227"/>
    </row>
    <row r="18" spans="1:81" ht="9.75" customHeight="1" x14ac:dyDescent="0.15">
      <c r="A18" s="3">
        <v>14</v>
      </c>
      <c r="B18" s="152"/>
      <c r="C18" s="419" t="s">
        <v>77</v>
      </c>
      <c r="D18" s="420"/>
      <c r="E18" s="420"/>
      <c r="F18" s="421"/>
      <c r="G18" s="445"/>
      <c r="H18" s="446"/>
      <c r="I18" s="446"/>
      <c r="J18" s="446"/>
      <c r="K18" s="1173"/>
      <c r="L18" s="448"/>
      <c r="M18" s="449"/>
      <c r="N18" s="449"/>
      <c r="O18" s="449"/>
      <c r="P18" s="1150"/>
      <c r="Q18" s="448"/>
      <c r="R18" s="449"/>
      <c r="S18" s="449"/>
      <c r="T18" s="449"/>
      <c r="U18" s="450"/>
      <c r="V18" s="604" t="s">
        <v>414</v>
      </c>
      <c r="W18" s="605"/>
      <c r="X18" s="605"/>
      <c r="Y18" s="605"/>
      <c r="Z18" s="605"/>
      <c r="AA18" s="1199"/>
      <c r="AB18" s="1200"/>
      <c r="AC18" s="1200"/>
      <c r="AD18" s="1200"/>
      <c r="AE18" s="1201"/>
      <c r="AF18" s="1199"/>
      <c r="AG18" s="1200"/>
      <c r="AH18" s="1200"/>
      <c r="AI18" s="1200"/>
      <c r="AJ18" s="1201"/>
      <c r="AK18" s="1199"/>
      <c r="AL18" s="1200"/>
      <c r="AM18" s="1200"/>
      <c r="AN18" s="1200"/>
      <c r="AO18" s="1201"/>
      <c r="AP18" s="605" t="s">
        <v>430</v>
      </c>
      <c r="AQ18" s="605"/>
      <c r="AR18" s="605"/>
      <c r="AS18" s="605"/>
      <c r="AT18" s="605"/>
      <c r="AU18" s="1199"/>
      <c r="AV18" s="1200"/>
      <c r="AW18" s="1200"/>
      <c r="AX18" s="1200"/>
      <c r="AY18" s="1201"/>
      <c r="AZ18" s="1199"/>
      <c r="BA18" s="1200"/>
      <c r="BB18" s="1200"/>
      <c r="BC18" s="1200"/>
      <c r="BD18" s="1201"/>
      <c r="BE18" s="1199"/>
      <c r="BF18" s="1200"/>
      <c r="BG18" s="1200"/>
      <c r="BH18" s="1200"/>
      <c r="BI18" s="1201"/>
      <c r="BJ18" s="1210" t="s">
        <v>438</v>
      </c>
      <c r="BK18" s="1210"/>
      <c r="BL18" s="1210"/>
      <c r="BM18" s="1210"/>
      <c r="BN18" s="1228"/>
      <c r="BO18" s="1199"/>
      <c r="BP18" s="1200"/>
      <c r="BQ18" s="1200"/>
      <c r="BR18" s="1200"/>
      <c r="BS18" s="1201"/>
      <c r="BT18" s="1199"/>
      <c r="BU18" s="1200"/>
      <c r="BV18" s="1200"/>
      <c r="BW18" s="1200"/>
      <c r="BX18" s="1201"/>
      <c r="BY18" s="1199"/>
      <c r="BZ18" s="1200"/>
      <c r="CA18" s="1200"/>
      <c r="CB18" s="1200"/>
      <c r="CC18" s="1229"/>
    </row>
    <row r="19" spans="1:81" ht="9.75" customHeight="1" x14ac:dyDescent="0.15">
      <c r="A19" s="3">
        <v>15</v>
      </c>
      <c r="B19" s="152"/>
      <c r="C19" s="500" t="s">
        <v>83</v>
      </c>
      <c r="D19" s="501"/>
      <c r="E19" s="501"/>
      <c r="F19" s="502"/>
      <c r="G19" s="445"/>
      <c r="H19" s="446"/>
      <c r="I19" s="446"/>
      <c r="J19" s="446"/>
      <c r="K19" s="1173"/>
      <c r="L19" s="445"/>
      <c r="M19" s="446"/>
      <c r="N19" s="446"/>
      <c r="O19" s="446"/>
      <c r="P19" s="1173"/>
      <c r="Q19" s="445"/>
      <c r="R19" s="446"/>
      <c r="S19" s="446"/>
      <c r="T19" s="446"/>
      <c r="U19" s="447"/>
      <c r="V19" s="152"/>
      <c r="W19" s="500" t="s">
        <v>77</v>
      </c>
      <c r="X19" s="420"/>
      <c r="Y19" s="420"/>
      <c r="Z19" s="421"/>
      <c r="AA19" s="445"/>
      <c r="AB19" s="446"/>
      <c r="AC19" s="446"/>
      <c r="AD19" s="446"/>
      <c r="AE19" s="1173"/>
      <c r="AF19" s="448"/>
      <c r="AG19" s="449"/>
      <c r="AH19" s="449"/>
      <c r="AI19" s="449"/>
      <c r="AJ19" s="1150"/>
      <c r="AK19" s="448"/>
      <c r="AL19" s="449"/>
      <c r="AM19" s="449"/>
      <c r="AN19" s="449"/>
      <c r="AO19" s="1150"/>
      <c r="AP19" s="301"/>
      <c r="AQ19" s="500" t="s">
        <v>77</v>
      </c>
      <c r="AR19" s="420"/>
      <c r="AS19" s="420"/>
      <c r="AT19" s="421"/>
      <c r="AU19" s="445"/>
      <c r="AV19" s="446"/>
      <c r="AW19" s="446"/>
      <c r="AX19" s="446"/>
      <c r="AY19" s="1173"/>
      <c r="AZ19" s="448"/>
      <c r="BA19" s="449"/>
      <c r="BB19" s="449"/>
      <c r="BC19" s="449"/>
      <c r="BD19" s="1150"/>
      <c r="BE19" s="448"/>
      <c r="BF19" s="449"/>
      <c r="BG19" s="449"/>
      <c r="BH19" s="449"/>
      <c r="BI19" s="1150"/>
      <c r="BJ19" s="301"/>
      <c r="BK19" s="595" t="s">
        <v>77</v>
      </c>
      <c r="BL19" s="796"/>
      <c r="BM19" s="796"/>
      <c r="BN19" s="797"/>
      <c r="BO19" s="445"/>
      <c r="BP19" s="446"/>
      <c r="BQ19" s="446"/>
      <c r="BR19" s="446"/>
      <c r="BS19" s="1173"/>
      <c r="BT19" s="448"/>
      <c r="BU19" s="449"/>
      <c r="BV19" s="449"/>
      <c r="BW19" s="449"/>
      <c r="BX19" s="1150"/>
      <c r="BY19" s="448"/>
      <c r="BZ19" s="449"/>
      <c r="CA19" s="449"/>
      <c r="CB19" s="449"/>
      <c r="CC19" s="450"/>
    </row>
    <row r="20" spans="1:81" ht="9.75" customHeight="1" x14ac:dyDescent="0.15">
      <c r="A20" s="3">
        <v>16</v>
      </c>
      <c r="B20" s="152"/>
      <c r="C20" s="155"/>
      <c r="D20" s="323"/>
      <c r="E20" s="419" t="s">
        <v>93</v>
      </c>
      <c r="F20" s="421"/>
      <c r="G20" s="445"/>
      <c r="H20" s="446"/>
      <c r="I20" s="446"/>
      <c r="J20" s="446"/>
      <c r="K20" s="1173"/>
      <c r="L20" s="448"/>
      <c r="M20" s="449"/>
      <c r="N20" s="449"/>
      <c r="O20" s="449"/>
      <c r="P20" s="1150"/>
      <c r="Q20" s="448"/>
      <c r="R20" s="449"/>
      <c r="S20" s="449"/>
      <c r="T20" s="449"/>
      <c r="U20" s="450"/>
      <c r="V20" s="152"/>
      <c r="W20" s="500" t="s">
        <v>83</v>
      </c>
      <c r="X20" s="501"/>
      <c r="Y20" s="501"/>
      <c r="Z20" s="502"/>
      <c r="AA20" s="445"/>
      <c r="AB20" s="446"/>
      <c r="AC20" s="446"/>
      <c r="AD20" s="446"/>
      <c r="AE20" s="1173"/>
      <c r="AF20" s="445"/>
      <c r="AG20" s="446"/>
      <c r="AH20" s="446"/>
      <c r="AI20" s="446"/>
      <c r="AJ20" s="1173"/>
      <c r="AK20" s="445"/>
      <c r="AL20" s="446"/>
      <c r="AM20" s="446"/>
      <c r="AN20" s="446"/>
      <c r="AO20" s="1173"/>
      <c r="AP20" s="301"/>
      <c r="AQ20" s="500" t="s">
        <v>83</v>
      </c>
      <c r="AR20" s="501"/>
      <c r="AS20" s="501"/>
      <c r="AT20" s="502"/>
      <c r="AU20" s="445"/>
      <c r="AV20" s="446"/>
      <c r="AW20" s="446"/>
      <c r="AX20" s="446"/>
      <c r="AY20" s="1173"/>
      <c r="AZ20" s="445"/>
      <c r="BA20" s="446"/>
      <c r="BB20" s="446"/>
      <c r="BC20" s="446"/>
      <c r="BD20" s="1173"/>
      <c r="BE20" s="445"/>
      <c r="BF20" s="446"/>
      <c r="BG20" s="446"/>
      <c r="BH20" s="446"/>
      <c r="BI20" s="1173"/>
      <c r="BJ20" s="301"/>
      <c r="BK20" s="500" t="s">
        <v>83</v>
      </c>
      <c r="BL20" s="501"/>
      <c r="BM20" s="501"/>
      <c r="BN20" s="502"/>
      <c r="BO20" s="445"/>
      <c r="BP20" s="446"/>
      <c r="BQ20" s="446"/>
      <c r="BR20" s="446"/>
      <c r="BS20" s="1173"/>
      <c r="BT20" s="445"/>
      <c r="BU20" s="446"/>
      <c r="BV20" s="446"/>
      <c r="BW20" s="446"/>
      <c r="BX20" s="1173"/>
      <c r="BY20" s="445"/>
      <c r="BZ20" s="446"/>
      <c r="CA20" s="446"/>
      <c r="CB20" s="446"/>
      <c r="CC20" s="447"/>
    </row>
    <row r="21" spans="1:81" ht="9.75" customHeight="1" x14ac:dyDescent="0.15">
      <c r="A21" s="3">
        <v>17</v>
      </c>
      <c r="B21" s="152"/>
      <c r="C21" s="8"/>
      <c r="D21" s="58"/>
      <c r="E21" s="795" t="s">
        <v>98</v>
      </c>
      <c r="F21" s="797"/>
      <c r="G21" s="445"/>
      <c r="H21" s="446"/>
      <c r="I21" s="446"/>
      <c r="J21" s="446"/>
      <c r="K21" s="1173"/>
      <c r="L21" s="448"/>
      <c r="M21" s="449"/>
      <c r="N21" s="449"/>
      <c r="O21" s="449"/>
      <c r="P21" s="1150"/>
      <c r="Q21" s="448"/>
      <c r="R21" s="449"/>
      <c r="S21" s="449"/>
      <c r="T21" s="449"/>
      <c r="U21" s="450"/>
      <c r="V21" s="152"/>
      <c r="W21" s="155"/>
      <c r="X21" s="323"/>
      <c r="Y21" s="419" t="s">
        <v>93</v>
      </c>
      <c r="Z21" s="421"/>
      <c r="AA21" s="445"/>
      <c r="AB21" s="446"/>
      <c r="AC21" s="446"/>
      <c r="AD21" s="446"/>
      <c r="AE21" s="1173"/>
      <c r="AF21" s="448"/>
      <c r="AG21" s="449"/>
      <c r="AH21" s="449"/>
      <c r="AI21" s="449"/>
      <c r="AJ21" s="1150"/>
      <c r="AK21" s="448"/>
      <c r="AL21" s="449"/>
      <c r="AM21" s="449"/>
      <c r="AN21" s="449"/>
      <c r="AO21" s="1150"/>
      <c r="AP21" s="301"/>
      <c r="AQ21" s="155"/>
      <c r="AR21" s="323"/>
      <c r="AS21" s="419" t="s">
        <v>93</v>
      </c>
      <c r="AT21" s="421"/>
      <c r="AU21" s="445"/>
      <c r="AV21" s="446"/>
      <c r="AW21" s="446"/>
      <c r="AX21" s="446"/>
      <c r="AY21" s="1173"/>
      <c r="AZ21" s="448"/>
      <c r="BA21" s="449"/>
      <c r="BB21" s="449"/>
      <c r="BC21" s="449"/>
      <c r="BD21" s="1150"/>
      <c r="BE21" s="448"/>
      <c r="BF21" s="449"/>
      <c r="BG21" s="449"/>
      <c r="BH21" s="449"/>
      <c r="BI21" s="1150"/>
      <c r="BJ21" s="301"/>
      <c r="BK21" s="155"/>
      <c r="BL21" s="323"/>
      <c r="BM21" s="419" t="s">
        <v>93</v>
      </c>
      <c r="BN21" s="421"/>
      <c r="BO21" s="445"/>
      <c r="BP21" s="446"/>
      <c r="BQ21" s="446"/>
      <c r="BR21" s="446"/>
      <c r="BS21" s="1173"/>
      <c r="BT21" s="448"/>
      <c r="BU21" s="449"/>
      <c r="BV21" s="449"/>
      <c r="BW21" s="449"/>
      <c r="BX21" s="1150"/>
      <c r="BY21" s="448"/>
      <c r="BZ21" s="449"/>
      <c r="CA21" s="449"/>
      <c r="CB21" s="449"/>
      <c r="CC21" s="450"/>
    </row>
    <row r="22" spans="1:81" ht="9.75" customHeight="1" x14ac:dyDescent="0.15">
      <c r="A22" s="3">
        <v>18</v>
      </c>
      <c r="B22" s="152"/>
      <c r="C22" s="8"/>
      <c r="D22" s="592" t="s">
        <v>88</v>
      </c>
      <c r="E22" s="605"/>
      <c r="F22" s="798"/>
      <c r="G22" s="445"/>
      <c r="H22" s="446"/>
      <c r="I22" s="446"/>
      <c r="J22" s="446"/>
      <c r="K22" s="1173"/>
      <c r="L22" s="445"/>
      <c r="M22" s="446"/>
      <c r="N22" s="446"/>
      <c r="O22" s="446"/>
      <c r="P22" s="1173"/>
      <c r="Q22" s="445"/>
      <c r="R22" s="446"/>
      <c r="S22" s="446"/>
      <c r="T22" s="446"/>
      <c r="U22" s="447"/>
      <c r="V22" s="152"/>
      <c r="W22" s="8"/>
      <c r="X22" s="58"/>
      <c r="Y22" s="795" t="s">
        <v>98</v>
      </c>
      <c r="Z22" s="797"/>
      <c r="AA22" s="445"/>
      <c r="AB22" s="446"/>
      <c r="AC22" s="446"/>
      <c r="AD22" s="446"/>
      <c r="AE22" s="1173"/>
      <c r="AF22" s="448"/>
      <c r="AG22" s="449"/>
      <c r="AH22" s="449"/>
      <c r="AI22" s="449"/>
      <c r="AJ22" s="1150"/>
      <c r="AK22" s="448"/>
      <c r="AL22" s="449"/>
      <c r="AM22" s="449"/>
      <c r="AN22" s="449"/>
      <c r="AO22" s="1150"/>
      <c r="AP22" s="301"/>
      <c r="AQ22" s="8"/>
      <c r="AR22" s="58"/>
      <c r="AS22" s="795" t="s">
        <v>98</v>
      </c>
      <c r="AT22" s="797"/>
      <c r="AU22" s="445"/>
      <c r="AV22" s="446"/>
      <c r="AW22" s="446"/>
      <c r="AX22" s="446"/>
      <c r="AY22" s="1173"/>
      <c r="AZ22" s="448"/>
      <c r="BA22" s="449"/>
      <c r="BB22" s="449"/>
      <c r="BC22" s="449"/>
      <c r="BD22" s="1150"/>
      <c r="BE22" s="448"/>
      <c r="BF22" s="449"/>
      <c r="BG22" s="449"/>
      <c r="BH22" s="449"/>
      <c r="BI22" s="1150"/>
      <c r="BJ22" s="301"/>
      <c r="BK22" s="8"/>
      <c r="BL22" s="58"/>
      <c r="BM22" s="795" t="s">
        <v>98</v>
      </c>
      <c r="BN22" s="797"/>
      <c r="BO22" s="445"/>
      <c r="BP22" s="446"/>
      <c r="BQ22" s="446"/>
      <c r="BR22" s="446"/>
      <c r="BS22" s="1173"/>
      <c r="BT22" s="448"/>
      <c r="BU22" s="449"/>
      <c r="BV22" s="449"/>
      <c r="BW22" s="449"/>
      <c r="BX22" s="1150"/>
      <c r="BY22" s="448"/>
      <c r="BZ22" s="449"/>
      <c r="CA22" s="449"/>
      <c r="CB22" s="449"/>
      <c r="CC22" s="450"/>
    </row>
    <row r="23" spans="1:81" ht="9.75" customHeight="1" x14ac:dyDescent="0.15">
      <c r="A23" s="3">
        <v>19</v>
      </c>
      <c r="B23" s="152"/>
      <c r="C23" s="8"/>
      <c r="D23" s="36"/>
      <c r="E23" s="419" t="s">
        <v>421</v>
      </c>
      <c r="F23" s="421"/>
      <c r="G23" s="445"/>
      <c r="H23" s="446"/>
      <c r="I23" s="446"/>
      <c r="J23" s="446"/>
      <c r="K23" s="1173"/>
      <c r="L23" s="448"/>
      <c r="M23" s="449"/>
      <c r="N23" s="449"/>
      <c r="O23" s="449"/>
      <c r="P23" s="1150"/>
      <c r="Q23" s="448"/>
      <c r="R23" s="449"/>
      <c r="S23" s="449"/>
      <c r="T23" s="449"/>
      <c r="U23" s="450"/>
      <c r="V23" s="152"/>
      <c r="W23" s="8"/>
      <c r="X23" s="592" t="s">
        <v>88</v>
      </c>
      <c r="Y23" s="605"/>
      <c r="Z23" s="798"/>
      <c r="AA23" s="445"/>
      <c r="AB23" s="446"/>
      <c r="AC23" s="446"/>
      <c r="AD23" s="446"/>
      <c r="AE23" s="1173"/>
      <c r="AF23" s="445"/>
      <c r="AG23" s="446"/>
      <c r="AH23" s="446"/>
      <c r="AI23" s="446"/>
      <c r="AJ23" s="1173"/>
      <c r="AK23" s="445"/>
      <c r="AL23" s="446"/>
      <c r="AM23" s="446"/>
      <c r="AN23" s="446"/>
      <c r="AO23" s="1173"/>
      <c r="AP23" s="301"/>
      <c r="AQ23" s="8"/>
      <c r="AR23" s="592" t="s">
        <v>88</v>
      </c>
      <c r="AS23" s="605"/>
      <c r="AT23" s="798"/>
      <c r="AU23" s="445"/>
      <c r="AV23" s="446"/>
      <c r="AW23" s="446"/>
      <c r="AX23" s="446"/>
      <c r="AY23" s="1173"/>
      <c r="AZ23" s="445"/>
      <c r="BA23" s="446"/>
      <c r="BB23" s="446"/>
      <c r="BC23" s="446"/>
      <c r="BD23" s="1173"/>
      <c r="BE23" s="445"/>
      <c r="BF23" s="446"/>
      <c r="BG23" s="446"/>
      <c r="BH23" s="446"/>
      <c r="BI23" s="1173"/>
      <c r="BJ23" s="301"/>
      <c r="BK23" s="8"/>
      <c r="BL23" s="592" t="s">
        <v>88</v>
      </c>
      <c r="BM23" s="605"/>
      <c r="BN23" s="798"/>
      <c r="BO23" s="445"/>
      <c r="BP23" s="446"/>
      <c r="BQ23" s="446"/>
      <c r="BR23" s="446"/>
      <c r="BS23" s="1173"/>
      <c r="BT23" s="445"/>
      <c r="BU23" s="446"/>
      <c r="BV23" s="446"/>
      <c r="BW23" s="446"/>
      <c r="BX23" s="1173"/>
      <c r="BY23" s="445"/>
      <c r="BZ23" s="446"/>
      <c r="CA23" s="446"/>
      <c r="CB23" s="446"/>
      <c r="CC23" s="447"/>
    </row>
    <row r="24" spans="1:81" ht="9.75" customHeight="1" thickBot="1" x14ac:dyDescent="0.2">
      <c r="A24" s="3">
        <v>20</v>
      </c>
      <c r="B24" s="152"/>
      <c r="C24" s="11"/>
      <c r="D24" s="625" t="s">
        <v>102</v>
      </c>
      <c r="E24" s="626"/>
      <c r="F24" s="627"/>
      <c r="G24" s="1193"/>
      <c r="H24" s="1194"/>
      <c r="I24" s="1194"/>
      <c r="J24" s="1194"/>
      <c r="K24" s="1195"/>
      <c r="L24" s="1189"/>
      <c r="M24" s="1190"/>
      <c r="N24" s="1190"/>
      <c r="O24" s="1190"/>
      <c r="P24" s="1192"/>
      <c r="Q24" s="1189"/>
      <c r="R24" s="1190"/>
      <c r="S24" s="1190"/>
      <c r="T24" s="1190"/>
      <c r="U24" s="1191"/>
      <c r="V24" s="152"/>
      <c r="W24" s="8"/>
      <c r="X24" s="36"/>
      <c r="Y24" s="419" t="s">
        <v>421</v>
      </c>
      <c r="Z24" s="421"/>
      <c r="AA24" s="445"/>
      <c r="AB24" s="446"/>
      <c r="AC24" s="446"/>
      <c r="AD24" s="446"/>
      <c r="AE24" s="1173"/>
      <c r="AF24" s="448"/>
      <c r="AG24" s="449"/>
      <c r="AH24" s="449"/>
      <c r="AI24" s="449"/>
      <c r="AJ24" s="1150"/>
      <c r="AK24" s="448"/>
      <c r="AL24" s="449"/>
      <c r="AM24" s="449"/>
      <c r="AN24" s="449"/>
      <c r="AO24" s="1150"/>
      <c r="AP24" s="301"/>
      <c r="AQ24" s="8"/>
      <c r="AR24" s="36"/>
      <c r="AS24" s="419" t="s">
        <v>421</v>
      </c>
      <c r="AT24" s="421"/>
      <c r="AU24" s="445"/>
      <c r="AV24" s="446"/>
      <c r="AW24" s="446"/>
      <c r="AX24" s="446"/>
      <c r="AY24" s="1173"/>
      <c r="AZ24" s="448"/>
      <c r="BA24" s="449"/>
      <c r="BB24" s="449"/>
      <c r="BC24" s="449"/>
      <c r="BD24" s="1150"/>
      <c r="BE24" s="448"/>
      <c r="BF24" s="449"/>
      <c r="BG24" s="449"/>
      <c r="BH24" s="449"/>
      <c r="BI24" s="1150"/>
      <c r="BJ24" s="301"/>
      <c r="BK24" s="8"/>
      <c r="BL24" s="36"/>
      <c r="BM24" s="795" t="s">
        <v>421</v>
      </c>
      <c r="BN24" s="797"/>
      <c r="BO24" s="445"/>
      <c r="BP24" s="446"/>
      <c r="BQ24" s="446"/>
      <c r="BR24" s="446"/>
      <c r="BS24" s="1173"/>
      <c r="BT24" s="448"/>
      <c r="BU24" s="449"/>
      <c r="BV24" s="449"/>
      <c r="BW24" s="449"/>
      <c r="BX24" s="1150"/>
      <c r="BY24" s="448"/>
      <c r="BZ24" s="449"/>
      <c r="CA24" s="449"/>
      <c r="CB24" s="449"/>
      <c r="CC24" s="450"/>
    </row>
    <row r="25" spans="1:81" ht="9.75" customHeight="1" thickTop="1" thickBot="1" x14ac:dyDescent="0.2">
      <c r="A25" s="3">
        <v>21</v>
      </c>
      <c r="B25" s="1217" t="s">
        <v>424</v>
      </c>
      <c r="C25" s="1218"/>
      <c r="D25" s="1218"/>
      <c r="E25" s="1218"/>
      <c r="F25" s="1218"/>
      <c r="G25" s="1196"/>
      <c r="H25" s="1197"/>
      <c r="I25" s="1197"/>
      <c r="J25" s="1197"/>
      <c r="K25" s="1198"/>
      <c r="L25" s="1185"/>
      <c r="M25" s="1186"/>
      <c r="N25" s="1186"/>
      <c r="O25" s="1186"/>
      <c r="P25" s="1188"/>
      <c r="Q25" s="1185"/>
      <c r="R25" s="1186"/>
      <c r="S25" s="1186"/>
      <c r="T25" s="1186"/>
      <c r="U25" s="1187"/>
      <c r="V25" s="152"/>
      <c r="W25" s="8"/>
      <c r="X25" s="500" t="s">
        <v>102</v>
      </c>
      <c r="Y25" s="501"/>
      <c r="Z25" s="502"/>
      <c r="AA25" s="1193"/>
      <c r="AB25" s="1194"/>
      <c r="AC25" s="1194"/>
      <c r="AD25" s="1194"/>
      <c r="AE25" s="1195"/>
      <c r="AF25" s="1189"/>
      <c r="AG25" s="1190"/>
      <c r="AH25" s="1190"/>
      <c r="AI25" s="1190"/>
      <c r="AJ25" s="1192"/>
      <c r="AK25" s="1189"/>
      <c r="AL25" s="1190"/>
      <c r="AM25" s="1190"/>
      <c r="AN25" s="1190"/>
      <c r="AO25" s="1192"/>
      <c r="AP25" s="301"/>
      <c r="AQ25" s="8"/>
      <c r="AR25" s="500" t="s">
        <v>102</v>
      </c>
      <c r="AS25" s="501"/>
      <c r="AT25" s="502"/>
      <c r="AU25" s="1193"/>
      <c r="AV25" s="1194"/>
      <c r="AW25" s="1194"/>
      <c r="AX25" s="1194"/>
      <c r="AY25" s="1195"/>
      <c r="AZ25" s="1189"/>
      <c r="BA25" s="1190"/>
      <c r="BB25" s="1190"/>
      <c r="BC25" s="1190"/>
      <c r="BD25" s="1192"/>
      <c r="BE25" s="1189"/>
      <c r="BF25" s="1190"/>
      <c r="BG25" s="1190"/>
      <c r="BH25" s="1190"/>
      <c r="BI25" s="1192"/>
      <c r="BJ25" s="301"/>
      <c r="BK25" s="8"/>
      <c r="BL25" s="500" t="s">
        <v>102</v>
      </c>
      <c r="BM25" s="501"/>
      <c r="BN25" s="502"/>
      <c r="BO25" s="1193"/>
      <c r="BP25" s="1194"/>
      <c r="BQ25" s="1194"/>
      <c r="BR25" s="1194"/>
      <c r="BS25" s="1195"/>
      <c r="BT25" s="1189"/>
      <c r="BU25" s="1190"/>
      <c r="BV25" s="1190"/>
      <c r="BW25" s="1190"/>
      <c r="BX25" s="1192"/>
      <c r="BY25" s="1189"/>
      <c r="BZ25" s="1190"/>
      <c r="CA25" s="1190"/>
      <c r="CB25" s="1190"/>
      <c r="CC25" s="1191"/>
    </row>
    <row r="26" spans="1:81" ht="9.75" customHeight="1" thickTop="1" thickBot="1" x14ac:dyDescent="0.2">
      <c r="A26" s="3">
        <v>22</v>
      </c>
      <c r="B26" s="1219" t="s">
        <v>407</v>
      </c>
      <c r="C26" s="612"/>
      <c r="D26" s="612"/>
      <c r="E26" s="612"/>
      <c r="F26" s="612"/>
      <c r="G26" s="463"/>
      <c r="H26" s="464"/>
      <c r="I26" s="464"/>
      <c r="J26" s="464"/>
      <c r="K26" s="1174"/>
      <c r="L26" s="451"/>
      <c r="M26" s="452"/>
      <c r="N26" s="452"/>
      <c r="O26" s="452"/>
      <c r="P26" s="1163"/>
      <c r="Q26" s="451"/>
      <c r="R26" s="452"/>
      <c r="S26" s="452"/>
      <c r="T26" s="452"/>
      <c r="U26" s="453"/>
      <c r="V26" s="1217" t="s">
        <v>424</v>
      </c>
      <c r="W26" s="1218"/>
      <c r="X26" s="1218"/>
      <c r="Y26" s="1218"/>
      <c r="Z26" s="1218"/>
      <c r="AA26" s="1196"/>
      <c r="AB26" s="1197"/>
      <c r="AC26" s="1197"/>
      <c r="AD26" s="1197"/>
      <c r="AE26" s="1198"/>
      <c r="AF26" s="1185"/>
      <c r="AG26" s="1186"/>
      <c r="AH26" s="1186"/>
      <c r="AI26" s="1186"/>
      <c r="AJ26" s="1188"/>
      <c r="AK26" s="1185"/>
      <c r="AL26" s="1186"/>
      <c r="AM26" s="1186"/>
      <c r="AN26" s="1186"/>
      <c r="AO26" s="1188"/>
      <c r="AP26" s="1218" t="s">
        <v>424</v>
      </c>
      <c r="AQ26" s="1218"/>
      <c r="AR26" s="1218"/>
      <c r="AS26" s="1218"/>
      <c r="AT26" s="1218"/>
      <c r="AU26" s="1196"/>
      <c r="AV26" s="1197"/>
      <c r="AW26" s="1197"/>
      <c r="AX26" s="1197"/>
      <c r="AY26" s="1198"/>
      <c r="AZ26" s="1185"/>
      <c r="BA26" s="1186"/>
      <c r="BB26" s="1186"/>
      <c r="BC26" s="1186"/>
      <c r="BD26" s="1188"/>
      <c r="BE26" s="1185"/>
      <c r="BF26" s="1186"/>
      <c r="BG26" s="1186"/>
      <c r="BH26" s="1186"/>
      <c r="BI26" s="1188"/>
      <c r="BJ26" s="1230" t="s">
        <v>470</v>
      </c>
      <c r="BK26" s="1230"/>
      <c r="BL26" s="1230"/>
      <c r="BM26" s="1230"/>
      <c r="BN26" s="1231"/>
      <c r="BO26" s="1196"/>
      <c r="BP26" s="1197"/>
      <c r="BQ26" s="1197"/>
      <c r="BR26" s="1197"/>
      <c r="BS26" s="1198"/>
      <c r="BT26" s="1185"/>
      <c r="BU26" s="1186"/>
      <c r="BV26" s="1186"/>
      <c r="BW26" s="1186"/>
      <c r="BX26" s="1188"/>
      <c r="BY26" s="1185"/>
      <c r="BZ26" s="1186"/>
      <c r="CA26" s="1186"/>
      <c r="CB26" s="1186"/>
      <c r="CC26" s="1187"/>
    </row>
    <row r="27" spans="1:81" ht="9.75" customHeight="1" x14ac:dyDescent="0.15">
      <c r="A27" s="3">
        <v>23</v>
      </c>
      <c r="B27" s="31" t="s">
        <v>434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4"/>
      <c r="R27" s="34"/>
      <c r="S27" s="34"/>
      <c r="T27" s="34"/>
      <c r="U27" s="318"/>
      <c r="V27" s="1025" t="s">
        <v>407</v>
      </c>
      <c r="W27" s="1025"/>
      <c r="X27" s="1025"/>
      <c r="Y27" s="1025"/>
      <c r="Z27" s="1025"/>
      <c r="AA27" s="454"/>
      <c r="AB27" s="455"/>
      <c r="AC27" s="455"/>
      <c r="AD27" s="455"/>
      <c r="AE27" s="1180"/>
      <c r="AF27" s="1151"/>
      <c r="AG27" s="1152"/>
      <c r="AH27" s="1152"/>
      <c r="AI27" s="1152"/>
      <c r="AJ27" s="1179"/>
      <c r="AK27" s="1151"/>
      <c r="AL27" s="1152"/>
      <c r="AM27" s="1152"/>
      <c r="AN27" s="1152"/>
      <c r="AO27" s="1179"/>
      <c r="AP27" s="1025" t="s">
        <v>407</v>
      </c>
      <c r="AQ27" s="1025"/>
      <c r="AR27" s="1025"/>
      <c r="AS27" s="1025"/>
      <c r="AT27" s="1025"/>
      <c r="AU27" s="454"/>
      <c r="AV27" s="455"/>
      <c r="AW27" s="455"/>
      <c r="AX27" s="455"/>
      <c r="AY27" s="1180"/>
      <c r="AZ27" s="1151"/>
      <c r="BA27" s="1152"/>
      <c r="BB27" s="1152"/>
      <c r="BC27" s="1152"/>
      <c r="BD27" s="1179"/>
      <c r="BE27" s="1151"/>
      <c r="BF27" s="1152"/>
      <c r="BG27" s="1152"/>
      <c r="BH27" s="1152"/>
      <c r="BI27" s="1179"/>
      <c r="BJ27" s="1025" t="s">
        <v>407</v>
      </c>
      <c r="BK27" s="1025"/>
      <c r="BL27" s="1025"/>
      <c r="BM27" s="1025"/>
      <c r="BN27" s="1026"/>
      <c r="BO27" s="454"/>
      <c r="BP27" s="455"/>
      <c r="BQ27" s="455"/>
      <c r="BR27" s="455"/>
      <c r="BS27" s="1180"/>
      <c r="BT27" s="1151"/>
      <c r="BU27" s="1152"/>
      <c r="BV27" s="1152"/>
      <c r="BW27" s="1152"/>
      <c r="BX27" s="1179"/>
      <c r="BY27" s="1151"/>
      <c r="BZ27" s="1152"/>
      <c r="CA27" s="1152"/>
      <c r="CB27" s="1152"/>
      <c r="CC27" s="1153"/>
    </row>
    <row r="28" spans="1:81" ht="9.75" customHeight="1" x14ac:dyDescent="0.15">
      <c r="A28" s="3">
        <v>24</v>
      </c>
      <c r="B28" s="580" t="s">
        <v>68</v>
      </c>
      <c r="C28" s="581"/>
      <c r="D28" s="581"/>
      <c r="E28" s="581"/>
      <c r="F28" s="582"/>
      <c r="G28" s="584" t="s">
        <v>71</v>
      </c>
      <c r="H28" s="581"/>
      <c r="I28" s="581"/>
      <c r="J28" s="581"/>
      <c r="K28" s="581"/>
      <c r="L28" s="147"/>
      <c r="M28" s="147"/>
      <c r="N28" s="149"/>
      <c r="O28" s="149"/>
      <c r="P28" s="149"/>
      <c r="Q28" s="38"/>
      <c r="R28" s="38"/>
      <c r="S28" s="38"/>
      <c r="T28" s="38"/>
      <c r="U28" s="328"/>
      <c r="V28" s="605" t="s">
        <v>426</v>
      </c>
      <c r="W28" s="605"/>
      <c r="X28" s="605"/>
      <c r="Y28" s="605"/>
      <c r="Z28" s="605"/>
      <c r="AA28" s="442"/>
      <c r="AB28" s="443"/>
      <c r="AC28" s="443"/>
      <c r="AD28" s="443"/>
      <c r="AE28" s="1178"/>
      <c r="AF28" s="442"/>
      <c r="AG28" s="443"/>
      <c r="AH28" s="443"/>
      <c r="AI28" s="443"/>
      <c r="AJ28" s="1178"/>
      <c r="AK28" s="442"/>
      <c r="AL28" s="443"/>
      <c r="AM28" s="443"/>
      <c r="AN28" s="443"/>
      <c r="AO28" s="1178"/>
      <c r="AP28" s="605" t="s">
        <v>435</v>
      </c>
      <c r="AQ28" s="605"/>
      <c r="AR28" s="605"/>
      <c r="AS28" s="605"/>
      <c r="AT28" s="605"/>
      <c r="AU28" s="442"/>
      <c r="AV28" s="443"/>
      <c r="AW28" s="443"/>
      <c r="AX28" s="443"/>
      <c r="AY28" s="1178"/>
      <c r="AZ28" s="442"/>
      <c r="BA28" s="443"/>
      <c r="BB28" s="443"/>
      <c r="BC28" s="443"/>
      <c r="BD28" s="1178"/>
      <c r="BE28" s="442"/>
      <c r="BF28" s="443"/>
      <c r="BG28" s="443"/>
      <c r="BH28" s="443"/>
      <c r="BI28" s="1178"/>
      <c r="BJ28" s="605" t="s">
        <v>442</v>
      </c>
      <c r="BK28" s="605"/>
      <c r="BL28" s="605"/>
      <c r="BM28" s="605"/>
      <c r="BN28" s="798"/>
      <c r="BO28" s="442"/>
      <c r="BP28" s="443"/>
      <c r="BQ28" s="443"/>
      <c r="BR28" s="443"/>
      <c r="BS28" s="1178"/>
      <c r="BT28" s="442"/>
      <c r="BU28" s="443"/>
      <c r="BV28" s="443"/>
      <c r="BW28" s="443"/>
      <c r="BX28" s="1178"/>
      <c r="BY28" s="442"/>
      <c r="BZ28" s="443"/>
      <c r="CA28" s="443"/>
      <c r="CB28" s="443"/>
      <c r="CC28" s="444"/>
    </row>
    <row r="29" spans="1:81" ht="9.75" customHeight="1" x14ac:dyDescent="0.15">
      <c r="A29" s="3">
        <v>25</v>
      </c>
      <c r="B29" s="580"/>
      <c r="C29" s="581"/>
      <c r="D29" s="581"/>
      <c r="E29" s="581"/>
      <c r="F29" s="582"/>
      <c r="G29" s="584"/>
      <c r="H29" s="581"/>
      <c r="I29" s="581"/>
      <c r="J29" s="581"/>
      <c r="K29" s="581"/>
      <c r="L29" s="558" t="s">
        <v>408</v>
      </c>
      <c r="M29" s="521"/>
      <c r="N29" s="521"/>
      <c r="O29" s="521"/>
      <c r="P29" s="522"/>
      <c r="Q29" s="558" t="s">
        <v>409</v>
      </c>
      <c r="R29" s="521"/>
      <c r="S29" s="521"/>
      <c r="T29" s="521"/>
      <c r="U29" s="560"/>
      <c r="V29" s="301"/>
      <c r="W29" s="500" t="s">
        <v>77</v>
      </c>
      <c r="X29" s="420"/>
      <c r="Y29" s="420"/>
      <c r="Z29" s="421"/>
      <c r="AA29" s="445"/>
      <c r="AB29" s="446"/>
      <c r="AC29" s="446"/>
      <c r="AD29" s="446"/>
      <c r="AE29" s="1173"/>
      <c r="AF29" s="448"/>
      <c r="AG29" s="449"/>
      <c r="AH29" s="449"/>
      <c r="AI29" s="449"/>
      <c r="AJ29" s="1150"/>
      <c r="AK29" s="448"/>
      <c r="AL29" s="449"/>
      <c r="AM29" s="449"/>
      <c r="AN29" s="449"/>
      <c r="AO29" s="1150"/>
      <c r="AP29" s="301"/>
      <c r="AQ29" s="500" t="s">
        <v>77</v>
      </c>
      <c r="AR29" s="420"/>
      <c r="AS29" s="420"/>
      <c r="AT29" s="421"/>
      <c r="AU29" s="445"/>
      <c r="AV29" s="446"/>
      <c r="AW29" s="446"/>
      <c r="AX29" s="446"/>
      <c r="AY29" s="1173"/>
      <c r="AZ29" s="448"/>
      <c r="BA29" s="449"/>
      <c r="BB29" s="449"/>
      <c r="BC29" s="449"/>
      <c r="BD29" s="1150"/>
      <c r="BE29" s="448"/>
      <c r="BF29" s="449"/>
      <c r="BG29" s="449"/>
      <c r="BH29" s="449"/>
      <c r="BI29" s="1150"/>
      <c r="BJ29" s="301"/>
      <c r="BK29" s="500" t="s">
        <v>77</v>
      </c>
      <c r="BL29" s="420"/>
      <c r="BM29" s="420"/>
      <c r="BN29" s="421"/>
      <c r="BO29" s="445"/>
      <c r="BP29" s="446"/>
      <c r="BQ29" s="446"/>
      <c r="BR29" s="446"/>
      <c r="BS29" s="1173"/>
      <c r="BT29" s="448"/>
      <c r="BU29" s="449"/>
      <c r="BV29" s="449"/>
      <c r="BW29" s="449"/>
      <c r="BX29" s="1150"/>
      <c r="BY29" s="448"/>
      <c r="BZ29" s="449"/>
      <c r="CA29" s="449"/>
      <c r="CB29" s="449"/>
      <c r="CC29" s="450"/>
    </row>
    <row r="30" spans="1:81" ht="9.75" customHeight="1" x14ac:dyDescent="0.15">
      <c r="A30" s="3">
        <v>26</v>
      </c>
      <c r="B30" s="494" t="s">
        <v>471</v>
      </c>
      <c r="C30" s="640"/>
      <c r="D30" s="640"/>
      <c r="E30" s="640"/>
      <c r="F30" s="640"/>
      <c r="G30" s="442"/>
      <c r="H30" s="443"/>
      <c r="I30" s="443"/>
      <c r="J30" s="443"/>
      <c r="K30" s="1178"/>
      <c r="L30" s="442"/>
      <c r="M30" s="443"/>
      <c r="N30" s="443"/>
      <c r="O30" s="443"/>
      <c r="P30" s="1178"/>
      <c r="Q30" s="442"/>
      <c r="R30" s="443"/>
      <c r="S30" s="443"/>
      <c r="T30" s="443"/>
      <c r="U30" s="444"/>
      <c r="V30" s="301"/>
      <c r="W30" s="500" t="s">
        <v>83</v>
      </c>
      <c r="X30" s="501"/>
      <c r="Y30" s="501"/>
      <c r="Z30" s="502"/>
      <c r="AA30" s="445"/>
      <c r="AB30" s="446"/>
      <c r="AC30" s="446"/>
      <c r="AD30" s="446"/>
      <c r="AE30" s="1173"/>
      <c r="AF30" s="445"/>
      <c r="AG30" s="446"/>
      <c r="AH30" s="446"/>
      <c r="AI30" s="446"/>
      <c r="AJ30" s="1173"/>
      <c r="AK30" s="445"/>
      <c r="AL30" s="446"/>
      <c r="AM30" s="446"/>
      <c r="AN30" s="446"/>
      <c r="AO30" s="1173"/>
      <c r="AP30" s="301"/>
      <c r="AQ30" s="500" t="s">
        <v>83</v>
      </c>
      <c r="AR30" s="501"/>
      <c r="AS30" s="501"/>
      <c r="AT30" s="502"/>
      <c r="AU30" s="445"/>
      <c r="AV30" s="446"/>
      <c r="AW30" s="446"/>
      <c r="AX30" s="446"/>
      <c r="AY30" s="1173"/>
      <c r="AZ30" s="445"/>
      <c r="BA30" s="446"/>
      <c r="BB30" s="446"/>
      <c r="BC30" s="446"/>
      <c r="BD30" s="1173"/>
      <c r="BE30" s="445"/>
      <c r="BF30" s="446"/>
      <c r="BG30" s="446"/>
      <c r="BH30" s="446"/>
      <c r="BI30" s="1173"/>
      <c r="BJ30" s="301"/>
      <c r="BK30" s="500" t="s">
        <v>83</v>
      </c>
      <c r="BL30" s="501"/>
      <c r="BM30" s="501"/>
      <c r="BN30" s="502"/>
      <c r="BO30" s="445"/>
      <c r="BP30" s="446"/>
      <c r="BQ30" s="446"/>
      <c r="BR30" s="446"/>
      <c r="BS30" s="1173"/>
      <c r="BT30" s="445"/>
      <c r="BU30" s="446"/>
      <c r="BV30" s="446"/>
      <c r="BW30" s="446"/>
      <c r="BX30" s="1173"/>
      <c r="BY30" s="445"/>
      <c r="BZ30" s="446"/>
      <c r="CA30" s="446"/>
      <c r="CB30" s="446"/>
      <c r="CC30" s="447"/>
    </row>
    <row r="31" spans="1:81" ht="9.75" customHeight="1" x14ac:dyDescent="0.15">
      <c r="A31" s="3">
        <v>27</v>
      </c>
      <c r="B31" s="39"/>
      <c r="C31" s="40"/>
      <c r="D31" s="419" t="s">
        <v>416</v>
      </c>
      <c r="E31" s="420"/>
      <c r="F31" s="421"/>
      <c r="G31" s="445"/>
      <c r="H31" s="446"/>
      <c r="I31" s="446"/>
      <c r="J31" s="446"/>
      <c r="K31" s="1173"/>
      <c r="L31" s="448"/>
      <c r="M31" s="449"/>
      <c r="N31" s="449"/>
      <c r="O31" s="449"/>
      <c r="P31" s="1150"/>
      <c r="Q31" s="448"/>
      <c r="R31" s="449"/>
      <c r="S31" s="449"/>
      <c r="T31" s="449"/>
      <c r="U31" s="450"/>
      <c r="V31" s="301"/>
      <c r="W31" s="155"/>
      <c r="X31" s="323"/>
      <c r="Y31" s="419" t="s">
        <v>93</v>
      </c>
      <c r="Z31" s="421"/>
      <c r="AA31" s="445"/>
      <c r="AB31" s="446"/>
      <c r="AC31" s="446"/>
      <c r="AD31" s="446"/>
      <c r="AE31" s="1173"/>
      <c r="AF31" s="448"/>
      <c r="AG31" s="449"/>
      <c r="AH31" s="449"/>
      <c r="AI31" s="449"/>
      <c r="AJ31" s="1150"/>
      <c r="AK31" s="448"/>
      <c r="AL31" s="449"/>
      <c r="AM31" s="449"/>
      <c r="AN31" s="449"/>
      <c r="AO31" s="1150"/>
      <c r="AP31" s="301"/>
      <c r="AQ31" s="155"/>
      <c r="AR31" s="323"/>
      <c r="AS31" s="419" t="s">
        <v>93</v>
      </c>
      <c r="AT31" s="421"/>
      <c r="AU31" s="445"/>
      <c r="AV31" s="446"/>
      <c r="AW31" s="446"/>
      <c r="AX31" s="446"/>
      <c r="AY31" s="1173"/>
      <c r="AZ31" s="448"/>
      <c r="BA31" s="449"/>
      <c r="BB31" s="449"/>
      <c r="BC31" s="449"/>
      <c r="BD31" s="1150"/>
      <c r="BE31" s="448"/>
      <c r="BF31" s="449"/>
      <c r="BG31" s="449"/>
      <c r="BH31" s="449"/>
      <c r="BI31" s="1150"/>
      <c r="BJ31" s="301"/>
      <c r="BK31" s="155"/>
      <c r="BL31" s="323"/>
      <c r="BM31" s="419" t="s">
        <v>93</v>
      </c>
      <c r="BN31" s="421"/>
      <c r="BO31" s="445"/>
      <c r="BP31" s="446"/>
      <c r="BQ31" s="446"/>
      <c r="BR31" s="446"/>
      <c r="BS31" s="1173"/>
      <c r="BT31" s="448"/>
      <c r="BU31" s="449"/>
      <c r="BV31" s="449"/>
      <c r="BW31" s="449"/>
      <c r="BX31" s="1150"/>
      <c r="BY31" s="448"/>
      <c r="BZ31" s="449"/>
      <c r="CA31" s="449"/>
      <c r="CB31" s="449"/>
      <c r="CC31" s="450"/>
    </row>
    <row r="32" spans="1:81" ht="9.75" customHeight="1" x14ac:dyDescent="0.15">
      <c r="A32" s="3">
        <v>28</v>
      </c>
      <c r="B32" s="39"/>
      <c r="C32" s="40"/>
      <c r="D32" s="419" t="s">
        <v>417</v>
      </c>
      <c r="E32" s="420"/>
      <c r="F32" s="421"/>
      <c r="G32" s="445"/>
      <c r="H32" s="446"/>
      <c r="I32" s="446"/>
      <c r="J32" s="446"/>
      <c r="K32" s="1173"/>
      <c r="L32" s="448"/>
      <c r="M32" s="449"/>
      <c r="N32" s="449"/>
      <c r="O32" s="449"/>
      <c r="P32" s="1150"/>
      <c r="Q32" s="448"/>
      <c r="R32" s="449"/>
      <c r="S32" s="449"/>
      <c r="T32" s="449"/>
      <c r="U32" s="450"/>
      <c r="V32" s="301"/>
      <c r="W32" s="8"/>
      <c r="X32" s="58"/>
      <c r="Y32" s="795" t="s">
        <v>98</v>
      </c>
      <c r="Z32" s="797"/>
      <c r="AA32" s="445"/>
      <c r="AB32" s="446"/>
      <c r="AC32" s="446"/>
      <c r="AD32" s="446"/>
      <c r="AE32" s="1173"/>
      <c r="AF32" s="448"/>
      <c r="AG32" s="449"/>
      <c r="AH32" s="449"/>
      <c r="AI32" s="449"/>
      <c r="AJ32" s="1150"/>
      <c r="AK32" s="448"/>
      <c r="AL32" s="449"/>
      <c r="AM32" s="449"/>
      <c r="AN32" s="449"/>
      <c r="AO32" s="1150"/>
      <c r="AP32" s="301"/>
      <c r="AQ32" s="8"/>
      <c r="AR32" s="58"/>
      <c r="AS32" s="795" t="s">
        <v>98</v>
      </c>
      <c r="AT32" s="797"/>
      <c r="AU32" s="445"/>
      <c r="AV32" s="446"/>
      <c r="AW32" s="446"/>
      <c r="AX32" s="446"/>
      <c r="AY32" s="1173"/>
      <c r="AZ32" s="448"/>
      <c r="BA32" s="449"/>
      <c r="BB32" s="449"/>
      <c r="BC32" s="449"/>
      <c r="BD32" s="1150"/>
      <c r="BE32" s="448"/>
      <c r="BF32" s="449"/>
      <c r="BG32" s="449"/>
      <c r="BH32" s="449"/>
      <c r="BI32" s="1150"/>
      <c r="BJ32" s="301"/>
      <c r="BK32" s="8"/>
      <c r="BL32" s="58"/>
      <c r="BM32" s="795" t="s">
        <v>98</v>
      </c>
      <c r="BN32" s="797"/>
      <c r="BO32" s="445"/>
      <c r="BP32" s="446"/>
      <c r="BQ32" s="446"/>
      <c r="BR32" s="446"/>
      <c r="BS32" s="1173"/>
      <c r="BT32" s="448"/>
      <c r="BU32" s="449"/>
      <c r="BV32" s="449"/>
      <c r="BW32" s="449"/>
      <c r="BX32" s="1150"/>
      <c r="BY32" s="448"/>
      <c r="BZ32" s="449"/>
      <c r="CA32" s="449"/>
      <c r="CB32" s="449"/>
      <c r="CC32" s="450"/>
    </row>
    <row r="33" spans="1:81" ht="9.75" customHeight="1" x14ac:dyDescent="0.15">
      <c r="A33" s="3">
        <v>29</v>
      </c>
      <c r="B33" s="39"/>
      <c r="C33" s="40"/>
      <c r="D33" s="419" t="s">
        <v>418</v>
      </c>
      <c r="E33" s="420"/>
      <c r="F33" s="421"/>
      <c r="G33" s="445"/>
      <c r="H33" s="446"/>
      <c r="I33" s="446"/>
      <c r="J33" s="446"/>
      <c r="K33" s="1173"/>
      <c r="L33" s="448"/>
      <c r="M33" s="449"/>
      <c r="N33" s="449"/>
      <c r="O33" s="449"/>
      <c r="P33" s="1150"/>
      <c r="Q33" s="448"/>
      <c r="R33" s="449"/>
      <c r="S33" s="449"/>
      <c r="T33" s="449"/>
      <c r="U33" s="450"/>
      <c r="V33" s="301"/>
      <c r="W33" s="8"/>
      <c r="X33" s="592" t="s">
        <v>88</v>
      </c>
      <c r="Y33" s="605"/>
      <c r="Z33" s="798"/>
      <c r="AA33" s="445"/>
      <c r="AB33" s="446"/>
      <c r="AC33" s="446"/>
      <c r="AD33" s="446"/>
      <c r="AE33" s="1173"/>
      <c r="AF33" s="445"/>
      <c r="AG33" s="446"/>
      <c r="AH33" s="446"/>
      <c r="AI33" s="446"/>
      <c r="AJ33" s="1173"/>
      <c r="AK33" s="445"/>
      <c r="AL33" s="446"/>
      <c r="AM33" s="446"/>
      <c r="AN33" s="446"/>
      <c r="AO33" s="1173"/>
      <c r="AP33" s="301"/>
      <c r="AQ33" s="8"/>
      <c r="AR33" s="592" t="s">
        <v>88</v>
      </c>
      <c r="AS33" s="605"/>
      <c r="AT33" s="798"/>
      <c r="AU33" s="445"/>
      <c r="AV33" s="446"/>
      <c r="AW33" s="446"/>
      <c r="AX33" s="446"/>
      <c r="AY33" s="1173"/>
      <c r="AZ33" s="445"/>
      <c r="BA33" s="446"/>
      <c r="BB33" s="446"/>
      <c r="BC33" s="446"/>
      <c r="BD33" s="1173"/>
      <c r="BE33" s="445"/>
      <c r="BF33" s="446"/>
      <c r="BG33" s="446"/>
      <c r="BH33" s="446"/>
      <c r="BI33" s="1173"/>
      <c r="BJ33" s="146"/>
      <c r="BK33" s="8"/>
      <c r="BL33" s="592" t="s">
        <v>88</v>
      </c>
      <c r="BM33" s="605"/>
      <c r="BN33" s="798"/>
      <c r="BO33" s="445"/>
      <c r="BP33" s="446"/>
      <c r="BQ33" s="446"/>
      <c r="BR33" s="446"/>
      <c r="BS33" s="1173"/>
      <c r="BT33" s="445"/>
      <c r="BU33" s="446"/>
      <c r="BV33" s="446"/>
      <c r="BW33" s="446"/>
      <c r="BX33" s="1173"/>
      <c r="BY33" s="445"/>
      <c r="BZ33" s="446"/>
      <c r="CA33" s="446"/>
      <c r="CB33" s="446"/>
      <c r="CC33" s="447"/>
    </row>
    <row r="34" spans="1:81" ht="9.75" customHeight="1" x14ac:dyDescent="0.15">
      <c r="A34" s="3">
        <v>30</v>
      </c>
      <c r="B34" s="39"/>
      <c r="C34" s="40"/>
      <c r="D34" s="419" t="s">
        <v>419</v>
      </c>
      <c r="E34" s="420"/>
      <c r="F34" s="421"/>
      <c r="G34" s="445"/>
      <c r="H34" s="446"/>
      <c r="I34" s="446"/>
      <c r="J34" s="446"/>
      <c r="K34" s="1173"/>
      <c r="L34" s="448"/>
      <c r="M34" s="449"/>
      <c r="N34" s="449"/>
      <c r="O34" s="449"/>
      <c r="P34" s="1150"/>
      <c r="Q34" s="448"/>
      <c r="R34" s="449"/>
      <c r="S34" s="449"/>
      <c r="T34" s="449"/>
      <c r="U34" s="450"/>
      <c r="V34" s="301"/>
      <c r="W34" s="8"/>
      <c r="X34" s="36"/>
      <c r="Y34" s="419" t="s">
        <v>421</v>
      </c>
      <c r="Z34" s="421"/>
      <c r="AA34" s="445"/>
      <c r="AB34" s="446"/>
      <c r="AC34" s="446"/>
      <c r="AD34" s="446"/>
      <c r="AE34" s="1173"/>
      <c r="AF34" s="448"/>
      <c r="AG34" s="449"/>
      <c r="AH34" s="449"/>
      <c r="AI34" s="449"/>
      <c r="AJ34" s="1150"/>
      <c r="AK34" s="448"/>
      <c r="AL34" s="449"/>
      <c r="AM34" s="449"/>
      <c r="AN34" s="449"/>
      <c r="AO34" s="1150"/>
      <c r="AP34" s="301"/>
      <c r="AQ34" s="8"/>
      <c r="AR34" s="36"/>
      <c r="AS34" s="419" t="s">
        <v>421</v>
      </c>
      <c r="AT34" s="421"/>
      <c r="AU34" s="445"/>
      <c r="AV34" s="446"/>
      <c r="AW34" s="446"/>
      <c r="AX34" s="446"/>
      <c r="AY34" s="1173"/>
      <c r="AZ34" s="448"/>
      <c r="BA34" s="449"/>
      <c r="BB34" s="449"/>
      <c r="BC34" s="449"/>
      <c r="BD34" s="1150"/>
      <c r="BE34" s="448"/>
      <c r="BF34" s="449"/>
      <c r="BG34" s="449"/>
      <c r="BH34" s="449"/>
      <c r="BI34" s="1150"/>
      <c r="BJ34" s="146"/>
      <c r="BK34" s="8"/>
      <c r="BL34" s="36"/>
      <c r="BM34" s="795" t="s">
        <v>421</v>
      </c>
      <c r="BN34" s="797"/>
      <c r="BO34" s="445"/>
      <c r="BP34" s="446"/>
      <c r="BQ34" s="446"/>
      <c r="BR34" s="446"/>
      <c r="BS34" s="1173"/>
      <c r="BT34" s="448"/>
      <c r="BU34" s="449"/>
      <c r="BV34" s="449"/>
      <c r="BW34" s="449"/>
      <c r="BX34" s="1150"/>
      <c r="BY34" s="448"/>
      <c r="BZ34" s="449"/>
      <c r="CA34" s="449"/>
      <c r="CB34" s="449"/>
      <c r="CC34" s="450"/>
    </row>
    <row r="35" spans="1:81" ht="9.75" customHeight="1" thickBot="1" x14ac:dyDescent="0.2">
      <c r="A35" s="3">
        <v>31</v>
      </c>
      <c r="B35" s="39"/>
      <c r="C35" s="40"/>
      <c r="D35" s="419" t="s">
        <v>420</v>
      </c>
      <c r="E35" s="420"/>
      <c r="F35" s="421"/>
      <c r="G35" s="445"/>
      <c r="H35" s="446"/>
      <c r="I35" s="446"/>
      <c r="J35" s="446"/>
      <c r="K35" s="1173"/>
      <c r="L35" s="448"/>
      <c r="M35" s="449"/>
      <c r="N35" s="449"/>
      <c r="O35" s="449"/>
      <c r="P35" s="1150"/>
      <c r="Q35" s="448"/>
      <c r="R35" s="449"/>
      <c r="S35" s="449"/>
      <c r="T35" s="449"/>
      <c r="U35" s="450"/>
      <c r="V35" s="301"/>
      <c r="W35" s="8"/>
      <c r="X35" s="500" t="s">
        <v>102</v>
      </c>
      <c r="Y35" s="501"/>
      <c r="Z35" s="502"/>
      <c r="AA35" s="1193"/>
      <c r="AB35" s="1194"/>
      <c r="AC35" s="1194"/>
      <c r="AD35" s="1194"/>
      <c r="AE35" s="1195"/>
      <c r="AF35" s="1189"/>
      <c r="AG35" s="1190"/>
      <c r="AH35" s="1190"/>
      <c r="AI35" s="1190"/>
      <c r="AJ35" s="1192"/>
      <c r="AK35" s="1189"/>
      <c r="AL35" s="1190"/>
      <c r="AM35" s="1190"/>
      <c r="AN35" s="1190"/>
      <c r="AO35" s="1192"/>
      <c r="AP35" s="301"/>
      <c r="AQ35" s="8"/>
      <c r="AR35" s="500" t="s">
        <v>102</v>
      </c>
      <c r="AS35" s="501"/>
      <c r="AT35" s="502"/>
      <c r="AU35" s="1193"/>
      <c r="AV35" s="1194"/>
      <c r="AW35" s="1194"/>
      <c r="AX35" s="1194"/>
      <c r="AY35" s="1195"/>
      <c r="AZ35" s="1189"/>
      <c r="BA35" s="1190"/>
      <c r="BB35" s="1190"/>
      <c r="BC35" s="1190"/>
      <c r="BD35" s="1192"/>
      <c r="BE35" s="1189"/>
      <c r="BF35" s="1190"/>
      <c r="BG35" s="1190"/>
      <c r="BH35" s="1190"/>
      <c r="BI35" s="1192"/>
      <c r="BJ35" s="45"/>
      <c r="BK35" s="12"/>
      <c r="BL35" s="686" t="s">
        <v>102</v>
      </c>
      <c r="BM35" s="687"/>
      <c r="BN35" s="688"/>
      <c r="BO35" s="1193"/>
      <c r="BP35" s="1194"/>
      <c r="BQ35" s="1194"/>
      <c r="BR35" s="1194"/>
      <c r="BS35" s="1195"/>
      <c r="BT35" s="1189"/>
      <c r="BU35" s="1190"/>
      <c r="BV35" s="1190"/>
      <c r="BW35" s="1190"/>
      <c r="BX35" s="1192"/>
      <c r="BY35" s="1189"/>
      <c r="BZ35" s="1190"/>
      <c r="CA35" s="1190"/>
      <c r="CB35" s="1190"/>
      <c r="CC35" s="1191"/>
    </row>
    <row r="36" spans="1:81" ht="9.75" customHeight="1" thickTop="1" x14ac:dyDescent="0.15">
      <c r="A36" s="3">
        <v>32</v>
      </c>
      <c r="B36" s="39"/>
      <c r="C36" s="40"/>
      <c r="D36" s="419" t="s">
        <v>422</v>
      </c>
      <c r="E36" s="420"/>
      <c r="F36" s="421"/>
      <c r="G36" s="445"/>
      <c r="H36" s="446"/>
      <c r="I36" s="446"/>
      <c r="J36" s="446"/>
      <c r="K36" s="1173"/>
      <c r="L36" s="448"/>
      <c r="M36" s="449"/>
      <c r="N36" s="449"/>
      <c r="O36" s="449"/>
      <c r="P36" s="1150"/>
      <c r="Q36" s="448"/>
      <c r="R36" s="449"/>
      <c r="S36" s="449"/>
      <c r="T36" s="449"/>
      <c r="U36" s="450"/>
      <c r="V36" s="1217" t="s">
        <v>424</v>
      </c>
      <c r="W36" s="1218"/>
      <c r="X36" s="1218"/>
      <c r="Y36" s="1218"/>
      <c r="Z36" s="1218"/>
      <c r="AA36" s="1196"/>
      <c r="AB36" s="1197"/>
      <c r="AC36" s="1197"/>
      <c r="AD36" s="1197"/>
      <c r="AE36" s="1198"/>
      <c r="AF36" s="1185"/>
      <c r="AG36" s="1186"/>
      <c r="AH36" s="1186"/>
      <c r="AI36" s="1186"/>
      <c r="AJ36" s="1188"/>
      <c r="AK36" s="1185"/>
      <c r="AL36" s="1186"/>
      <c r="AM36" s="1186"/>
      <c r="AN36" s="1186"/>
      <c r="AO36" s="1188"/>
      <c r="AP36" s="1218" t="s">
        <v>424</v>
      </c>
      <c r="AQ36" s="1218"/>
      <c r="AR36" s="1218"/>
      <c r="AS36" s="1218"/>
      <c r="AT36" s="1218"/>
      <c r="AU36" s="1196"/>
      <c r="AV36" s="1197"/>
      <c r="AW36" s="1197"/>
      <c r="AX36" s="1197"/>
      <c r="AY36" s="1198"/>
      <c r="AZ36" s="1185"/>
      <c r="BA36" s="1186"/>
      <c r="BB36" s="1186"/>
      <c r="BC36" s="1186"/>
      <c r="BD36" s="1188"/>
      <c r="BE36" s="1185"/>
      <c r="BF36" s="1186"/>
      <c r="BG36" s="1186"/>
      <c r="BH36" s="1186"/>
      <c r="BI36" s="1188"/>
      <c r="BJ36" s="1230" t="s">
        <v>470</v>
      </c>
      <c r="BK36" s="1230"/>
      <c r="BL36" s="1230"/>
      <c r="BM36" s="1230"/>
      <c r="BN36" s="1231"/>
      <c r="BO36" s="1196"/>
      <c r="BP36" s="1197"/>
      <c r="BQ36" s="1197"/>
      <c r="BR36" s="1197"/>
      <c r="BS36" s="1198"/>
      <c r="BT36" s="1185"/>
      <c r="BU36" s="1186"/>
      <c r="BV36" s="1186"/>
      <c r="BW36" s="1186"/>
      <c r="BX36" s="1188"/>
      <c r="BY36" s="1185"/>
      <c r="BZ36" s="1186"/>
      <c r="CA36" s="1186"/>
      <c r="CB36" s="1186"/>
      <c r="CC36" s="1187"/>
    </row>
    <row r="37" spans="1:81" ht="9.75" customHeight="1" thickBot="1" x14ac:dyDescent="0.2">
      <c r="A37" s="3">
        <v>33</v>
      </c>
      <c r="B37" s="329"/>
      <c r="C37" s="330"/>
      <c r="D37" s="611" t="s">
        <v>423</v>
      </c>
      <c r="E37" s="612"/>
      <c r="F37" s="613"/>
      <c r="G37" s="454"/>
      <c r="H37" s="455"/>
      <c r="I37" s="455"/>
      <c r="J37" s="455"/>
      <c r="K37" s="1180"/>
      <c r="L37" s="1151"/>
      <c r="M37" s="1152"/>
      <c r="N37" s="1152"/>
      <c r="O37" s="1152"/>
      <c r="P37" s="1179"/>
      <c r="Q37" s="1151"/>
      <c r="R37" s="1152"/>
      <c r="S37" s="1152"/>
      <c r="T37" s="1152"/>
      <c r="U37" s="1153"/>
      <c r="V37" s="1233" t="s">
        <v>407</v>
      </c>
      <c r="W37" s="1233"/>
      <c r="X37" s="1233"/>
      <c r="Y37" s="1233"/>
      <c r="Z37" s="1233"/>
      <c r="AA37" s="463"/>
      <c r="AB37" s="464"/>
      <c r="AC37" s="464"/>
      <c r="AD37" s="464"/>
      <c r="AE37" s="1174"/>
      <c r="AF37" s="451"/>
      <c r="AG37" s="452"/>
      <c r="AH37" s="452"/>
      <c r="AI37" s="452"/>
      <c r="AJ37" s="1163"/>
      <c r="AK37" s="451"/>
      <c r="AL37" s="452"/>
      <c r="AM37" s="452"/>
      <c r="AN37" s="452"/>
      <c r="AO37" s="1163"/>
      <c r="AP37" s="1233" t="s">
        <v>407</v>
      </c>
      <c r="AQ37" s="1233"/>
      <c r="AR37" s="1233"/>
      <c r="AS37" s="1233"/>
      <c r="AT37" s="1233"/>
      <c r="AU37" s="463"/>
      <c r="AV37" s="464"/>
      <c r="AW37" s="464"/>
      <c r="AX37" s="464"/>
      <c r="AY37" s="1174"/>
      <c r="AZ37" s="451"/>
      <c r="BA37" s="452"/>
      <c r="BB37" s="452"/>
      <c r="BC37" s="452"/>
      <c r="BD37" s="1163"/>
      <c r="BE37" s="451"/>
      <c r="BF37" s="452"/>
      <c r="BG37" s="452"/>
      <c r="BH37" s="452"/>
      <c r="BI37" s="1163"/>
      <c r="BJ37" s="1233" t="s">
        <v>407</v>
      </c>
      <c r="BK37" s="1233"/>
      <c r="BL37" s="1233"/>
      <c r="BM37" s="1233"/>
      <c r="BN37" s="1234"/>
      <c r="BO37" s="463"/>
      <c r="BP37" s="464"/>
      <c r="BQ37" s="464"/>
      <c r="BR37" s="464"/>
      <c r="BS37" s="1174"/>
      <c r="BT37" s="451"/>
      <c r="BU37" s="452"/>
      <c r="BV37" s="452"/>
      <c r="BW37" s="452"/>
      <c r="BX37" s="1163"/>
      <c r="BY37" s="451"/>
      <c r="BZ37" s="452"/>
      <c r="CA37" s="452"/>
      <c r="CB37" s="452"/>
      <c r="CC37" s="453"/>
    </row>
    <row r="38" spans="1:81" ht="9.75" customHeight="1" x14ac:dyDescent="0.15">
      <c r="A38" s="3">
        <v>34</v>
      </c>
      <c r="B38" s="604" t="s">
        <v>436</v>
      </c>
      <c r="C38" s="605"/>
      <c r="D38" s="605"/>
      <c r="E38" s="605"/>
      <c r="F38" s="605"/>
      <c r="G38" s="442"/>
      <c r="H38" s="443"/>
      <c r="I38" s="443"/>
      <c r="J38" s="443"/>
      <c r="K38" s="1178"/>
      <c r="L38" s="442"/>
      <c r="M38" s="443"/>
      <c r="N38" s="443"/>
      <c r="O38" s="443"/>
      <c r="P38" s="1178"/>
      <c r="Q38" s="442"/>
      <c r="R38" s="443"/>
      <c r="S38" s="443"/>
      <c r="T38" s="443"/>
      <c r="U38" s="444"/>
      <c r="V38" s="331" t="s">
        <v>406</v>
      </c>
      <c r="W38" s="38"/>
      <c r="X38" s="38"/>
      <c r="Y38" s="38"/>
      <c r="Z38" s="38"/>
      <c r="AA38" s="38"/>
      <c r="AB38" s="38"/>
      <c r="AC38" s="38"/>
      <c r="AD38" s="38"/>
      <c r="AE38" s="38"/>
      <c r="AF38" s="332"/>
      <c r="AG38" s="332"/>
      <c r="AH38" s="332"/>
      <c r="AI38" s="332"/>
      <c r="AJ38" s="332"/>
      <c r="AK38" s="333"/>
      <c r="AL38" s="333"/>
      <c r="AM38" s="333"/>
      <c r="AN38" s="333"/>
      <c r="AO38" s="333"/>
      <c r="AP38" s="38"/>
      <c r="AQ38" s="149"/>
      <c r="AR38" s="149"/>
      <c r="AS38" s="149"/>
      <c r="AT38" s="149"/>
      <c r="AU38" s="334"/>
      <c r="AV38" s="334"/>
      <c r="AW38" s="334"/>
      <c r="AX38" s="334"/>
      <c r="AY38" s="334"/>
      <c r="AZ38" s="38"/>
      <c r="BA38" s="38"/>
      <c r="BB38" s="38"/>
      <c r="BC38" s="38"/>
      <c r="BD38" s="38"/>
      <c r="BE38" s="38"/>
      <c r="BF38" s="38"/>
      <c r="BG38" s="38"/>
      <c r="BH38" s="38"/>
      <c r="BI38" s="328"/>
      <c r="BJ38" s="335" t="s">
        <v>472</v>
      </c>
      <c r="BK38" s="336"/>
      <c r="BL38" s="336"/>
      <c r="BM38" s="336"/>
      <c r="BN38" s="336"/>
      <c r="BO38" s="147"/>
      <c r="BP38" s="38"/>
      <c r="BQ38" s="38"/>
      <c r="BR38" s="147"/>
      <c r="BS38" s="300"/>
      <c r="BT38" s="1235" t="s">
        <v>473</v>
      </c>
      <c r="BU38" s="1236"/>
      <c r="BV38" s="1236"/>
      <c r="BW38" s="1236"/>
      <c r="BX38" s="1236"/>
      <c r="BY38" s="1236"/>
      <c r="BZ38" s="1236"/>
      <c r="CA38" s="1236"/>
      <c r="CB38" s="1236"/>
      <c r="CC38" s="1237"/>
    </row>
    <row r="39" spans="1:81" ht="9.75" customHeight="1" x14ac:dyDescent="0.15">
      <c r="A39" s="3">
        <v>35</v>
      </c>
      <c r="B39" s="39"/>
      <c r="C39" s="40"/>
      <c r="D39" s="419" t="s">
        <v>416</v>
      </c>
      <c r="E39" s="420"/>
      <c r="F39" s="421"/>
      <c r="G39" s="445"/>
      <c r="H39" s="446"/>
      <c r="I39" s="446"/>
      <c r="J39" s="446"/>
      <c r="K39" s="1173"/>
      <c r="L39" s="445"/>
      <c r="M39" s="446"/>
      <c r="N39" s="446"/>
      <c r="O39" s="446"/>
      <c r="P39" s="1173"/>
      <c r="Q39" s="445"/>
      <c r="R39" s="446"/>
      <c r="S39" s="446"/>
      <c r="T39" s="446"/>
      <c r="U39" s="447"/>
      <c r="V39" s="581" t="s">
        <v>68</v>
      </c>
      <c r="W39" s="581"/>
      <c r="X39" s="581"/>
      <c r="Y39" s="581"/>
      <c r="Z39" s="582"/>
      <c r="AA39" s="722" t="s">
        <v>77</v>
      </c>
      <c r="AB39" s="581"/>
      <c r="AC39" s="581"/>
      <c r="AD39" s="581"/>
      <c r="AE39" s="581"/>
      <c r="AF39" s="147"/>
      <c r="AG39" s="147"/>
      <c r="AH39" s="149"/>
      <c r="AI39" s="149"/>
      <c r="AJ39" s="149"/>
      <c r="AK39" s="38"/>
      <c r="AL39" s="38"/>
      <c r="AM39" s="38"/>
      <c r="AN39" s="38"/>
      <c r="AO39" s="38"/>
      <c r="AP39" s="584" t="s">
        <v>88</v>
      </c>
      <c r="AQ39" s="581"/>
      <c r="AR39" s="581"/>
      <c r="AS39" s="581"/>
      <c r="AT39" s="581"/>
      <c r="AU39" s="38"/>
      <c r="AV39" s="38"/>
      <c r="AW39" s="38"/>
      <c r="AX39" s="38"/>
      <c r="AY39" s="38"/>
      <c r="AZ39" s="584" t="s">
        <v>102</v>
      </c>
      <c r="BA39" s="581"/>
      <c r="BB39" s="581"/>
      <c r="BC39" s="581"/>
      <c r="BD39" s="581"/>
      <c r="BE39" s="1183" t="s">
        <v>407</v>
      </c>
      <c r="BF39" s="489"/>
      <c r="BG39" s="489"/>
      <c r="BH39" s="489"/>
      <c r="BI39" s="736"/>
      <c r="BJ39" s="1251" t="s">
        <v>117</v>
      </c>
      <c r="BK39" s="1238" t="s">
        <v>474</v>
      </c>
      <c r="BL39" s="1238"/>
      <c r="BM39" s="1238"/>
      <c r="BN39" s="1239"/>
      <c r="BO39" s="469"/>
      <c r="BP39" s="470"/>
      <c r="BQ39" s="470"/>
      <c r="BR39" s="470"/>
      <c r="BS39" s="471"/>
      <c r="BT39" s="494" t="s">
        <v>143</v>
      </c>
      <c r="BU39" s="640"/>
      <c r="BV39" s="640"/>
      <c r="BW39" s="640"/>
      <c r="BX39" s="640"/>
      <c r="BY39" s="469"/>
      <c r="BZ39" s="470"/>
      <c r="CA39" s="470"/>
      <c r="CB39" s="470"/>
      <c r="CC39" s="471"/>
    </row>
    <row r="40" spans="1:81" ht="9.75" customHeight="1" x14ac:dyDescent="0.15">
      <c r="A40" s="3">
        <v>36</v>
      </c>
      <c r="B40" s="39"/>
      <c r="C40" s="40"/>
      <c r="D40" s="419" t="s">
        <v>417</v>
      </c>
      <c r="E40" s="420"/>
      <c r="F40" s="421"/>
      <c r="G40" s="445"/>
      <c r="H40" s="446"/>
      <c r="I40" s="446"/>
      <c r="J40" s="446"/>
      <c r="K40" s="1173"/>
      <c r="L40" s="445"/>
      <c r="M40" s="446"/>
      <c r="N40" s="446"/>
      <c r="O40" s="446"/>
      <c r="P40" s="1173"/>
      <c r="Q40" s="445"/>
      <c r="R40" s="446"/>
      <c r="S40" s="446"/>
      <c r="T40" s="446"/>
      <c r="U40" s="447"/>
      <c r="V40" s="581"/>
      <c r="W40" s="581"/>
      <c r="X40" s="581"/>
      <c r="Y40" s="581"/>
      <c r="Z40" s="582"/>
      <c r="AA40" s="584"/>
      <c r="AB40" s="581"/>
      <c r="AC40" s="581"/>
      <c r="AD40" s="581"/>
      <c r="AE40" s="581"/>
      <c r="AF40" s="583" t="s">
        <v>410</v>
      </c>
      <c r="AG40" s="489"/>
      <c r="AH40" s="489"/>
      <c r="AI40" s="489"/>
      <c r="AJ40" s="490"/>
      <c r="AK40" s="558" t="s">
        <v>411</v>
      </c>
      <c r="AL40" s="521"/>
      <c r="AM40" s="521"/>
      <c r="AN40" s="521"/>
      <c r="AO40" s="521"/>
      <c r="AP40" s="552"/>
      <c r="AQ40" s="553"/>
      <c r="AR40" s="553"/>
      <c r="AS40" s="553"/>
      <c r="AT40" s="554"/>
      <c r="AU40" s="1240" t="s">
        <v>412</v>
      </c>
      <c r="AV40" s="1240"/>
      <c r="AW40" s="1240"/>
      <c r="AX40" s="1240"/>
      <c r="AY40" s="1240"/>
      <c r="AZ40" s="552"/>
      <c r="BA40" s="553"/>
      <c r="BB40" s="553"/>
      <c r="BC40" s="553"/>
      <c r="BD40" s="553"/>
      <c r="BE40" s="1184"/>
      <c r="BF40" s="553"/>
      <c r="BG40" s="553"/>
      <c r="BH40" s="553"/>
      <c r="BI40" s="737"/>
      <c r="BJ40" s="1252"/>
      <c r="BK40" s="932" t="s">
        <v>341</v>
      </c>
      <c r="BL40" s="932"/>
      <c r="BM40" s="932"/>
      <c r="BN40" s="1232"/>
      <c r="BO40" s="448"/>
      <c r="BP40" s="449"/>
      <c r="BQ40" s="449"/>
      <c r="BR40" s="449"/>
      <c r="BS40" s="450"/>
      <c r="BT40" s="1241" t="s">
        <v>475</v>
      </c>
      <c r="BU40" s="1242"/>
      <c r="BV40" s="1242"/>
      <c r="BW40" s="1242"/>
      <c r="BX40" s="1243"/>
      <c r="BY40" s="448"/>
      <c r="BZ40" s="449"/>
      <c r="CA40" s="449"/>
      <c r="CB40" s="449"/>
      <c r="CC40" s="450"/>
    </row>
    <row r="41" spans="1:81" ht="9.75" customHeight="1" x14ac:dyDescent="0.15">
      <c r="A41" s="3">
        <v>37</v>
      </c>
      <c r="B41" s="39"/>
      <c r="C41" s="40"/>
      <c r="D41" s="419" t="s">
        <v>418</v>
      </c>
      <c r="E41" s="420"/>
      <c r="F41" s="421"/>
      <c r="G41" s="445"/>
      <c r="H41" s="446"/>
      <c r="I41" s="446"/>
      <c r="J41" s="446"/>
      <c r="K41" s="1173"/>
      <c r="L41" s="445"/>
      <c r="M41" s="446"/>
      <c r="N41" s="446"/>
      <c r="O41" s="446"/>
      <c r="P41" s="1173"/>
      <c r="Q41" s="445"/>
      <c r="R41" s="446"/>
      <c r="S41" s="446"/>
      <c r="T41" s="446"/>
      <c r="U41" s="447"/>
      <c r="V41" s="997" t="s">
        <v>415</v>
      </c>
      <c r="W41" s="997"/>
      <c r="X41" s="41"/>
      <c r="Y41" s="41"/>
      <c r="Z41" s="42"/>
      <c r="AA41" s="442"/>
      <c r="AB41" s="443"/>
      <c r="AC41" s="443"/>
      <c r="AD41" s="443"/>
      <c r="AE41" s="1178"/>
      <c r="AF41" s="442"/>
      <c r="AG41" s="443"/>
      <c r="AH41" s="443"/>
      <c r="AI41" s="443"/>
      <c r="AJ41" s="1178"/>
      <c r="AK41" s="442"/>
      <c r="AL41" s="443"/>
      <c r="AM41" s="443"/>
      <c r="AN41" s="443"/>
      <c r="AO41" s="1178"/>
      <c r="AP41" s="442"/>
      <c r="AQ41" s="443"/>
      <c r="AR41" s="443"/>
      <c r="AS41" s="443"/>
      <c r="AT41" s="1178"/>
      <c r="AU41" s="442"/>
      <c r="AV41" s="443"/>
      <c r="AW41" s="443"/>
      <c r="AX41" s="443"/>
      <c r="AY41" s="1178"/>
      <c r="AZ41" s="442"/>
      <c r="BA41" s="443"/>
      <c r="BB41" s="443"/>
      <c r="BC41" s="443"/>
      <c r="BD41" s="1175"/>
      <c r="BE41" s="1154"/>
      <c r="BF41" s="443"/>
      <c r="BG41" s="443"/>
      <c r="BH41" s="443"/>
      <c r="BI41" s="444"/>
      <c r="BJ41" s="1252"/>
      <c r="BK41" s="932" t="s">
        <v>344</v>
      </c>
      <c r="BL41" s="932"/>
      <c r="BM41" s="932"/>
      <c r="BN41" s="1232"/>
      <c r="BO41" s="448"/>
      <c r="BP41" s="449"/>
      <c r="BQ41" s="449"/>
      <c r="BR41" s="449"/>
      <c r="BS41" s="450"/>
      <c r="BT41" s="337"/>
      <c r="BU41" s="595" t="s">
        <v>476</v>
      </c>
      <c r="BV41" s="1248"/>
      <c r="BW41" s="1248"/>
      <c r="BX41" s="1249"/>
      <c r="BY41" s="448"/>
      <c r="BZ41" s="449"/>
      <c r="CA41" s="449"/>
      <c r="CB41" s="449"/>
      <c r="CC41" s="450"/>
    </row>
    <row r="42" spans="1:81" ht="9.75" customHeight="1" x14ac:dyDescent="0.15">
      <c r="A42" s="3">
        <v>38</v>
      </c>
      <c r="B42" s="39"/>
      <c r="C42" s="40"/>
      <c r="D42" s="419" t="s">
        <v>419</v>
      </c>
      <c r="E42" s="420"/>
      <c r="F42" s="421"/>
      <c r="G42" s="445"/>
      <c r="H42" s="446"/>
      <c r="I42" s="446"/>
      <c r="J42" s="446"/>
      <c r="K42" s="1173"/>
      <c r="L42" s="445"/>
      <c r="M42" s="446"/>
      <c r="N42" s="446"/>
      <c r="O42" s="446"/>
      <c r="P42" s="1173"/>
      <c r="Q42" s="445"/>
      <c r="R42" s="446"/>
      <c r="S42" s="446"/>
      <c r="T42" s="446"/>
      <c r="U42" s="447"/>
      <c r="V42" s="919"/>
      <c r="W42" s="919"/>
      <c r="X42" s="419" t="s">
        <v>416</v>
      </c>
      <c r="Y42" s="420"/>
      <c r="Z42" s="421"/>
      <c r="AA42" s="448"/>
      <c r="AB42" s="449"/>
      <c r="AC42" s="449"/>
      <c r="AD42" s="449"/>
      <c r="AE42" s="1150"/>
      <c r="AF42" s="448"/>
      <c r="AG42" s="449"/>
      <c r="AH42" s="449"/>
      <c r="AI42" s="449"/>
      <c r="AJ42" s="1150"/>
      <c r="AK42" s="445"/>
      <c r="AL42" s="446"/>
      <c r="AM42" s="446"/>
      <c r="AN42" s="446"/>
      <c r="AO42" s="1173"/>
      <c r="AP42" s="448"/>
      <c r="AQ42" s="449"/>
      <c r="AR42" s="449"/>
      <c r="AS42" s="449"/>
      <c r="AT42" s="1150"/>
      <c r="AU42" s="448"/>
      <c r="AV42" s="449"/>
      <c r="AW42" s="449"/>
      <c r="AX42" s="449"/>
      <c r="AY42" s="1150"/>
      <c r="AZ42" s="448"/>
      <c r="BA42" s="449"/>
      <c r="BB42" s="449"/>
      <c r="BC42" s="449"/>
      <c r="BD42" s="1176"/>
      <c r="BE42" s="1171"/>
      <c r="BF42" s="449"/>
      <c r="BG42" s="449"/>
      <c r="BH42" s="449"/>
      <c r="BI42" s="450"/>
      <c r="BJ42" s="1252"/>
      <c r="BK42" s="932" t="s">
        <v>347</v>
      </c>
      <c r="BL42" s="932"/>
      <c r="BM42" s="932"/>
      <c r="BN42" s="1232"/>
      <c r="BO42" s="448"/>
      <c r="BP42" s="449"/>
      <c r="BQ42" s="449"/>
      <c r="BR42" s="449"/>
      <c r="BS42" s="450"/>
      <c r="BT42" s="778" t="s">
        <v>477</v>
      </c>
      <c r="BU42" s="501"/>
      <c r="BV42" s="501"/>
      <c r="BW42" s="501"/>
      <c r="BX42" s="502"/>
      <c r="BY42" s="448"/>
      <c r="BZ42" s="449"/>
      <c r="CA42" s="449"/>
      <c r="CB42" s="449"/>
      <c r="CC42" s="450"/>
    </row>
    <row r="43" spans="1:81" ht="9.75" customHeight="1" x14ac:dyDescent="0.15">
      <c r="A43" s="3">
        <v>39</v>
      </c>
      <c r="B43" s="39"/>
      <c r="C43" s="40"/>
      <c r="D43" s="419" t="s">
        <v>420</v>
      </c>
      <c r="E43" s="420"/>
      <c r="F43" s="421"/>
      <c r="G43" s="445"/>
      <c r="H43" s="446"/>
      <c r="I43" s="446"/>
      <c r="J43" s="446"/>
      <c r="K43" s="1173"/>
      <c r="L43" s="445"/>
      <c r="M43" s="446"/>
      <c r="N43" s="446"/>
      <c r="O43" s="446"/>
      <c r="P43" s="1173"/>
      <c r="Q43" s="445"/>
      <c r="R43" s="446"/>
      <c r="S43" s="446"/>
      <c r="T43" s="446"/>
      <c r="U43" s="447"/>
      <c r="V43" s="919"/>
      <c r="W43" s="919"/>
      <c r="X43" s="419" t="s">
        <v>417</v>
      </c>
      <c r="Y43" s="420"/>
      <c r="Z43" s="421"/>
      <c r="AA43" s="448"/>
      <c r="AB43" s="449"/>
      <c r="AC43" s="449"/>
      <c r="AD43" s="449"/>
      <c r="AE43" s="1150"/>
      <c r="AF43" s="448"/>
      <c r="AG43" s="449"/>
      <c r="AH43" s="449"/>
      <c r="AI43" s="449"/>
      <c r="AJ43" s="1150"/>
      <c r="AK43" s="445"/>
      <c r="AL43" s="446"/>
      <c r="AM43" s="446"/>
      <c r="AN43" s="446"/>
      <c r="AO43" s="1173"/>
      <c r="AP43" s="448"/>
      <c r="AQ43" s="449"/>
      <c r="AR43" s="449"/>
      <c r="AS43" s="449"/>
      <c r="AT43" s="1150"/>
      <c r="AU43" s="448"/>
      <c r="AV43" s="449"/>
      <c r="AW43" s="449"/>
      <c r="AX43" s="449"/>
      <c r="AY43" s="1150"/>
      <c r="AZ43" s="448"/>
      <c r="BA43" s="449"/>
      <c r="BB43" s="449"/>
      <c r="BC43" s="449"/>
      <c r="BD43" s="1176"/>
      <c r="BE43" s="1171"/>
      <c r="BF43" s="449"/>
      <c r="BG43" s="449"/>
      <c r="BH43" s="449"/>
      <c r="BI43" s="450"/>
      <c r="BJ43" s="1252"/>
      <c r="BK43" s="932" t="s">
        <v>351</v>
      </c>
      <c r="BL43" s="932"/>
      <c r="BM43" s="932"/>
      <c r="BN43" s="1232"/>
      <c r="BO43" s="448"/>
      <c r="BP43" s="449"/>
      <c r="BQ43" s="449"/>
      <c r="BR43" s="449"/>
      <c r="BS43" s="450"/>
      <c r="BT43" s="1244" t="s">
        <v>478</v>
      </c>
      <c r="BU43" s="1245"/>
      <c r="BV43" s="1245"/>
      <c r="BW43" s="1245"/>
      <c r="BX43" s="596"/>
      <c r="BY43" s="448"/>
      <c r="BZ43" s="449"/>
      <c r="CA43" s="449"/>
      <c r="CB43" s="449"/>
      <c r="CC43" s="450"/>
    </row>
    <row r="44" spans="1:81" ht="9.75" customHeight="1" x14ac:dyDescent="0.15">
      <c r="A44" s="3">
        <v>40</v>
      </c>
      <c r="B44" s="39"/>
      <c r="C44" s="40"/>
      <c r="D44" s="419" t="s">
        <v>422</v>
      </c>
      <c r="E44" s="420"/>
      <c r="F44" s="421"/>
      <c r="G44" s="445"/>
      <c r="H44" s="446"/>
      <c r="I44" s="446"/>
      <c r="J44" s="446"/>
      <c r="K44" s="1173"/>
      <c r="L44" s="445"/>
      <c r="M44" s="446"/>
      <c r="N44" s="446"/>
      <c r="O44" s="446"/>
      <c r="P44" s="1173"/>
      <c r="Q44" s="445"/>
      <c r="R44" s="446"/>
      <c r="S44" s="446"/>
      <c r="T44" s="446"/>
      <c r="U44" s="447"/>
      <c r="V44" s="919"/>
      <c r="W44" s="919"/>
      <c r="X44" s="419" t="s">
        <v>418</v>
      </c>
      <c r="Y44" s="420"/>
      <c r="Z44" s="421"/>
      <c r="AA44" s="448"/>
      <c r="AB44" s="449"/>
      <c r="AC44" s="449"/>
      <c r="AD44" s="449"/>
      <c r="AE44" s="1150"/>
      <c r="AF44" s="448"/>
      <c r="AG44" s="449"/>
      <c r="AH44" s="449"/>
      <c r="AI44" s="449"/>
      <c r="AJ44" s="1150"/>
      <c r="AK44" s="445"/>
      <c r="AL44" s="446"/>
      <c r="AM44" s="446"/>
      <c r="AN44" s="446"/>
      <c r="AO44" s="1173"/>
      <c r="AP44" s="448"/>
      <c r="AQ44" s="449"/>
      <c r="AR44" s="449"/>
      <c r="AS44" s="449"/>
      <c r="AT44" s="1150"/>
      <c r="AU44" s="448"/>
      <c r="AV44" s="449"/>
      <c r="AW44" s="449"/>
      <c r="AX44" s="449"/>
      <c r="AY44" s="1150"/>
      <c r="AZ44" s="448"/>
      <c r="BA44" s="449"/>
      <c r="BB44" s="449"/>
      <c r="BC44" s="449"/>
      <c r="BD44" s="1176"/>
      <c r="BE44" s="1171"/>
      <c r="BF44" s="449"/>
      <c r="BG44" s="449"/>
      <c r="BH44" s="449"/>
      <c r="BI44" s="450"/>
      <c r="BJ44" s="1252"/>
      <c r="BK44" s="932" t="s">
        <v>479</v>
      </c>
      <c r="BL44" s="932"/>
      <c r="BM44" s="932"/>
      <c r="BN44" s="1232"/>
      <c r="BO44" s="448"/>
      <c r="BP44" s="449"/>
      <c r="BQ44" s="449"/>
      <c r="BR44" s="449"/>
      <c r="BS44" s="450"/>
      <c r="BT44" s="338"/>
      <c r="BU44" s="795" t="s">
        <v>480</v>
      </c>
      <c r="BV44" s="1181" t="s">
        <v>480</v>
      </c>
      <c r="BW44" s="1181"/>
      <c r="BX44" s="1182"/>
      <c r="BY44" s="448"/>
      <c r="BZ44" s="449"/>
      <c r="CA44" s="449"/>
      <c r="CB44" s="449"/>
      <c r="CC44" s="450"/>
    </row>
    <row r="45" spans="1:81" ht="9.75" customHeight="1" x14ac:dyDescent="0.15">
      <c r="A45" s="3">
        <v>41</v>
      </c>
      <c r="B45" s="329"/>
      <c r="C45" s="330"/>
      <c r="D45" s="611" t="s">
        <v>423</v>
      </c>
      <c r="E45" s="612"/>
      <c r="F45" s="613"/>
      <c r="G45" s="454"/>
      <c r="H45" s="455"/>
      <c r="I45" s="455"/>
      <c r="J45" s="455"/>
      <c r="K45" s="1180"/>
      <c r="L45" s="454"/>
      <c r="M45" s="455"/>
      <c r="N45" s="455"/>
      <c r="O45" s="455"/>
      <c r="P45" s="1180"/>
      <c r="Q45" s="454"/>
      <c r="R45" s="455"/>
      <c r="S45" s="455"/>
      <c r="T45" s="455"/>
      <c r="U45" s="456"/>
      <c r="V45" s="919"/>
      <c r="W45" s="919"/>
      <c r="X45" s="419" t="s">
        <v>419</v>
      </c>
      <c r="Y45" s="420"/>
      <c r="Z45" s="421"/>
      <c r="AA45" s="448"/>
      <c r="AB45" s="449"/>
      <c r="AC45" s="449"/>
      <c r="AD45" s="449"/>
      <c r="AE45" s="1150"/>
      <c r="AF45" s="448"/>
      <c r="AG45" s="449"/>
      <c r="AH45" s="449"/>
      <c r="AI45" s="449"/>
      <c r="AJ45" s="1150"/>
      <c r="AK45" s="445"/>
      <c r="AL45" s="446"/>
      <c r="AM45" s="446"/>
      <c r="AN45" s="446"/>
      <c r="AO45" s="1173"/>
      <c r="AP45" s="448"/>
      <c r="AQ45" s="449"/>
      <c r="AR45" s="449"/>
      <c r="AS45" s="449"/>
      <c r="AT45" s="1150"/>
      <c r="AU45" s="448"/>
      <c r="AV45" s="449"/>
      <c r="AW45" s="449"/>
      <c r="AX45" s="449"/>
      <c r="AY45" s="1150"/>
      <c r="AZ45" s="448"/>
      <c r="BA45" s="449"/>
      <c r="BB45" s="449"/>
      <c r="BC45" s="449"/>
      <c r="BD45" s="1176"/>
      <c r="BE45" s="1171"/>
      <c r="BF45" s="449"/>
      <c r="BG45" s="449"/>
      <c r="BH45" s="449"/>
      <c r="BI45" s="450"/>
      <c r="BJ45" s="1252"/>
      <c r="BK45" s="932" t="s">
        <v>481</v>
      </c>
      <c r="BL45" s="932"/>
      <c r="BM45" s="932"/>
      <c r="BN45" s="1232"/>
      <c r="BO45" s="448"/>
      <c r="BP45" s="449"/>
      <c r="BQ45" s="449"/>
      <c r="BR45" s="449"/>
      <c r="BS45" s="450"/>
      <c r="BT45" s="764" t="s">
        <v>133</v>
      </c>
      <c r="BU45" s="420"/>
      <c r="BV45" s="420"/>
      <c r="BW45" s="420"/>
      <c r="BX45" s="421"/>
      <c r="BY45" s="448"/>
      <c r="BZ45" s="449"/>
      <c r="CA45" s="449"/>
      <c r="CB45" s="449"/>
      <c r="CC45" s="450"/>
    </row>
    <row r="46" spans="1:81" ht="9.75" customHeight="1" x14ac:dyDescent="0.15">
      <c r="A46" s="3">
        <v>42</v>
      </c>
      <c r="B46" s="1246" t="s">
        <v>482</v>
      </c>
      <c r="C46" s="1247"/>
      <c r="D46" s="1247"/>
      <c r="E46" s="1247"/>
      <c r="F46" s="1247"/>
      <c r="G46" s="442"/>
      <c r="H46" s="443"/>
      <c r="I46" s="443"/>
      <c r="J46" s="443"/>
      <c r="K46" s="1178"/>
      <c r="L46" s="442"/>
      <c r="M46" s="443"/>
      <c r="N46" s="443"/>
      <c r="O46" s="443"/>
      <c r="P46" s="1178"/>
      <c r="Q46" s="442"/>
      <c r="R46" s="443"/>
      <c r="S46" s="443"/>
      <c r="T46" s="443"/>
      <c r="U46" s="444"/>
      <c r="V46" s="919"/>
      <c r="W46" s="919"/>
      <c r="X46" s="419" t="s">
        <v>420</v>
      </c>
      <c r="Y46" s="420"/>
      <c r="Z46" s="421"/>
      <c r="AA46" s="448"/>
      <c r="AB46" s="449"/>
      <c r="AC46" s="449"/>
      <c r="AD46" s="449"/>
      <c r="AE46" s="1150"/>
      <c r="AF46" s="448"/>
      <c r="AG46" s="449"/>
      <c r="AH46" s="449"/>
      <c r="AI46" s="449"/>
      <c r="AJ46" s="1150"/>
      <c r="AK46" s="445"/>
      <c r="AL46" s="446"/>
      <c r="AM46" s="446"/>
      <c r="AN46" s="446"/>
      <c r="AO46" s="1173"/>
      <c r="AP46" s="448"/>
      <c r="AQ46" s="449"/>
      <c r="AR46" s="449"/>
      <c r="AS46" s="449"/>
      <c r="AT46" s="1150"/>
      <c r="AU46" s="448"/>
      <c r="AV46" s="449"/>
      <c r="AW46" s="449"/>
      <c r="AX46" s="449"/>
      <c r="AY46" s="1150"/>
      <c r="AZ46" s="448"/>
      <c r="BA46" s="449"/>
      <c r="BB46" s="449"/>
      <c r="BC46" s="449"/>
      <c r="BD46" s="1176"/>
      <c r="BE46" s="1171"/>
      <c r="BF46" s="449"/>
      <c r="BG46" s="449"/>
      <c r="BH46" s="449"/>
      <c r="BI46" s="450"/>
      <c r="BJ46" s="1252"/>
      <c r="BK46" s="932" t="s">
        <v>483</v>
      </c>
      <c r="BL46" s="932"/>
      <c r="BM46" s="932"/>
      <c r="BN46" s="1232"/>
      <c r="BO46" s="448"/>
      <c r="BP46" s="449"/>
      <c r="BQ46" s="449"/>
      <c r="BR46" s="449"/>
      <c r="BS46" s="450"/>
      <c r="BT46" s="764" t="s">
        <v>484</v>
      </c>
      <c r="BU46" s="420"/>
      <c r="BV46" s="420"/>
      <c r="BW46" s="420"/>
      <c r="BX46" s="421"/>
      <c r="BY46" s="448"/>
      <c r="BZ46" s="449"/>
      <c r="CA46" s="449"/>
      <c r="CB46" s="449"/>
      <c r="CC46" s="450"/>
    </row>
    <row r="47" spans="1:81" ht="9.75" customHeight="1" x14ac:dyDescent="0.15">
      <c r="A47" s="3">
        <v>43</v>
      </c>
      <c r="B47" s="39"/>
      <c r="C47" s="40"/>
      <c r="D47" s="419" t="s">
        <v>416</v>
      </c>
      <c r="E47" s="420"/>
      <c r="F47" s="421"/>
      <c r="G47" s="445"/>
      <c r="H47" s="446"/>
      <c r="I47" s="446"/>
      <c r="J47" s="446"/>
      <c r="K47" s="1173"/>
      <c r="L47" s="448"/>
      <c r="M47" s="449"/>
      <c r="N47" s="449"/>
      <c r="O47" s="449"/>
      <c r="P47" s="1150"/>
      <c r="Q47" s="448"/>
      <c r="R47" s="449"/>
      <c r="S47" s="449"/>
      <c r="T47" s="449"/>
      <c r="U47" s="450"/>
      <c r="V47" s="919"/>
      <c r="W47" s="919"/>
      <c r="X47" s="419" t="s">
        <v>422</v>
      </c>
      <c r="Y47" s="420"/>
      <c r="Z47" s="421"/>
      <c r="AA47" s="448"/>
      <c r="AB47" s="449"/>
      <c r="AC47" s="449"/>
      <c r="AD47" s="449"/>
      <c r="AE47" s="1150"/>
      <c r="AF47" s="448"/>
      <c r="AG47" s="449"/>
      <c r="AH47" s="449"/>
      <c r="AI47" s="449"/>
      <c r="AJ47" s="1150"/>
      <c r="AK47" s="445"/>
      <c r="AL47" s="446"/>
      <c r="AM47" s="446"/>
      <c r="AN47" s="446"/>
      <c r="AO47" s="1173"/>
      <c r="AP47" s="448"/>
      <c r="AQ47" s="449"/>
      <c r="AR47" s="449"/>
      <c r="AS47" s="449"/>
      <c r="AT47" s="1150"/>
      <c r="AU47" s="448"/>
      <c r="AV47" s="449"/>
      <c r="AW47" s="449"/>
      <c r="AX47" s="449"/>
      <c r="AY47" s="1150"/>
      <c r="AZ47" s="448"/>
      <c r="BA47" s="449"/>
      <c r="BB47" s="449"/>
      <c r="BC47" s="449"/>
      <c r="BD47" s="1176"/>
      <c r="BE47" s="1171"/>
      <c r="BF47" s="449"/>
      <c r="BG47" s="449"/>
      <c r="BH47" s="449"/>
      <c r="BI47" s="450"/>
      <c r="BJ47" s="1252"/>
      <c r="BK47" s="932" t="s">
        <v>485</v>
      </c>
      <c r="BL47" s="932"/>
      <c r="BM47" s="932"/>
      <c r="BN47" s="1232"/>
      <c r="BO47" s="448"/>
      <c r="BP47" s="449"/>
      <c r="BQ47" s="449"/>
      <c r="BR47" s="449"/>
      <c r="BS47" s="450"/>
      <c r="BT47" s="764" t="s">
        <v>486</v>
      </c>
      <c r="BU47" s="420"/>
      <c r="BV47" s="420"/>
      <c r="BW47" s="420"/>
      <c r="BX47" s="421"/>
      <c r="BY47" s="448"/>
      <c r="BZ47" s="449"/>
      <c r="CA47" s="449"/>
      <c r="CB47" s="449"/>
      <c r="CC47" s="450"/>
    </row>
    <row r="48" spans="1:81" ht="9.75" customHeight="1" x14ac:dyDescent="0.15">
      <c r="A48" s="3">
        <v>44</v>
      </c>
      <c r="B48" s="39"/>
      <c r="C48" s="40"/>
      <c r="D48" s="419" t="s">
        <v>417</v>
      </c>
      <c r="E48" s="420"/>
      <c r="F48" s="421"/>
      <c r="G48" s="445"/>
      <c r="H48" s="446"/>
      <c r="I48" s="446"/>
      <c r="J48" s="446"/>
      <c r="K48" s="1173"/>
      <c r="L48" s="448"/>
      <c r="M48" s="449"/>
      <c r="N48" s="449"/>
      <c r="O48" s="449"/>
      <c r="P48" s="1150"/>
      <c r="Q48" s="448"/>
      <c r="R48" s="449"/>
      <c r="S48" s="449"/>
      <c r="T48" s="449"/>
      <c r="U48" s="450"/>
      <c r="V48" s="920"/>
      <c r="W48" s="920"/>
      <c r="X48" s="611" t="s">
        <v>423</v>
      </c>
      <c r="Y48" s="612"/>
      <c r="Z48" s="613"/>
      <c r="AA48" s="1151"/>
      <c r="AB48" s="1152"/>
      <c r="AC48" s="1152"/>
      <c r="AD48" s="1152"/>
      <c r="AE48" s="1179"/>
      <c r="AF48" s="1151"/>
      <c r="AG48" s="1152"/>
      <c r="AH48" s="1152"/>
      <c r="AI48" s="1152"/>
      <c r="AJ48" s="1179"/>
      <c r="AK48" s="454"/>
      <c r="AL48" s="455"/>
      <c r="AM48" s="455"/>
      <c r="AN48" s="455"/>
      <c r="AO48" s="1180"/>
      <c r="AP48" s="1151"/>
      <c r="AQ48" s="1152"/>
      <c r="AR48" s="1152"/>
      <c r="AS48" s="1152"/>
      <c r="AT48" s="1179"/>
      <c r="AU48" s="1151"/>
      <c r="AV48" s="1152"/>
      <c r="AW48" s="1152"/>
      <c r="AX48" s="1152"/>
      <c r="AY48" s="1179"/>
      <c r="AZ48" s="1151"/>
      <c r="BA48" s="1152"/>
      <c r="BB48" s="1152"/>
      <c r="BC48" s="1152"/>
      <c r="BD48" s="1177"/>
      <c r="BE48" s="1172"/>
      <c r="BF48" s="1152"/>
      <c r="BG48" s="1152"/>
      <c r="BH48" s="1152"/>
      <c r="BI48" s="1153"/>
      <c r="BJ48" s="1253"/>
      <c r="BK48" s="937" t="s">
        <v>487</v>
      </c>
      <c r="BL48" s="937"/>
      <c r="BM48" s="937"/>
      <c r="BN48" s="1072"/>
      <c r="BO48" s="1151"/>
      <c r="BP48" s="1152"/>
      <c r="BQ48" s="1152"/>
      <c r="BR48" s="1152"/>
      <c r="BS48" s="1153"/>
      <c r="BT48" s="1250" t="s">
        <v>488</v>
      </c>
      <c r="BU48" s="796"/>
      <c r="BV48" s="796"/>
      <c r="BW48" s="796"/>
      <c r="BX48" s="797"/>
      <c r="BY48" s="448"/>
      <c r="BZ48" s="449"/>
      <c r="CA48" s="449"/>
      <c r="CB48" s="449"/>
      <c r="CC48" s="450"/>
    </row>
    <row r="49" spans="1:81" ht="9.75" customHeight="1" x14ac:dyDescent="0.15">
      <c r="A49" s="3">
        <v>45</v>
      </c>
      <c r="B49" s="39"/>
      <c r="C49" s="40"/>
      <c r="D49" s="419" t="s">
        <v>418</v>
      </c>
      <c r="E49" s="420"/>
      <c r="F49" s="421"/>
      <c r="G49" s="445"/>
      <c r="H49" s="446"/>
      <c r="I49" s="446"/>
      <c r="J49" s="446"/>
      <c r="K49" s="1173"/>
      <c r="L49" s="448"/>
      <c r="M49" s="449"/>
      <c r="N49" s="449"/>
      <c r="O49" s="449"/>
      <c r="P49" s="1150"/>
      <c r="Q49" s="448"/>
      <c r="R49" s="449"/>
      <c r="S49" s="449"/>
      <c r="T49" s="449"/>
      <c r="U49" s="450"/>
      <c r="V49" s="997" t="s">
        <v>409</v>
      </c>
      <c r="W49" s="997"/>
      <c r="X49" s="41"/>
      <c r="Y49" s="41"/>
      <c r="Z49" s="42"/>
      <c r="AA49" s="442"/>
      <c r="AB49" s="443"/>
      <c r="AC49" s="443"/>
      <c r="AD49" s="443"/>
      <c r="AE49" s="1178"/>
      <c r="AF49" s="442"/>
      <c r="AG49" s="443"/>
      <c r="AH49" s="443"/>
      <c r="AI49" s="443"/>
      <c r="AJ49" s="1178"/>
      <c r="AK49" s="442"/>
      <c r="AL49" s="443"/>
      <c r="AM49" s="443"/>
      <c r="AN49" s="443"/>
      <c r="AO49" s="1178"/>
      <c r="AP49" s="442"/>
      <c r="AQ49" s="443"/>
      <c r="AR49" s="443"/>
      <c r="AS49" s="443"/>
      <c r="AT49" s="1178"/>
      <c r="AU49" s="442"/>
      <c r="AV49" s="443"/>
      <c r="AW49" s="443"/>
      <c r="AX49" s="443"/>
      <c r="AY49" s="1178"/>
      <c r="AZ49" s="442"/>
      <c r="BA49" s="443"/>
      <c r="BB49" s="443"/>
      <c r="BC49" s="443"/>
      <c r="BD49" s="1175"/>
      <c r="BE49" s="1154"/>
      <c r="BF49" s="443"/>
      <c r="BG49" s="443"/>
      <c r="BH49" s="443"/>
      <c r="BI49" s="444"/>
      <c r="BJ49" s="494" t="s">
        <v>489</v>
      </c>
      <c r="BK49" s="1254"/>
      <c r="BL49" s="1254"/>
      <c r="BM49" s="1254"/>
      <c r="BN49" s="1255"/>
      <c r="BO49" s="469"/>
      <c r="BP49" s="470"/>
      <c r="BQ49" s="470"/>
      <c r="BR49" s="470"/>
      <c r="BS49" s="471"/>
      <c r="BT49" s="1250" t="s">
        <v>490</v>
      </c>
      <c r="BU49" s="796"/>
      <c r="BV49" s="796"/>
      <c r="BW49" s="796"/>
      <c r="BX49" s="797"/>
      <c r="BY49" s="448"/>
      <c r="BZ49" s="449"/>
      <c r="CA49" s="449"/>
      <c r="CB49" s="449"/>
      <c r="CC49" s="450"/>
    </row>
    <row r="50" spans="1:81" ht="9.75" customHeight="1" x14ac:dyDescent="0.15">
      <c r="A50" s="3">
        <v>46</v>
      </c>
      <c r="B50" s="39"/>
      <c r="C50" s="40"/>
      <c r="D50" s="419" t="s">
        <v>419</v>
      </c>
      <c r="E50" s="420"/>
      <c r="F50" s="421"/>
      <c r="G50" s="445"/>
      <c r="H50" s="446"/>
      <c r="I50" s="446"/>
      <c r="J50" s="446"/>
      <c r="K50" s="1173"/>
      <c r="L50" s="448"/>
      <c r="M50" s="449"/>
      <c r="N50" s="449"/>
      <c r="O50" s="449"/>
      <c r="P50" s="1150"/>
      <c r="Q50" s="448"/>
      <c r="R50" s="449"/>
      <c r="S50" s="449"/>
      <c r="T50" s="449"/>
      <c r="U50" s="450"/>
      <c r="V50" s="919"/>
      <c r="W50" s="919"/>
      <c r="X50" s="419" t="s">
        <v>416</v>
      </c>
      <c r="Y50" s="420"/>
      <c r="Z50" s="421"/>
      <c r="AA50" s="448"/>
      <c r="AB50" s="449"/>
      <c r="AC50" s="449"/>
      <c r="AD50" s="449"/>
      <c r="AE50" s="1150"/>
      <c r="AF50" s="448"/>
      <c r="AG50" s="449"/>
      <c r="AH50" s="449"/>
      <c r="AI50" s="449"/>
      <c r="AJ50" s="1150"/>
      <c r="AK50" s="445"/>
      <c r="AL50" s="446"/>
      <c r="AM50" s="446"/>
      <c r="AN50" s="446"/>
      <c r="AO50" s="1173"/>
      <c r="AP50" s="448"/>
      <c r="AQ50" s="449"/>
      <c r="AR50" s="449"/>
      <c r="AS50" s="449"/>
      <c r="AT50" s="1150"/>
      <c r="AU50" s="448"/>
      <c r="AV50" s="449"/>
      <c r="AW50" s="449"/>
      <c r="AX50" s="449"/>
      <c r="AY50" s="1150"/>
      <c r="AZ50" s="448"/>
      <c r="BA50" s="449"/>
      <c r="BB50" s="449"/>
      <c r="BC50" s="449"/>
      <c r="BD50" s="1176"/>
      <c r="BE50" s="1171"/>
      <c r="BF50" s="449"/>
      <c r="BG50" s="449"/>
      <c r="BH50" s="449"/>
      <c r="BI50" s="450"/>
      <c r="BJ50" s="339"/>
      <c r="BK50" s="1258" t="s">
        <v>491</v>
      </c>
      <c r="BL50" s="1259"/>
      <c r="BM50" s="1259"/>
      <c r="BN50" s="1260"/>
      <c r="BO50" s="1151"/>
      <c r="BP50" s="1152"/>
      <c r="BQ50" s="1152"/>
      <c r="BR50" s="1152"/>
      <c r="BS50" s="1153"/>
      <c r="BT50" s="764" t="s">
        <v>362</v>
      </c>
      <c r="BU50" s="420"/>
      <c r="BV50" s="420"/>
      <c r="BW50" s="420"/>
      <c r="BX50" s="421"/>
      <c r="BY50" s="448"/>
      <c r="BZ50" s="449"/>
      <c r="CA50" s="449"/>
      <c r="CB50" s="449"/>
      <c r="CC50" s="450"/>
    </row>
    <row r="51" spans="1:81" ht="9.75" customHeight="1" thickBot="1" x14ac:dyDescent="0.2">
      <c r="A51" s="3">
        <v>47</v>
      </c>
      <c r="B51" s="39"/>
      <c r="C51" s="40"/>
      <c r="D51" s="419" t="s">
        <v>420</v>
      </c>
      <c r="E51" s="420"/>
      <c r="F51" s="421"/>
      <c r="G51" s="445"/>
      <c r="H51" s="446"/>
      <c r="I51" s="446"/>
      <c r="J51" s="446"/>
      <c r="K51" s="1173"/>
      <c r="L51" s="448"/>
      <c r="M51" s="449"/>
      <c r="N51" s="449"/>
      <c r="O51" s="449"/>
      <c r="P51" s="1150"/>
      <c r="Q51" s="448"/>
      <c r="R51" s="449"/>
      <c r="S51" s="449"/>
      <c r="T51" s="449"/>
      <c r="U51" s="450"/>
      <c r="V51" s="919"/>
      <c r="W51" s="919"/>
      <c r="X51" s="419" t="s">
        <v>417</v>
      </c>
      <c r="Y51" s="420"/>
      <c r="Z51" s="421"/>
      <c r="AA51" s="448"/>
      <c r="AB51" s="449"/>
      <c r="AC51" s="449"/>
      <c r="AD51" s="449"/>
      <c r="AE51" s="1150"/>
      <c r="AF51" s="448"/>
      <c r="AG51" s="449"/>
      <c r="AH51" s="449"/>
      <c r="AI51" s="449"/>
      <c r="AJ51" s="1150"/>
      <c r="AK51" s="445"/>
      <c r="AL51" s="446"/>
      <c r="AM51" s="446"/>
      <c r="AN51" s="446"/>
      <c r="AO51" s="1173"/>
      <c r="AP51" s="448"/>
      <c r="AQ51" s="449"/>
      <c r="AR51" s="449"/>
      <c r="AS51" s="449"/>
      <c r="AT51" s="1150"/>
      <c r="AU51" s="448"/>
      <c r="AV51" s="449"/>
      <c r="AW51" s="449"/>
      <c r="AX51" s="449"/>
      <c r="AY51" s="1150"/>
      <c r="AZ51" s="448"/>
      <c r="BA51" s="449"/>
      <c r="BB51" s="449"/>
      <c r="BC51" s="449"/>
      <c r="BD51" s="1176"/>
      <c r="BE51" s="1171"/>
      <c r="BF51" s="449"/>
      <c r="BG51" s="449"/>
      <c r="BH51" s="449"/>
      <c r="BI51" s="450"/>
      <c r="BJ51" s="1261" t="s">
        <v>492</v>
      </c>
      <c r="BK51" s="593" t="s">
        <v>493</v>
      </c>
      <c r="BL51" s="593"/>
      <c r="BM51" s="1264"/>
      <c r="BN51" s="1265"/>
      <c r="BO51" s="469"/>
      <c r="BP51" s="470"/>
      <c r="BQ51" s="470"/>
      <c r="BR51" s="470"/>
      <c r="BS51" s="471"/>
      <c r="BT51" s="774" t="s">
        <v>101</v>
      </c>
      <c r="BU51" s="687"/>
      <c r="BV51" s="687"/>
      <c r="BW51" s="687"/>
      <c r="BX51" s="688"/>
      <c r="BY51" s="451"/>
      <c r="BZ51" s="452"/>
      <c r="CA51" s="452"/>
      <c r="CB51" s="452"/>
      <c r="CC51" s="453"/>
    </row>
    <row r="52" spans="1:81" ht="9.75" customHeight="1" x14ac:dyDescent="0.15">
      <c r="A52" s="3">
        <v>48</v>
      </c>
      <c r="B52" s="39"/>
      <c r="C52" s="40"/>
      <c r="D52" s="419" t="s">
        <v>422</v>
      </c>
      <c r="E52" s="420"/>
      <c r="F52" s="421"/>
      <c r="G52" s="445"/>
      <c r="H52" s="446"/>
      <c r="I52" s="446"/>
      <c r="J52" s="446"/>
      <c r="K52" s="1173"/>
      <c r="L52" s="448"/>
      <c r="M52" s="449"/>
      <c r="N52" s="449"/>
      <c r="O52" s="449"/>
      <c r="P52" s="1150"/>
      <c r="Q52" s="448"/>
      <c r="R52" s="449"/>
      <c r="S52" s="449"/>
      <c r="T52" s="449"/>
      <c r="U52" s="450"/>
      <c r="V52" s="919"/>
      <c r="W52" s="919"/>
      <c r="X52" s="419" t="s">
        <v>418</v>
      </c>
      <c r="Y52" s="420"/>
      <c r="Z52" s="421"/>
      <c r="AA52" s="448"/>
      <c r="AB52" s="449"/>
      <c r="AC52" s="449"/>
      <c r="AD52" s="449"/>
      <c r="AE52" s="1150"/>
      <c r="AF52" s="448"/>
      <c r="AG52" s="449"/>
      <c r="AH52" s="449"/>
      <c r="AI52" s="449"/>
      <c r="AJ52" s="1150"/>
      <c r="AK52" s="445"/>
      <c r="AL52" s="446"/>
      <c r="AM52" s="446"/>
      <c r="AN52" s="446"/>
      <c r="AO52" s="1173"/>
      <c r="AP52" s="448"/>
      <c r="AQ52" s="449"/>
      <c r="AR52" s="449"/>
      <c r="AS52" s="449"/>
      <c r="AT52" s="1150"/>
      <c r="AU52" s="448"/>
      <c r="AV52" s="449"/>
      <c r="AW52" s="449"/>
      <c r="AX52" s="449"/>
      <c r="AY52" s="1150"/>
      <c r="AZ52" s="448"/>
      <c r="BA52" s="449"/>
      <c r="BB52" s="449"/>
      <c r="BC52" s="449"/>
      <c r="BD52" s="1176"/>
      <c r="BE52" s="1171"/>
      <c r="BF52" s="449"/>
      <c r="BG52" s="449"/>
      <c r="BH52" s="449"/>
      <c r="BI52" s="450"/>
      <c r="BJ52" s="1262"/>
      <c r="BK52" s="420" t="s">
        <v>494</v>
      </c>
      <c r="BL52" s="420"/>
      <c r="BM52" s="1256"/>
      <c r="BN52" s="1257"/>
      <c r="BO52" s="448"/>
      <c r="BP52" s="449"/>
      <c r="BQ52" s="449"/>
      <c r="BR52" s="449"/>
      <c r="BS52" s="450"/>
      <c r="BT52" s="1167"/>
      <c r="BU52" s="1165"/>
      <c r="BV52" s="1165"/>
      <c r="BW52" s="1165"/>
      <c r="BX52" s="1168"/>
      <c r="BY52" s="1164"/>
      <c r="BZ52" s="1165"/>
      <c r="CA52" s="1165"/>
      <c r="CB52" s="1165"/>
      <c r="CC52" s="1166"/>
    </row>
    <row r="53" spans="1:81" ht="9.75" customHeight="1" x14ac:dyDescent="0.15">
      <c r="A53" s="3">
        <v>49</v>
      </c>
      <c r="B53" s="39"/>
      <c r="C53" s="40"/>
      <c r="D53" s="500" t="s">
        <v>423</v>
      </c>
      <c r="E53" s="501"/>
      <c r="F53" s="502"/>
      <c r="G53" s="454"/>
      <c r="H53" s="455"/>
      <c r="I53" s="455"/>
      <c r="J53" s="455"/>
      <c r="K53" s="1180"/>
      <c r="L53" s="1151"/>
      <c r="M53" s="1152"/>
      <c r="N53" s="1152"/>
      <c r="O53" s="1152"/>
      <c r="P53" s="1179"/>
      <c r="Q53" s="1151"/>
      <c r="R53" s="1152"/>
      <c r="S53" s="1152"/>
      <c r="T53" s="1152"/>
      <c r="U53" s="1153"/>
      <c r="V53" s="919"/>
      <c r="W53" s="919"/>
      <c r="X53" s="419" t="s">
        <v>419</v>
      </c>
      <c r="Y53" s="420"/>
      <c r="Z53" s="421"/>
      <c r="AA53" s="448"/>
      <c r="AB53" s="449"/>
      <c r="AC53" s="449"/>
      <c r="AD53" s="449"/>
      <c r="AE53" s="1150"/>
      <c r="AF53" s="448"/>
      <c r="AG53" s="449"/>
      <c r="AH53" s="449"/>
      <c r="AI53" s="449"/>
      <c r="AJ53" s="1150"/>
      <c r="AK53" s="445"/>
      <c r="AL53" s="446"/>
      <c r="AM53" s="446"/>
      <c r="AN53" s="446"/>
      <c r="AO53" s="1173"/>
      <c r="AP53" s="448"/>
      <c r="AQ53" s="449"/>
      <c r="AR53" s="449"/>
      <c r="AS53" s="449"/>
      <c r="AT53" s="1150"/>
      <c r="AU53" s="448"/>
      <c r="AV53" s="449"/>
      <c r="AW53" s="449"/>
      <c r="AX53" s="449"/>
      <c r="AY53" s="1150"/>
      <c r="AZ53" s="448"/>
      <c r="BA53" s="449"/>
      <c r="BB53" s="449"/>
      <c r="BC53" s="449"/>
      <c r="BD53" s="1176"/>
      <c r="BE53" s="1171"/>
      <c r="BF53" s="449"/>
      <c r="BG53" s="449"/>
      <c r="BH53" s="449"/>
      <c r="BI53" s="450"/>
      <c r="BJ53" s="1262"/>
      <c r="BK53" s="420" t="s">
        <v>495</v>
      </c>
      <c r="BL53" s="420"/>
      <c r="BM53" s="1256"/>
      <c r="BN53" s="1257"/>
      <c r="BO53" s="448"/>
      <c r="BP53" s="449"/>
      <c r="BQ53" s="449"/>
      <c r="BR53" s="449"/>
      <c r="BS53" s="450"/>
      <c r="BT53" s="1149"/>
      <c r="BU53" s="449"/>
      <c r="BV53" s="449"/>
      <c r="BW53" s="449"/>
      <c r="BX53" s="1150"/>
      <c r="BY53" s="448"/>
      <c r="BZ53" s="449"/>
      <c r="CA53" s="449"/>
      <c r="CB53" s="449"/>
      <c r="CC53" s="450"/>
    </row>
    <row r="54" spans="1:81" ht="9.75" customHeight="1" x14ac:dyDescent="0.15">
      <c r="A54" s="3">
        <v>50</v>
      </c>
      <c r="B54" s="494" t="s">
        <v>437</v>
      </c>
      <c r="C54" s="640"/>
      <c r="D54" s="640"/>
      <c r="E54" s="640"/>
      <c r="F54" s="641"/>
      <c r="G54" s="442"/>
      <c r="H54" s="443"/>
      <c r="I54" s="443"/>
      <c r="J54" s="443"/>
      <c r="K54" s="1178"/>
      <c r="L54" s="442"/>
      <c r="M54" s="443"/>
      <c r="N54" s="443"/>
      <c r="O54" s="443"/>
      <c r="P54" s="1178"/>
      <c r="Q54" s="442"/>
      <c r="R54" s="443"/>
      <c r="S54" s="443"/>
      <c r="T54" s="443"/>
      <c r="U54" s="444"/>
      <c r="V54" s="919"/>
      <c r="W54" s="919"/>
      <c r="X54" s="419" t="s">
        <v>420</v>
      </c>
      <c r="Y54" s="420"/>
      <c r="Z54" s="421"/>
      <c r="AA54" s="448"/>
      <c r="AB54" s="449"/>
      <c r="AC54" s="449"/>
      <c r="AD54" s="449"/>
      <c r="AE54" s="1150"/>
      <c r="AF54" s="448"/>
      <c r="AG54" s="449"/>
      <c r="AH54" s="449"/>
      <c r="AI54" s="449"/>
      <c r="AJ54" s="1150"/>
      <c r="AK54" s="445"/>
      <c r="AL54" s="446"/>
      <c r="AM54" s="446"/>
      <c r="AN54" s="446"/>
      <c r="AO54" s="1173"/>
      <c r="AP54" s="448"/>
      <c r="AQ54" s="449"/>
      <c r="AR54" s="449"/>
      <c r="AS54" s="449"/>
      <c r="AT54" s="1150"/>
      <c r="AU54" s="448"/>
      <c r="AV54" s="449"/>
      <c r="AW54" s="449"/>
      <c r="AX54" s="449"/>
      <c r="AY54" s="1150"/>
      <c r="AZ54" s="448"/>
      <c r="BA54" s="449"/>
      <c r="BB54" s="449"/>
      <c r="BC54" s="449"/>
      <c r="BD54" s="1176"/>
      <c r="BE54" s="1171"/>
      <c r="BF54" s="449"/>
      <c r="BG54" s="449"/>
      <c r="BH54" s="449"/>
      <c r="BI54" s="450"/>
      <c r="BJ54" s="1262"/>
      <c r="BK54" s="796" t="s">
        <v>496</v>
      </c>
      <c r="BL54" s="796"/>
      <c r="BM54" s="1181"/>
      <c r="BN54" s="1182"/>
      <c r="BO54" s="448"/>
      <c r="BP54" s="449"/>
      <c r="BQ54" s="449"/>
      <c r="BR54" s="449"/>
      <c r="BS54" s="450"/>
      <c r="BT54" s="1149"/>
      <c r="BU54" s="449"/>
      <c r="BV54" s="449"/>
      <c r="BW54" s="449"/>
      <c r="BX54" s="1150"/>
      <c r="BY54" s="448"/>
      <c r="BZ54" s="449"/>
      <c r="CA54" s="449"/>
      <c r="CB54" s="449"/>
      <c r="CC54" s="450"/>
    </row>
    <row r="55" spans="1:81" ht="9.75" customHeight="1" x14ac:dyDescent="0.15">
      <c r="A55" s="3">
        <v>51</v>
      </c>
      <c r="B55" s="39"/>
      <c r="C55" s="40"/>
      <c r="D55" s="419" t="s">
        <v>416</v>
      </c>
      <c r="E55" s="420"/>
      <c r="F55" s="421"/>
      <c r="G55" s="445"/>
      <c r="H55" s="446"/>
      <c r="I55" s="446"/>
      <c r="J55" s="446"/>
      <c r="K55" s="1173"/>
      <c r="L55" s="448"/>
      <c r="M55" s="449"/>
      <c r="N55" s="449"/>
      <c r="O55" s="449"/>
      <c r="P55" s="1150"/>
      <c r="Q55" s="448"/>
      <c r="R55" s="449"/>
      <c r="S55" s="449"/>
      <c r="T55" s="449"/>
      <c r="U55" s="450"/>
      <c r="V55" s="919"/>
      <c r="W55" s="919"/>
      <c r="X55" s="419" t="s">
        <v>422</v>
      </c>
      <c r="Y55" s="420"/>
      <c r="Z55" s="421"/>
      <c r="AA55" s="448"/>
      <c r="AB55" s="449"/>
      <c r="AC55" s="449"/>
      <c r="AD55" s="449"/>
      <c r="AE55" s="1150"/>
      <c r="AF55" s="448"/>
      <c r="AG55" s="449"/>
      <c r="AH55" s="449"/>
      <c r="AI55" s="449"/>
      <c r="AJ55" s="1150"/>
      <c r="AK55" s="445"/>
      <c r="AL55" s="446"/>
      <c r="AM55" s="446"/>
      <c r="AN55" s="446"/>
      <c r="AO55" s="1173"/>
      <c r="AP55" s="448"/>
      <c r="AQ55" s="449"/>
      <c r="AR55" s="449"/>
      <c r="AS55" s="449"/>
      <c r="AT55" s="1150"/>
      <c r="AU55" s="448"/>
      <c r="AV55" s="449"/>
      <c r="AW55" s="449"/>
      <c r="AX55" s="449"/>
      <c r="AY55" s="1150"/>
      <c r="AZ55" s="448"/>
      <c r="BA55" s="449"/>
      <c r="BB55" s="449"/>
      <c r="BC55" s="449"/>
      <c r="BD55" s="1176"/>
      <c r="BE55" s="1171"/>
      <c r="BF55" s="449"/>
      <c r="BG55" s="449"/>
      <c r="BH55" s="449"/>
      <c r="BI55" s="450"/>
      <c r="BJ55" s="1263"/>
      <c r="BK55" s="612" t="s">
        <v>497</v>
      </c>
      <c r="BL55" s="612"/>
      <c r="BM55" s="1266"/>
      <c r="BN55" s="1267"/>
      <c r="BO55" s="1151"/>
      <c r="BP55" s="1152"/>
      <c r="BQ55" s="1152"/>
      <c r="BR55" s="1152"/>
      <c r="BS55" s="1153"/>
      <c r="BT55" s="1149"/>
      <c r="BU55" s="449"/>
      <c r="BV55" s="449"/>
      <c r="BW55" s="449"/>
      <c r="BX55" s="1150"/>
      <c r="BY55" s="448"/>
      <c r="BZ55" s="449"/>
      <c r="CA55" s="449"/>
      <c r="CB55" s="449"/>
      <c r="CC55" s="450"/>
    </row>
    <row r="56" spans="1:81" ht="9.75" customHeight="1" x14ac:dyDescent="0.15">
      <c r="A56" s="3">
        <v>52</v>
      </c>
      <c r="B56" s="39"/>
      <c r="C56" s="40"/>
      <c r="D56" s="419" t="s">
        <v>417</v>
      </c>
      <c r="E56" s="420"/>
      <c r="F56" s="421"/>
      <c r="G56" s="445"/>
      <c r="H56" s="446"/>
      <c r="I56" s="446"/>
      <c r="J56" s="446"/>
      <c r="K56" s="1173"/>
      <c r="L56" s="448"/>
      <c r="M56" s="449"/>
      <c r="N56" s="449"/>
      <c r="O56" s="449"/>
      <c r="P56" s="1150"/>
      <c r="Q56" s="448"/>
      <c r="R56" s="449"/>
      <c r="S56" s="449"/>
      <c r="T56" s="449"/>
      <c r="U56" s="450"/>
      <c r="V56" s="920"/>
      <c r="W56" s="920"/>
      <c r="X56" s="611" t="s">
        <v>423</v>
      </c>
      <c r="Y56" s="612"/>
      <c r="Z56" s="613"/>
      <c r="AA56" s="1151"/>
      <c r="AB56" s="1152"/>
      <c r="AC56" s="1152"/>
      <c r="AD56" s="1152"/>
      <c r="AE56" s="1179"/>
      <c r="AF56" s="1151"/>
      <c r="AG56" s="1152"/>
      <c r="AH56" s="1152"/>
      <c r="AI56" s="1152"/>
      <c r="AJ56" s="1179"/>
      <c r="AK56" s="454"/>
      <c r="AL56" s="455"/>
      <c r="AM56" s="455"/>
      <c r="AN56" s="455"/>
      <c r="AO56" s="1180"/>
      <c r="AP56" s="1151"/>
      <c r="AQ56" s="1152"/>
      <c r="AR56" s="1152"/>
      <c r="AS56" s="1152"/>
      <c r="AT56" s="1179"/>
      <c r="AU56" s="1151"/>
      <c r="AV56" s="1152"/>
      <c r="AW56" s="1152"/>
      <c r="AX56" s="1152"/>
      <c r="AY56" s="1179"/>
      <c r="AZ56" s="1151"/>
      <c r="BA56" s="1152"/>
      <c r="BB56" s="1152"/>
      <c r="BC56" s="1152"/>
      <c r="BD56" s="1177"/>
      <c r="BE56" s="1172"/>
      <c r="BF56" s="1152"/>
      <c r="BG56" s="1152"/>
      <c r="BH56" s="1152"/>
      <c r="BI56" s="1153"/>
      <c r="BJ56" s="1268" t="s">
        <v>498</v>
      </c>
      <c r="BK56" s="593" t="s">
        <v>372</v>
      </c>
      <c r="BL56" s="593"/>
      <c r="BM56" s="1264" t="s">
        <v>372</v>
      </c>
      <c r="BN56" s="1265"/>
      <c r="BO56" s="469"/>
      <c r="BP56" s="470"/>
      <c r="BQ56" s="470"/>
      <c r="BR56" s="470"/>
      <c r="BS56" s="471"/>
      <c r="BT56" s="1149"/>
      <c r="BU56" s="449"/>
      <c r="BV56" s="449"/>
      <c r="BW56" s="449"/>
      <c r="BX56" s="1150"/>
      <c r="BY56" s="448"/>
      <c r="BZ56" s="449"/>
      <c r="CA56" s="449"/>
      <c r="CB56" s="449"/>
      <c r="CC56" s="450"/>
    </row>
    <row r="57" spans="1:81" ht="9.75" customHeight="1" x14ac:dyDescent="0.15">
      <c r="A57" s="3">
        <v>53</v>
      </c>
      <c r="B57" s="39"/>
      <c r="C57" s="40"/>
      <c r="D57" s="419" t="s">
        <v>418</v>
      </c>
      <c r="E57" s="420"/>
      <c r="F57" s="421"/>
      <c r="G57" s="445"/>
      <c r="H57" s="446"/>
      <c r="I57" s="446"/>
      <c r="J57" s="446"/>
      <c r="K57" s="1173"/>
      <c r="L57" s="448"/>
      <c r="M57" s="449"/>
      <c r="N57" s="449"/>
      <c r="O57" s="449"/>
      <c r="P57" s="1150"/>
      <c r="Q57" s="448"/>
      <c r="R57" s="449"/>
      <c r="S57" s="449"/>
      <c r="T57" s="449"/>
      <c r="U57" s="450"/>
      <c r="V57" s="997" t="s">
        <v>71</v>
      </c>
      <c r="W57" s="997"/>
      <c r="X57" s="41"/>
      <c r="Y57" s="41"/>
      <c r="Z57" s="42"/>
      <c r="AA57" s="442"/>
      <c r="AB57" s="443"/>
      <c r="AC57" s="443"/>
      <c r="AD57" s="443"/>
      <c r="AE57" s="1178"/>
      <c r="AF57" s="442"/>
      <c r="AG57" s="443"/>
      <c r="AH57" s="443"/>
      <c r="AI57" s="443"/>
      <c r="AJ57" s="1178"/>
      <c r="AK57" s="442"/>
      <c r="AL57" s="443"/>
      <c r="AM57" s="443"/>
      <c r="AN57" s="443"/>
      <c r="AO57" s="1178"/>
      <c r="AP57" s="442"/>
      <c r="AQ57" s="443"/>
      <c r="AR57" s="443"/>
      <c r="AS57" s="443"/>
      <c r="AT57" s="1178"/>
      <c r="AU57" s="442"/>
      <c r="AV57" s="443"/>
      <c r="AW57" s="443"/>
      <c r="AX57" s="443"/>
      <c r="AY57" s="1178"/>
      <c r="AZ57" s="442"/>
      <c r="BA57" s="443"/>
      <c r="BB57" s="443"/>
      <c r="BC57" s="443"/>
      <c r="BD57" s="1175"/>
      <c r="BE57" s="1154"/>
      <c r="BF57" s="443"/>
      <c r="BG57" s="443"/>
      <c r="BH57" s="443"/>
      <c r="BI57" s="444"/>
      <c r="BJ57" s="1262"/>
      <c r="BK57" s="420" t="s">
        <v>366</v>
      </c>
      <c r="BL57" s="420"/>
      <c r="BM57" s="1256" t="s">
        <v>366</v>
      </c>
      <c r="BN57" s="1257"/>
      <c r="BO57" s="448"/>
      <c r="BP57" s="449"/>
      <c r="BQ57" s="449"/>
      <c r="BR57" s="449"/>
      <c r="BS57" s="450"/>
      <c r="BT57" s="1149"/>
      <c r="BU57" s="449"/>
      <c r="BV57" s="449"/>
      <c r="BW57" s="449"/>
      <c r="BX57" s="1150"/>
      <c r="BY57" s="448"/>
      <c r="BZ57" s="449"/>
      <c r="CA57" s="449"/>
      <c r="CB57" s="449"/>
      <c r="CC57" s="450"/>
    </row>
    <row r="58" spans="1:81" ht="9.75" customHeight="1" x14ac:dyDescent="0.15">
      <c r="A58" s="3">
        <v>54</v>
      </c>
      <c r="B58" s="39"/>
      <c r="C58" s="40"/>
      <c r="D58" s="419" t="s">
        <v>419</v>
      </c>
      <c r="E58" s="420"/>
      <c r="F58" s="421"/>
      <c r="G58" s="445"/>
      <c r="H58" s="446"/>
      <c r="I58" s="446"/>
      <c r="J58" s="446"/>
      <c r="K58" s="1173"/>
      <c r="L58" s="448"/>
      <c r="M58" s="449"/>
      <c r="N58" s="449"/>
      <c r="O58" s="449"/>
      <c r="P58" s="1150"/>
      <c r="Q58" s="448"/>
      <c r="R58" s="449"/>
      <c r="S58" s="449"/>
      <c r="T58" s="449"/>
      <c r="U58" s="450"/>
      <c r="V58" s="919"/>
      <c r="W58" s="919"/>
      <c r="X58" s="419" t="s">
        <v>416</v>
      </c>
      <c r="Y58" s="420"/>
      <c r="Z58" s="421"/>
      <c r="AA58" s="445"/>
      <c r="AB58" s="446"/>
      <c r="AC58" s="446"/>
      <c r="AD58" s="446"/>
      <c r="AE58" s="1173"/>
      <c r="AF58" s="445"/>
      <c r="AG58" s="446"/>
      <c r="AH58" s="446"/>
      <c r="AI58" s="446"/>
      <c r="AJ58" s="1173"/>
      <c r="AK58" s="445"/>
      <c r="AL58" s="446"/>
      <c r="AM58" s="446"/>
      <c r="AN58" s="446"/>
      <c r="AO58" s="1173"/>
      <c r="AP58" s="445"/>
      <c r="AQ58" s="446"/>
      <c r="AR58" s="446"/>
      <c r="AS58" s="446"/>
      <c r="AT58" s="1173"/>
      <c r="AU58" s="445"/>
      <c r="AV58" s="446"/>
      <c r="AW58" s="446"/>
      <c r="AX58" s="446"/>
      <c r="AY58" s="1173"/>
      <c r="AZ58" s="445"/>
      <c r="BA58" s="446"/>
      <c r="BB58" s="446"/>
      <c r="BC58" s="446"/>
      <c r="BD58" s="1169"/>
      <c r="BE58" s="1155"/>
      <c r="BF58" s="446"/>
      <c r="BG58" s="446"/>
      <c r="BH58" s="446"/>
      <c r="BI58" s="447"/>
      <c r="BJ58" s="1262"/>
      <c r="BK58" s="420" t="s">
        <v>362</v>
      </c>
      <c r="BL58" s="420"/>
      <c r="BM58" s="1256" t="s">
        <v>362</v>
      </c>
      <c r="BN58" s="1257"/>
      <c r="BO58" s="448"/>
      <c r="BP58" s="449"/>
      <c r="BQ58" s="449"/>
      <c r="BR58" s="449"/>
      <c r="BS58" s="450"/>
      <c r="BT58" s="1149"/>
      <c r="BU58" s="449"/>
      <c r="BV58" s="449"/>
      <c r="BW58" s="449"/>
      <c r="BX58" s="1150"/>
      <c r="BY58" s="448"/>
      <c r="BZ58" s="449"/>
      <c r="CA58" s="449"/>
      <c r="CB58" s="449"/>
      <c r="CC58" s="450"/>
    </row>
    <row r="59" spans="1:81" ht="9.75" customHeight="1" x14ac:dyDescent="0.15">
      <c r="A59" s="3">
        <v>55</v>
      </c>
      <c r="B59" s="39"/>
      <c r="C59" s="40"/>
      <c r="D59" s="419" t="s">
        <v>420</v>
      </c>
      <c r="E59" s="420"/>
      <c r="F59" s="421"/>
      <c r="G59" s="445"/>
      <c r="H59" s="446"/>
      <c r="I59" s="446"/>
      <c r="J59" s="446"/>
      <c r="K59" s="1173"/>
      <c r="L59" s="448"/>
      <c r="M59" s="449"/>
      <c r="N59" s="449"/>
      <c r="O59" s="449"/>
      <c r="P59" s="1150"/>
      <c r="Q59" s="448"/>
      <c r="R59" s="449"/>
      <c r="S59" s="449"/>
      <c r="T59" s="449"/>
      <c r="U59" s="450"/>
      <c r="V59" s="919"/>
      <c r="W59" s="919"/>
      <c r="X59" s="419" t="s">
        <v>427</v>
      </c>
      <c r="Y59" s="420"/>
      <c r="Z59" s="421"/>
      <c r="AA59" s="445"/>
      <c r="AB59" s="446"/>
      <c r="AC59" s="446"/>
      <c r="AD59" s="446"/>
      <c r="AE59" s="1173"/>
      <c r="AF59" s="445"/>
      <c r="AG59" s="446"/>
      <c r="AH59" s="446"/>
      <c r="AI59" s="446"/>
      <c r="AJ59" s="1173"/>
      <c r="AK59" s="445"/>
      <c r="AL59" s="446"/>
      <c r="AM59" s="446"/>
      <c r="AN59" s="446"/>
      <c r="AO59" s="1173"/>
      <c r="AP59" s="445"/>
      <c r="AQ59" s="446"/>
      <c r="AR59" s="446"/>
      <c r="AS59" s="446"/>
      <c r="AT59" s="1173"/>
      <c r="AU59" s="445"/>
      <c r="AV59" s="446"/>
      <c r="AW59" s="446"/>
      <c r="AX59" s="446"/>
      <c r="AY59" s="1173"/>
      <c r="AZ59" s="445"/>
      <c r="BA59" s="446"/>
      <c r="BB59" s="446"/>
      <c r="BC59" s="446"/>
      <c r="BD59" s="1169"/>
      <c r="BE59" s="1155"/>
      <c r="BF59" s="446"/>
      <c r="BG59" s="446"/>
      <c r="BH59" s="446"/>
      <c r="BI59" s="447"/>
      <c r="BJ59" s="1262"/>
      <c r="BK59" s="420" t="s">
        <v>499</v>
      </c>
      <c r="BL59" s="420"/>
      <c r="BM59" s="1256" t="s">
        <v>499</v>
      </c>
      <c r="BN59" s="1257"/>
      <c r="BO59" s="448"/>
      <c r="BP59" s="449"/>
      <c r="BQ59" s="449"/>
      <c r="BR59" s="449"/>
      <c r="BS59" s="450"/>
      <c r="BT59" s="1149"/>
      <c r="BU59" s="449"/>
      <c r="BV59" s="449"/>
      <c r="BW59" s="449"/>
      <c r="BX59" s="1150"/>
      <c r="BY59" s="448"/>
      <c r="BZ59" s="449"/>
      <c r="CA59" s="449"/>
      <c r="CB59" s="449"/>
      <c r="CC59" s="450"/>
    </row>
    <row r="60" spans="1:81" ht="9.75" customHeight="1" x14ac:dyDescent="0.15">
      <c r="A60" s="3">
        <v>56</v>
      </c>
      <c r="B60" s="39"/>
      <c r="C60" s="40"/>
      <c r="D60" s="419" t="s">
        <v>422</v>
      </c>
      <c r="E60" s="420"/>
      <c r="F60" s="421"/>
      <c r="G60" s="445"/>
      <c r="H60" s="446"/>
      <c r="I60" s="446"/>
      <c r="J60" s="446"/>
      <c r="K60" s="1173"/>
      <c r="L60" s="448"/>
      <c r="M60" s="449"/>
      <c r="N60" s="449"/>
      <c r="O60" s="449"/>
      <c r="P60" s="1150"/>
      <c r="Q60" s="448"/>
      <c r="R60" s="449"/>
      <c r="S60" s="449"/>
      <c r="T60" s="449"/>
      <c r="U60" s="450"/>
      <c r="V60" s="919"/>
      <c r="W60" s="919"/>
      <c r="X60" s="419" t="s">
        <v>428</v>
      </c>
      <c r="Y60" s="420"/>
      <c r="Z60" s="421"/>
      <c r="AA60" s="445"/>
      <c r="AB60" s="446"/>
      <c r="AC60" s="446"/>
      <c r="AD60" s="446"/>
      <c r="AE60" s="1173"/>
      <c r="AF60" s="445"/>
      <c r="AG60" s="446"/>
      <c r="AH60" s="446"/>
      <c r="AI60" s="446"/>
      <c r="AJ60" s="1173"/>
      <c r="AK60" s="445"/>
      <c r="AL60" s="446"/>
      <c r="AM60" s="446"/>
      <c r="AN60" s="446"/>
      <c r="AO60" s="1173"/>
      <c r="AP60" s="445"/>
      <c r="AQ60" s="446"/>
      <c r="AR60" s="446"/>
      <c r="AS60" s="446"/>
      <c r="AT60" s="1173"/>
      <c r="AU60" s="445"/>
      <c r="AV60" s="446"/>
      <c r="AW60" s="446"/>
      <c r="AX60" s="446"/>
      <c r="AY60" s="1173"/>
      <c r="AZ60" s="445"/>
      <c r="BA60" s="446"/>
      <c r="BB60" s="446"/>
      <c r="BC60" s="446"/>
      <c r="BD60" s="1169"/>
      <c r="BE60" s="1155"/>
      <c r="BF60" s="446"/>
      <c r="BG60" s="446"/>
      <c r="BH60" s="446"/>
      <c r="BI60" s="447"/>
      <c r="BJ60" s="1262"/>
      <c r="BK60" s="420" t="s">
        <v>133</v>
      </c>
      <c r="BL60" s="420"/>
      <c r="BM60" s="1256" t="s">
        <v>133</v>
      </c>
      <c r="BN60" s="1257"/>
      <c r="BO60" s="448"/>
      <c r="BP60" s="449"/>
      <c r="BQ60" s="449"/>
      <c r="BR60" s="449"/>
      <c r="BS60" s="450"/>
      <c r="BT60" s="1149"/>
      <c r="BU60" s="449"/>
      <c r="BV60" s="449"/>
      <c r="BW60" s="449"/>
      <c r="BX60" s="1150"/>
      <c r="BY60" s="448"/>
      <c r="BZ60" s="449"/>
      <c r="CA60" s="449"/>
      <c r="CB60" s="449"/>
      <c r="CC60" s="450"/>
    </row>
    <row r="61" spans="1:81" ht="9.75" customHeight="1" thickBot="1" x14ac:dyDescent="0.2">
      <c r="A61" s="3">
        <v>57</v>
      </c>
      <c r="B61" s="43"/>
      <c r="C61" s="44"/>
      <c r="D61" s="686" t="s">
        <v>423</v>
      </c>
      <c r="E61" s="687"/>
      <c r="F61" s="688"/>
      <c r="G61" s="463"/>
      <c r="H61" s="464"/>
      <c r="I61" s="464"/>
      <c r="J61" s="464"/>
      <c r="K61" s="1174"/>
      <c r="L61" s="451"/>
      <c r="M61" s="452"/>
      <c r="N61" s="452"/>
      <c r="O61" s="452"/>
      <c r="P61" s="1163"/>
      <c r="Q61" s="451"/>
      <c r="R61" s="452"/>
      <c r="S61" s="452"/>
      <c r="T61" s="452"/>
      <c r="U61" s="453"/>
      <c r="V61" s="919"/>
      <c r="W61" s="919"/>
      <c r="X61" s="419" t="s">
        <v>431</v>
      </c>
      <c r="Y61" s="420"/>
      <c r="Z61" s="421"/>
      <c r="AA61" s="445"/>
      <c r="AB61" s="446"/>
      <c r="AC61" s="446"/>
      <c r="AD61" s="446"/>
      <c r="AE61" s="1173"/>
      <c r="AF61" s="445"/>
      <c r="AG61" s="446"/>
      <c r="AH61" s="446"/>
      <c r="AI61" s="446"/>
      <c r="AJ61" s="1173"/>
      <c r="AK61" s="445"/>
      <c r="AL61" s="446"/>
      <c r="AM61" s="446"/>
      <c r="AN61" s="446"/>
      <c r="AO61" s="1173"/>
      <c r="AP61" s="445"/>
      <c r="AQ61" s="446"/>
      <c r="AR61" s="446"/>
      <c r="AS61" s="446"/>
      <c r="AT61" s="1173"/>
      <c r="AU61" s="445"/>
      <c r="AV61" s="446"/>
      <c r="AW61" s="446"/>
      <c r="AX61" s="446"/>
      <c r="AY61" s="1173"/>
      <c r="AZ61" s="445"/>
      <c r="BA61" s="446"/>
      <c r="BB61" s="446"/>
      <c r="BC61" s="446"/>
      <c r="BD61" s="1169"/>
      <c r="BE61" s="1155"/>
      <c r="BF61" s="446"/>
      <c r="BG61" s="446"/>
      <c r="BH61" s="446"/>
      <c r="BI61" s="447"/>
      <c r="BJ61" s="1262"/>
      <c r="BK61" s="796" t="s">
        <v>500</v>
      </c>
      <c r="BL61" s="796"/>
      <c r="BM61" s="1181" t="s">
        <v>500</v>
      </c>
      <c r="BN61" s="1182"/>
      <c r="BO61" s="448"/>
      <c r="BP61" s="449"/>
      <c r="BQ61" s="449"/>
      <c r="BR61" s="449"/>
      <c r="BS61" s="450"/>
      <c r="BT61" s="1149"/>
      <c r="BU61" s="449"/>
      <c r="BV61" s="449"/>
      <c r="BW61" s="449"/>
      <c r="BX61" s="1150"/>
      <c r="BY61" s="448"/>
      <c r="BZ61" s="449"/>
      <c r="CA61" s="449"/>
      <c r="CB61" s="449"/>
      <c r="CC61" s="450"/>
    </row>
    <row r="62" spans="1:81" ht="9.75" customHeight="1" x14ac:dyDescent="0.15">
      <c r="A62" s="3">
        <v>58</v>
      </c>
      <c r="B62" s="340"/>
      <c r="C62" s="322"/>
      <c r="D62" s="322"/>
      <c r="E62" s="322"/>
      <c r="F62" s="322"/>
      <c r="G62" s="124"/>
      <c r="H62" s="124"/>
      <c r="I62" s="124"/>
      <c r="J62" s="124"/>
      <c r="K62" s="124"/>
      <c r="L62" s="341"/>
      <c r="M62" s="341"/>
      <c r="N62" s="341"/>
      <c r="O62" s="341"/>
      <c r="P62" s="341"/>
      <c r="Q62" s="342"/>
      <c r="R62" s="342"/>
      <c r="S62" s="342"/>
      <c r="T62" s="342"/>
      <c r="U62" s="342"/>
      <c r="V62" s="870"/>
      <c r="W62" s="919"/>
      <c r="X62" s="419" t="s">
        <v>432</v>
      </c>
      <c r="Y62" s="420"/>
      <c r="Z62" s="421"/>
      <c r="AA62" s="445"/>
      <c r="AB62" s="446"/>
      <c r="AC62" s="446"/>
      <c r="AD62" s="446"/>
      <c r="AE62" s="1173"/>
      <c r="AF62" s="445"/>
      <c r="AG62" s="446"/>
      <c r="AH62" s="446"/>
      <c r="AI62" s="446"/>
      <c r="AJ62" s="1173"/>
      <c r="AK62" s="445"/>
      <c r="AL62" s="446"/>
      <c r="AM62" s="446"/>
      <c r="AN62" s="446"/>
      <c r="AO62" s="1173"/>
      <c r="AP62" s="445"/>
      <c r="AQ62" s="446"/>
      <c r="AR62" s="446"/>
      <c r="AS62" s="446"/>
      <c r="AT62" s="1173"/>
      <c r="AU62" s="445"/>
      <c r="AV62" s="446"/>
      <c r="AW62" s="446"/>
      <c r="AX62" s="446"/>
      <c r="AY62" s="1173"/>
      <c r="AZ62" s="445"/>
      <c r="BA62" s="446"/>
      <c r="BB62" s="446"/>
      <c r="BC62" s="446"/>
      <c r="BD62" s="1169"/>
      <c r="BE62" s="1155"/>
      <c r="BF62" s="446"/>
      <c r="BG62" s="446"/>
      <c r="BH62" s="446"/>
      <c r="BI62" s="447"/>
      <c r="BJ62" s="1262"/>
      <c r="BK62" s="420" t="s">
        <v>381</v>
      </c>
      <c r="BL62" s="420"/>
      <c r="BM62" s="1256" t="s">
        <v>381</v>
      </c>
      <c r="BN62" s="1257"/>
      <c r="BO62" s="448"/>
      <c r="BP62" s="449"/>
      <c r="BQ62" s="449"/>
      <c r="BR62" s="449"/>
      <c r="BS62" s="450"/>
      <c r="BT62" s="1149"/>
      <c r="BU62" s="449"/>
      <c r="BV62" s="449"/>
      <c r="BW62" s="449"/>
      <c r="BX62" s="1150"/>
      <c r="BY62" s="448"/>
      <c r="BZ62" s="449"/>
      <c r="CA62" s="449"/>
      <c r="CB62" s="449"/>
      <c r="CC62" s="450"/>
    </row>
    <row r="63" spans="1:81" s="3" customFormat="1" ht="9.75" customHeight="1" x14ac:dyDescent="0.15">
      <c r="A63" s="3">
        <v>59</v>
      </c>
      <c r="B63" s="53"/>
      <c r="V63" s="870"/>
      <c r="W63" s="919"/>
      <c r="X63" s="419" t="s">
        <v>433</v>
      </c>
      <c r="Y63" s="420"/>
      <c r="Z63" s="421"/>
      <c r="AA63" s="445"/>
      <c r="AB63" s="446"/>
      <c r="AC63" s="446"/>
      <c r="AD63" s="446"/>
      <c r="AE63" s="1173"/>
      <c r="AF63" s="445"/>
      <c r="AG63" s="446"/>
      <c r="AH63" s="446"/>
      <c r="AI63" s="446"/>
      <c r="AJ63" s="1173"/>
      <c r="AK63" s="445"/>
      <c r="AL63" s="446"/>
      <c r="AM63" s="446"/>
      <c r="AN63" s="446"/>
      <c r="AO63" s="1173"/>
      <c r="AP63" s="445"/>
      <c r="AQ63" s="446"/>
      <c r="AR63" s="446"/>
      <c r="AS63" s="446"/>
      <c r="AT63" s="1173"/>
      <c r="AU63" s="445"/>
      <c r="AV63" s="446"/>
      <c r="AW63" s="446"/>
      <c r="AX63" s="446"/>
      <c r="AY63" s="1173"/>
      <c r="AZ63" s="445"/>
      <c r="BA63" s="446"/>
      <c r="BB63" s="446"/>
      <c r="BC63" s="446"/>
      <c r="BD63" s="1169"/>
      <c r="BE63" s="1155"/>
      <c r="BF63" s="446"/>
      <c r="BG63" s="446"/>
      <c r="BH63" s="446"/>
      <c r="BI63" s="447"/>
      <c r="BJ63" s="1263"/>
      <c r="BK63" s="612" t="s">
        <v>384</v>
      </c>
      <c r="BL63" s="612"/>
      <c r="BM63" s="1266" t="s">
        <v>384</v>
      </c>
      <c r="BN63" s="1267"/>
      <c r="BO63" s="1151"/>
      <c r="BP63" s="1152"/>
      <c r="BQ63" s="1152"/>
      <c r="BR63" s="1152"/>
      <c r="BS63" s="1153"/>
      <c r="BT63" s="1149"/>
      <c r="BU63" s="449"/>
      <c r="BV63" s="449"/>
      <c r="BW63" s="449"/>
      <c r="BX63" s="1150"/>
      <c r="BY63" s="448"/>
      <c r="BZ63" s="449"/>
      <c r="CA63" s="449"/>
      <c r="CB63" s="449"/>
      <c r="CC63" s="450"/>
    </row>
    <row r="64" spans="1:81" ht="9.75" customHeight="1" thickBot="1" x14ac:dyDescent="0.2">
      <c r="A64" s="3">
        <v>60</v>
      </c>
      <c r="B64" s="5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1073"/>
      <c r="W64" s="1074"/>
      <c r="X64" s="686" t="s">
        <v>423</v>
      </c>
      <c r="Y64" s="687"/>
      <c r="Z64" s="688"/>
      <c r="AA64" s="463"/>
      <c r="AB64" s="464"/>
      <c r="AC64" s="464"/>
      <c r="AD64" s="464"/>
      <c r="AE64" s="1174"/>
      <c r="AF64" s="463"/>
      <c r="AG64" s="464"/>
      <c r="AH64" s="464"/>
      <c r="AI64" s="464"/>
      <c r="AJ64" s="1174"/>
      <c r="AK64" s="463"/>
      <c r="AL64" s="464"/>
      <c r="AM64" s="464"/>
      <c r="AN64" s="464"/>
      <c r="AO64" s="1174"/>
      <c r="AP64" s="463"/>
      <c r="AQ64" s="464"/>
      <c r="AR64" s="464"/>
      <c r="AS64" s="464"/>
      <c r="AT64" s="1174"/>
      <c r="AU64" s="463"/>
      <c r="AV64" s="464"/>
      <c r="AW64" s="464"/>
      <c r="AX64" s="464"/>
      <c r="AY64" s="1174"/>
      <c r="AZ64" s="463"/>
      <c r="BA64" s="464"/>
      <c r="BB64" s="464"/>
      <c r="BC64" s="464"/>
      <c r="BD64" s="1170"/>
      <c r="BE64" s="1271"/>
      <c r="BF64" s="464"/>
      <c r="BG64" s="464"/>
      <c r="BH64" s="464"/>
      <c r="BI64" s="465"/>
      <c r="BJ64" s="605" t="s">
        <v>101</v>
      </c>
      <c r="BK64" s="1269"/>
      <c r="BL64" s="1269"/>
      <c r="BM64" s="1269"/>
      <c r="BN64" s="1270"/>
      <c r="BO64" s="1156"/>
      <c r="BP64" s="1157"/>
      <c r="BQ64" s="1157"/>
      <c r="BR64" s="1157"/>
      <c r="BS64" s="1158"/>
      <c r="BT64" s="1149"/>
      <c r="BU64" s="449"/>
      <c r="BV64" s="449"/>
      <c r="BW64" s="449"/>
      <c r="BX64" s="1150"/>
      <c r="BY64" s="448"/>
      <c r="BZ64" s="449"/>
      <c r="CA64" s="449"/>
      <c r="CB64" s="449"/>
      <c r="CC64" s="450"/>
    </row>
    <row r="65" spans="1:81" ht="9.75" customHeight="1" x14ac:dyDescent="0.15">
      <c r="A65" s="3">
        <v>61</v>
      </c>
      <c r="B65" s="152"/>
      <c r="C65" s="301"/>
      <c r="D65" s="301"/>
      <c r="E65" s="301"/>
      <c r="F65" s="301"/>
      <c r="G65" s="301"/>
      <c r="H65" s="301"/>
      <c r="I65" s="301"/>
      <c r="J65" s="301"/>
      <c r="K65" s="301"/>
      <c r="L65" s="301"/>
      <c r="M65" s="301"/>
      <c r="N65" s="301"/>
      <c r="O65" s="301"/>
      <c r="P65" s="301"/>
      <c r="Q65" s="301"/>
      <c r="R65" s="301"/>
      <c r="S65" s="301"/>
      <c r="T65" s="301"/>
      <c r="U65" s="301"/>
      <c r="V65" s="343"/>
      <c r="W65" s="343"/>
      <c r="X65" s="156"/>
      <c r="Y65" s="156"/>
      <c r="Z65" s="156"/>
      <c r="AA65" s="344"/>
      <c r="AB65" s="344"/>
      <c r="AC65" s="344"/>
      <c r="AD65" s="344"/>
      <c r="AE65" s="344"/>
      <c r="AF65" s="344"/>
      <c r="AG65" s="344"/>
      <c r="AH65" s="344"/>
      <c r="AI65" s="344"/>
      <c r="AJ65" s="344"/>
      <c r="AK65" s="344"/>
      <c r="AL65" s="344"/>
      <c r="AM65" s="344"/>
      <c r="AN65" s="344"/>
      <c r="AO65" s="344"/>
      <c r="AP65" s="344"/>
      <c r="AQ65" s="344"/>
      <c r="AR65" s="344"/>
      <c r="AS65" s="344"/>
      <c r="AT65" s="344"/>
      <c r="AU65" s="344"/>
      <c r="AV65" s="344"/>
      <c r="AW65" s="344"/>
      <c r="AX65" s="344"/>
      <c r="AY65" s="344"/>
      <c r="AZ65" s="344"/>
      <c r="BA65" s="344"/>
      <c r="BB65" s="344"/>
      <c r="BC65" s="344"/>
      <c r="BD65" s="344"/>
      <c r="BE65" s="344"/>
      <c r="BF65" s="344"/>
      <c r="BG65" s="344"/>
      <c r="BH65" s="344"/>
      <c r="BI65" s="344"/>
      <c r="BJ65" s="1272" t="s">
        <v>501</v>
      </c>
      <c r="BK65" s="1273"/>
      <c r="BL65" s="1273"/>
      <c r="BM65" s="1273"/>
      <c r="BN65" s="1274"/>
      <c r="BO65" s="1156"/>
      <c r="BP65" s="1157"/>
      <c r="BQ65" s="1157"/>
      <c r="BR65" s="1157"/>
      <c r="BS65" s="1158"/>
      <c r="BT65" s="1149"/>
      <c r="BU65" s="449"/>
      <c r="BV65" s="449"/>
      <c r="BW65" s="449"/>
      <c r="BX65" s="1150"/>
      <c r="BY65" s="448"/>
      <c r="BZ65" s="449"/>
      <c r="CA65" s="449"/>
      <c r="CB65" s="449"/>
      <c r="CC65" s="450"/>
    </row>
    <row r="66" spans="1:81" ht="9.75" customHeight="1" thickBot="1" x14ac:dyDescent="0.2">
      <c r="A66" s="3">
        <v>62</v>
      </c>
      <c r="B66" s="93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345"/>
      <c r="W66" s="345"/>
      <c r="X66" s="98"/>
      <c r="Y66" s="98"/>
      <c r="Z66" s="98"/>
      <c r="AA66" s="346"/>
      <c r="AB66" s="346"/>
      <c r="AC66" s="346"/>
      <c r="AD66" s="346"/>
      <c r="AE66" s="346"/>
      <c r="AF66" s="346"/>
      <c r="AG66" s="346"/>
      <c r="AH66" s="346"/>
      <c r="AI66" s="346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346"/>
      <c r="AU66" s="346"/>
      <c r="AV66" s="346"/>
      <c r="AW66" s="346"/>
      <c r="AX66" s="346"/>
      <c r="AY66" s="346"/>
      <c r="AZ66" s="346"/>
      <c r="BA66" s="346"/>
      <c r="BB66" s="346"/>
      <c r="BC66" s="346"/>
      <c r="BD66" s="346"/>
      <c r="BE66" s="346"/>
      <c r="BF66" s="346"/>
      <c r="BG66" s="346"/>
      <c r="BH66" s="346"/>
      <c r="BI66" s="346"/>
      <c r="BJ66" s="1275" t="s">
        <v>502</v>
      </c>
      <c r="BK66" s="1276"/>
      <c r="BL66" s="1276"/>
      <c r="BM66" s="1276"/>
      <c r="BN66" s="1277"/>
      <c r="BO66" s="1159"/>
      <c r="BP66" s="1160"/>
      <c r="BQ66" s="1160"/>
      <c r="BR66" s="1160"/>
      <c r="BS66" s="1161"/>
      <c r="BT66" s="1162"/>
      <c r="BU66" s="452"/>
      <c r="BV66" s="452"/>
      <c r="BW66" s="452"/>
      <c r="BX66" s="1163"/>
      <c r="BY66" s="451"/>
      <c r="BZ66" s="452"/>
      <c r="CA66" s="452"/>
      <c r="CB66" s="452"/>
      <c r="CC66" s="453"/>
    </row>
    <row r="67" spans="1:81" ht="9.75" customHeight="1" x14ac:dyDescent="0.15">
      <c r="B67" s="581">
        <v>1</v>
      </c>
      <c r="C67" s="581"/>
      <c r="D67" s="581"/>
      <c r="E67" s="581"/>
      <c r="F67" s="581"/>
      <c r="G67" s="581">
        <v>2</v>
      </c>
      <c r="H67" s="581"/>
      <c r="I67" s="581"/>
      <c r="J67" s="581"/>
      <c r="K67" s="581"/>
      <c r="L67" s="581">
        <v>3</v>
      </c>
      <c r="M67" s="581"/>
      <c r="N67" s="581"/>
      <c r="O67" s="581"/>
      <c r="P67" s="581"/>
      <c r="Q67" s="581">
        <v>4</v>
      </c>
      <c r="R67" s="581"/>
      <c r="S67" s="581"/>
      <c r="T67" s="581"/>
      <c r="U67" s="581"/>
      <c r="V67" s="581">
        <v>5</v>
      </c>
      <c r="W67" s="581"/>
      <c r="X67" s="581"/>
      <c r="Y67" s="581"/>
      <c r="Z67" s="581"/>
      <c r="AA67" s="581">
        <v>6</v>
      </c>
      <c r="AB67" s="581"/>
      <c r="AC67" s="581"/>
      <c r="AD67" s="581"/>
      <c r="AE67" s="581"/>
      <c r="AF67" s="581">
        <v>7</v>
      </c>
      <c r="AG67" s="581"/>
      <c r="AH67" s="581"/>
      <c r="AI67" s="581"/>
      <c r="AJ67" s="581"/>
      <c r="AK67" s="581">
        <v>8</v>
      </c>
      <c r="AL67" s="581"/>
      <c r="AM67" s="581"/>
      <c r="AN67" s="581"/>
      <c r="AO67" s="581"/>
      <c r="AP67" s="581">
        <v>9</v>
      </c>
      <c r="AQ67" s="581"/>
      <c r="AR67" s="581"/>
      <c r="AS67" s="581"/>
      <c r="AT67" s="581"/>
      <c r="AU67" s="581">
        <v>10</v>
      </c>
      <c r="AV67" s="581"/>
      <c r="AW67" s="581"/>
      <c r="AX67" s="581"/>
      <c r="AY67" s="581"/>
      <c r="AZ67" s="581">
        <v>11</v>
      </c>
      <c r="BA67" s="581"/>
      <c r="BB67" s="581"/>
      <c r="BC67" s="581"/>
      <c r="BD67" s="581"/>
      <c r="BE67" s="581">
        <v>12</v>
      </c>
      <c r="BF67" s="581"/>
      <c r="BG67" s="581"/>
      <c r="BH67" s="581"/>
      <c r="BI67" s="581"/>
      <c r="BJ67" s="581">
        <v>13</v>
      </c>
      <c r="BK67" s="581"/>
      <c r="BL67" s="581"/>
      <c r="BM67" s="581"/>
      <c r="BN67" s="581"/>
      <c r="BO67" s="581">
        <v>14</v>
      </c>
      <c r="BP67" s="581"/>
      <c r="BQ67" s="581"/>
      <c r="BR67" s="581"/>
      <c r="BS67" s="581"/>
      <c r="BT67" s="581">
        <v>15</v>
      </c>
      <c r="BU67" s="581"/>
      <c r="BV67" s="581"/>
      <c r="BW67" s="581"/>
      <c r="BX67" s="581"/>
      <c r="BY67" s="581">
        <v>16</v>
      </c>
      <c r="BZ67" s="581"/>
      <c r="CA67" s="581"/>
      <c r="CB67" s="581"/>
      <c r="CC67" s="581"/>
    </row>
  </sheetData>
  <mergeCells count="863">
    <mergeCell ref="BT67:BX67"/>
    <mergeCell ref="BY67:CC67"/>
    <mergeCell ref="AP67:AT67"/>
    <mergeCell ref="AU67:AY67"/>
    <mergeCell ref="AZ67:BD67"/>
    <mergeCell ref="BE67:BI67"/>
    <mergeCell ref="BJ67:BN67"/>
    <mergeCell ref="BO67:BS67"/>
    <mergeCell ref="BJ65:BN65"/>
    <mergeCell ref="BJ66:BN66"/>
    <mergeCell ref="D61:F61"/>
    <mergeCell ref="X61:Z61"/>
    <mergeCell ref="BK61:BN61"/>
    <mergeCell ref="B67:F67"/>
    <mergeCell ref="G67:K67"/>
    <mergeCell ref="L67:P67"/>
    <mergeCell ref="Q67:U67"/>
    <mergeCell ref="V67:Z67"/>
    <mergeCell ref="AA67:AE67"/>
    <mergeCell ref="AF67:AJ67"/>
    <mergeCell ref="AK67:AO67"/>
    <mergeCell ref="X62:Z62"/>
    <mergeCell ref="BE64:BI64"/>
    <mergeCell ref="D58:F58"/>
    <mergeCell ref="X58:Z58"/>
    <mergeCell ref="BK58:BN58"/>
    <mergeCell ref="D59:F59"/>
    <mergeCell ref="X59:Z59"/>
    <mergeCell ref="BK59:BN59"/>
    <mergeCell ref="D55:F55"/>
    <mergeCell ref="X55:Z55"/>
    <mergeCell ref="BK55:BN55"/>
    <mergeCell ref="D56:F56"/>
    <mergeCell ref="X56:Z56"/>
    <mergeCell ref="BJ56:BJ63"/>
    <mergeCell ref="BK56:BN56"/>
    <mergeCell ref="D57:F57"/>
    <mergeCell ref="V57:W64"/>
    <mergeCell ref="BK57:BN57"/>
    <mergeCell ref="BK62:BN62"/>
    <mergeCell ref="X63:Z63"/>
    <mergeCell ref="BK63:BN63"/>
    <mergeCell ref="X64:Z64"/>
    <mergeCell ref="BJ64:BN64"/>
    <mergeCell ref="D60:F60"/>
    <mergeCell ref="X60:Z60"/>
    <mergeCell ref="BK60:BN60"/>
    <mergeCell ref="D49:F49"/>
    <mergeCell ref="V49:W56"/>
    <mergeCell ref="BJ49:BN49"/>
    <mergeCell ref="BT49:BX49"/>
    <mergeCell ref="D50:F50"/>
    <mergeCell ref="X50:Z50"/>
    <mergeCell ref="D53:F53"/>
    <mergeCell ref="X53:Z53"/>
    <mergeCell ref="BK53:BN53"/>
    <mergeCell ref="B54:F54"/>
    <mergeCell ref="X54:Z54"/>
    <mergeCell ref="BK54:BN54"/>
    <mergeCell ref="BK50:BN50"/>
    <mergeCell ref="BT50:BX50"/>
    <mergeCell ref="D51:F51"/>
    <mergeCell ref="X51:Z51"/>
    <mergeCell ref="BJ51:BJ55"/>
    <mergeCell ref="BK51:BN51"/>
    <mergeCell ref="BT51:BX51"/>
    <mergeCell ref="D52:F52"/>
    <mergeCell ref="X52:Z52"/>
    <mergeCell ref="BK52:BN52"/>
    <mergeCell ref="G56:K56"/>
    <mergeCell ref="L56:P56"/>
    <mergeCell ref="B46:F46"/>
    <mergeCell ref="X46:Z46"/>
    <mergeCell ref="BK46:BN46"/>
    <mergeCell ref="BT46:BX46"/>
    <mergeCell ref="D45:F45"/>
    <mergeCell ref="X45:Z45"/>
    <mergeCell ref="BK45:BN45"/>
    <mergeCell ref="BT45:BX45"/>
    <mergeCell ref="V41:W48"/>
    <mergeCell ref="BK41:BN41"/>
    <mergeCell ref="BU41:BX41"/>
    <mergeCell ref="D42:F42"/>
    <mergeCell ref="X42:Z42"/>
    <mergeCell ref="BK42:BN42"/>
    <mergeCell ref="BT42:BX42"/>
    <mergeCell ref="D48:F48"/>
    <mergeCell ref="X48:Z48"/>
    <mergeCell ref="BK48:BN48"/>
    <mergeCell ref="BT48:BX48"/>
    <mergeCell ref="D43:F43"/>
    <mergeCell ref="X43:Z43"/>
    <mergeCell ref="BK43:BN43"/>
    <mergeCell ref="BJ39:BJ48"/>
    <mergeCell ref="V39:Z40"/>
    <mergeCell ref="D47:F47"/>
    <mergeCell ref="X47:Z47"/>
    <mergeCell ref="BK47:BN47"/>
    <mergeCell ref="BT47:BX47"/>
    <mergeCell ref="D37:F37"/>
    <mergeCell ref="V37:Z37"/>
    <mergeCell ref="AP37:AT37"/>
    <mergeCell ref="BJ37:BN37"/>
    <mergeCell ref="B38:F38"/>
    <mergeCell ref="BT38:CC38"/>
    <mergeCell ref="BK39:BN39"/>
    <mergeCell ref="BT39:BX39"/>
    <mergeCell ref="D40:F40"/>
    <mergeCell ref="AF40:AJ40"/>
    <mergeCell ref="AK40:AO40"/>
    <mergeCell ref="AU40:AY40"/>
    <mergeCell ref="BK40:BN40"/>
    <mergeCell ref="BT40:BX40"/>
    <mergeCell ref="D41:F41"/>
    <mergeCell ref="D39:F39"/>
    <mergeCell ref="BT43:BX43"/>
    <mergeCell ref="D44:F44"/>
    <mergeCell ref="X44:Z44"/>
    <mergeCell ref="BK44:BN44"/>
    <mergeCell ref="D35:F35"/>
    <mergeCell ref="X35:Z35"/>
    <mergeCell ref="AR35:AT35"/>
    <mergeCell ref="BL35:BN35"/>
    <mergeCell ref="D36:F36"/>
    <mergeCell ref="V36:Z36"/>
    <mergeCell ref="AP36:AT36"/>
    <mergeCell ref="BJ36:BN36"/>
    <mergeCell ref="D33:F33"/>
    <mergeCell ref="X33:Z33"/>
    <mergeCell ref="AR33:AT33"/>
    <mergeCell ref="BL33:BN33"/>
    <mergeCell ref="D34:F34"/>
    <mergeCell ref="Y34:Z34"/>
    <mergeCell ref="AS34:AT34"/>
    <mergeCell ref="BM34:BN34"/>
    <mergeCell ref="G33:K33"/>
    <mergeCell ref="G34:K34"/>
    <mergeCell ref="G35:K35"/>
    <mergeCell ref="G36:K36"/>
    <mergeCell ref="AF33:AJ33"/>
    <mergeCell ref="AF34:AJ34"/>
    <mergeCell ref="AF35:AJ35"/>
    <mergeCell ref="AF36:AJ36"/>
    <mergeCell ref="D31:F31"/>
    <mergeCell ref="Y31:Z31"/>
    <mergeCell ref="AS31:AT31"/>
    <mergeCell ref="BM31:BN31"/>
    <mergeCell ref="D32:F32"/>
    <mergeCell ref="Y32:Z32"/>
    <mergeCell ref="AS32:AT32"/>
    <mergeCell ref="BM32:BN32"/>
    <mergeCell ref="W29:Z29"/>
    <mergeCell ref="AQ29:AT29"/>
    <mergeCell ref="BK29:BN29"/>
    <mergeCell ref="B30:F30"/>
    <mergeCell ref="W30:Z30"/>
    <mergeCell ref="AQ30:AT30"/>
    <mergeCell ref="BK30:BN30"/>
    <mergeCell ref="G30:K30"/>
    <mergeCell ref="G31:K31"/>
    <mergeCell ref="G32:K32"/>
    <mergeCell ref="AU32:AY32"/>
    <mergeCell ref="AK30:AO30"/>
    <mergeCell ref="AK31:AO31"/>
    <mergeCell ref="AK32:AO32"/>
    <mergeCell ref="BE30:BI30"/>
    <mergeCell ref="BE31:BI31"/>
    <mergeCell ref="V27:Z27"/>
    <mergeCell ref="AP27:AT27"/>
    <mergeCell ref="BJ27:BN27"/>
    <mergeCell ref="B28:F29"/>
    <mergeCell ref="G28:K29"/>
    <mergeCell ref="V28:Z28"/>
    <mergeCell ref="AP28:AT28"/>
    <mergeCell ref="BJ28:BN28"/>
    <mergeCell ref="L29:P29"/>
    <mergeCell ref="Q29:U29"/>
    <mergeCell ref="AK27:AO27"/>
    <mergeCell ref="AK28:AO28"/>
    <mergeCell ref="AK29:AO29"/>
    <mergeCell ref="BE27:BI27"/>
    <mergeCell ref="BE28:BI28"/>
    <mergeCell ref="BE29:BI29"/>
    <mergeCell ref="B25:F25"/>
    <mergeCell ref="X25:Z25"/>
    <mergeCell ref="AR25:AT25"/>
    <mergeCell ref="BL25:BN25"/>
    <mergeCell ref="B26:F26"/>
    <mergeCell ref="V26:Z26"/>
    <mergeCell ref="AP26:AT26"/>
    <mergeCell ref="BJ26:BN26"/>
    <mergeCell ref="E23:F23"/>
    <mergeCell ref="X23:Z23"/>
    <mergeCell ref="AR23:AT23"/>
    <mergeCell ref="BL23:BN23"/>
    <mergeCell ref="D24:F24"/>
    <mergeCell ref="Y24:Z24"/>
    <mergeCell ref="AS24:AT24"/>
    <mergeCell ref="BM24:BN24"/>
    <mergeCell ref="G23:K23"/>
    <mergeCell ref="G24:K24"/>
    <mergeCell ref="G25:K25"/>
    <mergeCell ref="G26:K26"/>
    <mergeCell ref="L23:P23"/>
    <mergeCell ref="L24:P24"/>
    <mergeCell ref="L25:P25"/>
    <mergeCell ref="L26:P26"/>
    <mergeCell ref="E21:F21"/>
    <mergeCell ref="Y21:Z21"/>
    <mergeCell ref="AS21:AT21"/>
    <mergeCell ref="BM21:BN21"/>
    <mergeCell ref="D22:F22"/>
    <mergeCell ref="Y22:Z22"/>
    <mergeCell ref="AS22:AT22"/>
    <mergeCell ref="BM22:BN22"/>
    <mergeCell ref="C19:F19"/>
    <mergeCell ref="W19:Z19"/>
    <mergeCell ref="AQ19:AT19"/>
    <mergeCell ref="BK19:BN19"/>
    <mergeCell ref="E20:F20"/>
    <mergeCell ref="W20:Z20"/>
    <mergeCell ref="AQ20:AT20"/>
    <mergeCell ref="BK20:BN20"/>
    <mergeCell ref="G19:K19"/>
    <mergeCell ref="G20:K20"/>
    <mergeCell ref="G21:K21"/>
    <mergeCell ref="G22:K22"/>
    <mergeCell ref="L19:P19"/>
    <mergeCell ref="L20:P20"/>
    <mergeCell ref="L21:P21"/>
    <mergeCell ref="L22:P22"/>
    <mergeCell ref="BT17:BX17"/>
    <mergeCell ref="BY17:CC17"/>
    <mergeCell ref="C18:F18"/>
    <mergeCell ref="V18:Z18"/>
    <mergeCell ref="AP18:AT18"/>
    <mergeCell ref="BJ18:BN18"/>
    <mergeCell ref="BJ16:BN17"/>
    <mergeCell ref="BO16:BS17"/>
    <mergeCell ref="B17:F17"/>
    <mergeCell ref="AF17:AJ17"/>
    <mergeCell ref="AK17:AO17"/>
    <mergeCell ref="AZ17:BD17"/>
    <mergeCell ref="BE17:BI17"/>
    <mergeCell ref="G17:K17"/>
    <mergeCell ref="G18:K18"/>
    <mergeCell ref="L17:P17"/>
    <mergeCell ref="L18:P18"/>
    <mergeCell ref="Q17:U17"/>
    <mergeCell ref="Q18:U18"/>
    <mergeCell ref="BO18:BS18"/>
    <mergeCell ref="BY18:CC18"/>
    <mergeCell ref="BT18:BX18"/>
    <mergeCell ref="B15:F15"/>
    <mergeCell ref="B16:F16"/>
    <mergeCell ref="V16:Z17"/>
    <mergeCell ref="AA16:AE17"/>
    <mergeCell ref="AP16:AT17"/>
    <mergeCell ref="AU16:AY17"/>
    <mergeCell ref="D12:F12"/>
    <mergeCell ref="X12:Z12"/>
    <mergeCell ref="E13:F13"/>
    <mergeCell ref="Y13:Z13"/>
    <mergeCell ref="D14:F14"/>
    <mergeCell ref="X14:Z14"/>
    <mergeCell ref="G13:K13"/>
    <mergeCell ref="L13:P13"/>
    <mergeCell ref="Q13:U13"/>
    <mergeCell ref="G14:K14"/>
    <mergeCell ref="L14:P14"/>
    <mergeCell ref="Q14:U14"/>
    <mergeCell ref="G15:K15"/>
    <mergeCell ref="L15:P15"/>
    <mergeCell ref="Q15:U15"/>
    <mergeCell ref="G16:K16"/>
    <mergeCell ref="L16:P16"/>
    <mergeCell ref="Q16:U16"/>
    <mergeCell ref="C9:F9"/>
    <mergeCell ref="W9:Z9"/>
    <mergeCell ref="AZ9:BD9"/>
    <mergeCell ref="E10:F10"/>
    <mergeCell ref="Y10:Z10"/>
    <mergeCell ref="E11:F11"/>
    <mergeCell ref="Y11:Z11"/>
    <mergeCell ref="B7:F7"/>
    <mergeCell ref="V7:Z7"/>
    <mergeCell ref="AR7:AT7"/>
    <mergeCell ref="AZ7:BD7"/>
    <mergeCell ref="C8:F8"/>
    <mergeCell ref="W8:Z8"/>
    <mergeCell ref="AR8:AT8"/>
    <mergeCell ref="AZ8:BD8"/>
    <mergeCell ref="G7:K7"/>
    <mergeCell ref="L7:P7"/>
    <mergeCell ref="Q7:U7"/>
    <mergeCell ref="G8:K8"/>
    <mergeCell ref="L8:P8"/>
    <mergeCell ref="Q8:U8"/>
    <mergeCell ref="G9:K9"/>
    <mergeCell ref="L9:P9"/>
    <mergeCell ref="Q9:U9"/>
    <mergeCell ref="BE2:BI2"/>
    <mergeCell ref="BJ2:BS2"/>
    <mergeCell ref="BT2:BX2"/>
    <mergeCell ref="BY2:CC2"/>
    <mergeCell ref="B5:F6"/>
    <mergeCell ref="G5:K6"/>
    <mergeCell ref="V5:Z6"/>
    <mergeCell ref="AA5:AE6"/>
    <mergeCell ref="AP5:AT5"/>
    <mergeCell ref="AU5:AY5"/>
    <mergeCell ref="AZ5:BD5"/>
    <mergeCell ref="BE5:BI5"/>
    <mergeCell ref="L6:P6"/>
    <mergeCell ref="Q6:U6"/>
    <mergeCell ref="AF6:AJ6"/>
    <mergeCell ref="AK6:AO6"/>
    <mergeCell ref="AP6:AT6"/>
    <mergeCell ref="AZ6:BD6"/>
    <mergeCell ref="BE3:BI3"/>
    <mergeCell ref="BJ3:BS3"/>
    <mergeCell ref="BT3:BX3"/>
    <mergeCell ref="BY3:CC3"/>
    <mergeCell ref="BE6:BI6"/>
    <mergeCell ref="G10:K10"/>
    <mergeCell ref="L10:P10"/>
    <mergeCell ref="Q10:U10"/>
    <mergeCell ref="G11:K11"/>
    <mergeCell ref="L11:P11"/>
    <mergeCell ref="Q11:U11"/>
    <mergeCell ref="G12:K12"/>
    <mergeCell ref="L12:P12"/>
    <mergeCell ref="Q12:U12"/>
    <mergeCell ref="Q19:U19"/>
    <mergeCell ref="Q20:U20"/>
    <mergeCell ref="Q21:U21"/>
    <mergeCell ref="Q22:U22"/>
    <mergeCell ref="Q23:U23"/>
    <mergeCell ref="Q24:U24"/>
    <mergeCell ref="Q25:U25"/>
    <mergeCell ref="Q26:U26"/>
    <mergeCell ref="AA7:AE7"/>
    <mergeCell ref="AA8:AE8"/>
    <mergeCell ref="AA9:AE9"/>
    <mergeCell ref="AA10:AE10"/>
    <mergeCell ref="AA11:AE11"/>
    <mergeCell ref="AA12:AE12"/>
    <mergeCell ref="AA13:AE13"/>
    <mergeCell ref="AA14:AE14"/>
    <mergeCell ref="AF10:AJ10"/>
    <mergeCell ref="AF11:AJ11"/>
    <mergeCell ref="AF12:AJ12"/>
    <mergeCell ref="AF13:AJ13"/>
    <mergeCell ref="AF14:AJ14"/>
    <mergeCell ref="AK7:AO7"/>
    <mergeCell ref="AK8:AO8"/>
    <mergeCell ref="AK9:AO9"/>
    <mergeCell ref="AK10:AO10"/>
    <mergeCell ref="AK11:AO11"/>
    <mergeCell ref="AK12:AO12"/>
    <mergeCell ref="AK13:AO13"/>
    <mergeCell ref="AK14:AO14"/>
    <mergeCell ref="G37:K37"/>
    <mergeCell ref="G38:K38"/>
    <mergeCell ref="G39:K39"/>
    <mergeCell ref="G40:K40"/>
    <mergeCell ref="G41:K41"/>
    <mergeCell ref="G42:K42"/>
    <mergeCell ref="G43:K43"/>
    <mergeCell ref="G44:K44"/>
    <mergeCell ref="G45:K45"/>
    <mergeCell ref="G57:K57"/>
    <mergeCell ref="G58:K58"/>
    <mergeCell ref="G59:K59"/>
    <mergeCell ref="G60:K60"/>
    <mergeCell ref="G61:K6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L39:P39"/>
    <mergeCell ref="L40:P40"/>
    <mergeCell ref="L41:P41"/>
    <mergeCell ref="L42:P42"/>
    <mergeCell ref="L43:P43"/>
    <mergeCell ref="L44:P44"/>
    <mergeCell ref="L45:P45"/>
    <mergeCell ref="G46:K46"/>
    <mergeCell ref="G47:K47"/>
    <mergeCell ref="L47:P47"/>
    <mergeCell ref="L48:P48"/>
    <mergeCell ref="L49:P49"/>
    <mergeCell ref="L50:P50"/>
    <mergeCell ref="L51:P51"/>
    <mergeCell ref="L52:P52"/>
    <mergeCell ref="L53:P53"/>
    <mergeCell ref="L54:P54"/>
    <mergeCell ref="G55:K55"/>
    <mergeCell ref="G48:K48"/>
    <mergeCell ref="G49:K49"/>
    <mergeCell ref="G50:K50"/>
    <mergeCell ref="G51:K51"/>
    <mergeCell ref="G52:K52"/>
    <mergeCell ref="G53:K53"/>
    <mergeCell ref="G54:K54"/>
    <mergeCell ref="L55:P55"/>
    <mergeCell ref="L57:P57"/>
    <mergeCell ref="L58:P58"/>
    <mergeCell ref="L59:P59"/>
    <mergeCell ref="L60:P60"/>
    <mergeCell ref="L61:P61"/>
    <mergeCell ref="Q30:U30"/>
    <mergeCell ref="Q31:U31"/>
    <mergeCell ref="Q32:U32"/>
    <mergeCell ref="Q33:U33"/>
    <mergeCell ref="Q34:U34"/>
    <mergeCell ref="Q35:U35"/>
    <mergeCell ref="Q36:U36"/>
    <mergeCell ref="Q37:U37"/>
    <mergeCell ref="Q38:U38"/>
    <mergeCell ref="Q39:U39"/>
    <mergeCell ref="Q40:U40"/>
    <mergeCell ref="Q41:U41"/>
    <mergeCell ref="Q42:U42"/>
    <mergeCell ref="Q43:U43"/>
    <mergeCell ref="Q44:U44"/>
    <mergeCell ref="Q45:U45"/>
    <mergeCell ref="L46:P46"/>
    <mergeCell ref="Q46:U46"/>
    <mergeCell ref="Q47:U47"/>
    <mergeCell ref="Q48:U48"/>
    <mergeCell ref="Q49:U49"/>
    <mergeCell ref="Q50:U50"/>
    <mergeCell ref="Q51:U51"/>
    <mergeCell ref="Q52:U52"/>
    <mergeCell ref="Q53:U53"/>
    <mergeCell ref="Q54:U54"/>
    <mergeCell ref="Q55:U55"/>
    <mergeCell ref="Q56:U56"/>
    <mergeCell ref="Q57:U57"/>
    <mergeCell ref="Q58:U58"/>
    <mergeCell ref="Q59:U59"/>
    <mergeCell ref="Q60:U60"/>
    <mergeCell ref="Q61:U61"/>
    <mergeCell ref="AU6:AY6"/>
    <mergeCell ref="AU7:AY7"/>
    <mergeCell ref="AU8:AY8"/>
    <mergeCell ref="AA24:AE24"/>
    <mergeCell ref="AA25:AE25"/>
    <mergeCell ref="AA26:AE26"/>
    <mergeCell ref="AA27:AE27"/>
    <mergeCell ref="AA28:AE28"/>
    <mergeCell ref="AA29:AE29"/>
    <mergeCell ref="AA30:AE30"/>
    <mergeCell ref="AA31:AE31"/>
    <mergeCell ref="AA32:AE32"/>
    <mergeCell ref="AA33:AE33"/>
    <mergeCell ref="AA34:AE34"/>
    <mergeCell ref="AA35:AE35"/>
    <mergeCell ref="AA36:AE36"/>
    <mergeCell ref="AA37:AE37"/>
    <mergeCell ref="AK36:AO36"/>
    <mergeCell ref="AK37:AO37"/>
    <mergeCell ref="BE7:BI7"/>
    <mergeCell ref="BE8:BI8"/>
    <mergeCell ref="BE9:BI9"/>
    <mergeCell ref="AA18:AE18"/>
    <mergeCell ref="AA19:AE19"/>
    <mergeCell ref="AA20:AE20"/>
    <mergeCell ref="AA21:AE21"/>
    <mergeCell ref="AA22:AE22"/>
    <mergeCell ref="AA23:AE23"/>
    <mergeCell ref="AF18:AJ18"/>
    <mergeCell ref="AF19:AJ19"/>
    <mergeCell ref="AF20:AJ20"/>
    <mergeCell ref="AF21:AJ21"/>
    <mergeCell ref="AF22:AJ22"/>
    <mergeCell ref="AF23:AJ23"/>
    <mergeCell ref="AU18:AY18"/>
    <mergeCell ref="AU19:AY19"/>
    <mergeCell ref="AU20:AY20"/>
    <mergeCell ref="AU21:AY21"/>
    <mergeCell ref="AU22:AY22"/>
    <mergeCell ref="AU23:AY23"/>
    <mergeCell ref="AF7:AJ7"/>
    <mergeCell ref="AF8:AJ8"/>
    <mergeCell ref="AF9:AJ9"/>
    <mergeCell ref="AF24:AJ24"/>
    <mergeCell ref="AF25:AJ25"/>
    <mergeCell ref="AF26:AJ26"/>
    <mergeCell ref="AF27:AJ27"/>
    <mergeCell ref="AF28:AJ28"/>
    <mergeCell ref="AF29:AJ29"/>
    <mergeCell ref="AF30:AJ30"/>
    <mergeCell ref="AF31:AJ31"/>
    <mergeCell ref="AF32:AJ32"/>
    <mergeCell ref="AK34:AO34"/>
    <mergeCell ref="AK35:AO35"/>
    <mergeCell ref="AK18:AO18"/>
    <mergeCell ref="AK19:AO19"/>
    <mergeCell ref="AK20:AO20"/>
    <mergeCell ref="AK21:AO21"/>
    <mergeCell ref="AK22:AO22"/>
    <mergeCell ref="AK23:AO23"/>
    <mergeCell ref="AK24:AO24"/>
    <mergeCell ref="AK25:AO25"/>
    <mergeCell ref="AK26:AO26"/>
    <mergeCell ref="AU25:AY25"/>
    <mergeCell ref="AU26:AY26"/>
    <mergeCell ref="AU27:AY27"/>
    <mergeCell ref="AU28:AY28"/>
    <mergeCell ref="AU29:AY29"/>
    <mergeCell ref="AU30:AY30"/>
    <mergeCell ref="AU31:AY31"/>
    <mergeCell ref="AK33:AO33"/>
    <mergeCell ref="AU33:AY33"/>
    <mergeCell ref="AU34:AY34"/>
    <mergeCell ref="AU35:AY35"/>
    <mergeCell ref="AU36:AY36"/>
    <mergeCell ref="AU37:AY37"/>
    <mergeCell ref="AZ18:BD18"/>
    <mergeCell ref="AZ19:BD19"/>
    <mergeCell ref="AZ20:BD20"/>
    <mergeCell ref="AZ21:BD21"/>
    <mergeCell ref="AZ22:BD22"/>
    <mergeCell ref="AZ23:BD23"/>
    <mergeCell ref="AZ24:BD24"/>
    <mergeCell ref="AZ25:BD25"/>
    <mergeCell ref="AZ26:BD26"/>
    <mergeCell ref="AZ27:BD27"/>
    <mergeCell ref="AZ28:BD28"/>
    <mergeCell ref="AZ29:BD29"/>
    <mergeCell ref="AZ30:BD30"/>
    <mergeCell ref="AZ31:BD31"/>
    <mergeCell ref="AZ32:BD32"/>
    <mergeCell ref="AZ33:BD33"/>
    <mergeCell ref="AZ34:BD34"/>
    <mergeCell ref="AZ35:BD35"/>
    <mergeCell ref="AZ36:BD36"/>
    <mergeCell ref="AU24:AY24"/>
    <mergeCell ref="BE32:BI32"/>
    <mergeCell ref="BE33:BI33"/>
    <mergeCell ref="BE34:BI34"/>
    <mergeCell ref="BE35:BI35"/>
    <mergeCell ref="BE18:BI18"/>
    <mergeCell ref="BE19:BI19"/>
    <mergeCell ref="BE20:BI20"/>
    <mergeCell ref="BE21:BI21"/>
    <mergeCell ref="BE22:BI22"/>
    <mergeCell ref="BE23:BI23"/>
    <mergeCell ref="BE24:BI24"/>
    <mergeCell ref="BE25:BI25"/>
    <mergeCell ref="BE26:BI26"/>
    <mergeCell ref="BO19:BS19"/>
    <mergeCell ref="BO20:BS20"/>
    <mergeCell ref="BO21:BS21"/>
    <mergeCell ref="BO22:BS22"/>
    <mergeCell ref="BO23:BS23"/>
    <mergeCell ref="BO24:BS24"/>
    <mergeCell ref="BO25:BS25"/>
    <mergeCell ref="BO26:BS26"/>
    <mergeCell ref="BO27:BS27"/>
    <mergeCell ref="BO28:BS28"/>
    <mergeCell ref="BO29:BS29"/>
    <mergeCell ref="BO30:BS30"/>
    <mergeCell ref="BO31:BS31"/>
    <mergeCell ref="BO32:BS32"/>
    <mergeCell ref="BO33:BS33"/>
    <mergeCell ref="BO34:BS34"/>
    <mergeCell ref="BO35:BS35"/>
    <mergeCell ref="BO36:BS36"/>
    <mergeCell ref="BT27:BX27"/>
    <mergeCell ref="BT28:BX28"/>
    <mergeCell ref="BT29:BX29"/>
    <mergeCell ref="BT30:BX30"/>
    <mergeCell ref="BT31:BX31"/>
    <mergeCell ref="BT32:BX32"/>
    <mergeCell ref="BT33:BX33"/>
    <mergeCell ref="BT34:BX34"/>
    <mergeCell ref="BT35:BX35"/>
    <mergeCell ref="BT19:BX19"/>
    <mergeCell ref="BT20:BX20"/>
    <mergeCell ref="BT21:BX21"/>
    <mergeCell ref="BT22:BX22"/>
    <mergeCell ref="BT23:BX23"/>
    <mergeCell ref="BT24:BX24"/>
    <mergeCell ref="BT25:BX25"/>
    <mergeCell ref="BT26:BX26"/>
    <mergeCell ref="BY19:CC19"/>
    <mergeCell ref="BY20:CC20"/>
    <mergeCell ref="BY21:CC21"/>
    <mergeCell ref="BY22:CC22"/>
    <mergeCell ref="BY23:CC23"/>
    <mergeCell ref="BY24:CC24"/>
    <mergeCell ref="BY25:CC25"/>
    <mergeCell ref="BY26:CC26"/>
    <mergeCell ref="BY27:CC27"/>
    <mergeCell ref="BY28:CC28"/>
    <mergeCell ref="BY29:CC29"/>
    <mergeCell ref="BY30:CC30"/>
    <mergeCell ref="BY31:CC31"/>
    <mergeCell ref="BY32:CC32"/>
    <mergeCell ref="BY33:CC33"/>
    <mergeCell ref="BY34:CC34"/>
    <mergeCell ref="BY35:CC35"/>
    <mergeCell ref="BY36:CC36"/>
    <mergeCell ref="BY37:CC37"/>
    <mergeCell ref="AA41:AE41"/>
    <mergeCell ref="AA42:AE42"/>
    <mergeCell ref="AA43:AE43"/>
    <mergeCell ref="AA44:AE44"/>
    <mergeCell ref="AA45:AE45"/>
    <mergeCell ref="AA46:AE46"/>
    <mergeCell ref="AA47:AE47"/>
    <mergeCell ref="BT36:BX36"/>
    <mergeCell ref="BT37:BX37"/>
    <mergeCell ref="BE36:BI36"/>
    <mergeCell ref="BE37:BI37"/>
    <mergeCell ref="AA48:AE48"/>
    <mergeCell ref="BO37:BS37"/>
    <mergeCell ref="AZ37:BD37"/>
    <mergeCell ref="AF37:AJ37"/>
    <mergeCell ref="BU44:BX44"/>
    <mergeCell ref="AA39:AE40"/>
    <mergeCell ref="AP39:AT40"/>
    <mergeCell ref="AZ39:BD40"/>
    <mergeCell ref="BE39:BI40"/>
    <mergeCell ref="BO39:BS39"/>
    <mergeCell ref="BO40:BS40"/>
    <mergeCell ref="BO41:BS41"/>
    <mergeCell ref="BO42:BS42"/>
    <mergeCell ref="BO43:BS43"/>
    <mergeCell ref="BO44:BS44"/>
    <mergeCell ref="BO45:BS45"/>
    <mergeCell ref="BO46:BS46"/>
    <mergeCell ref="BO47:BS47"/>
    <mergeCell ref="BO48:BS48"/>
    <mergeCell ref="AA49:AE49"/>
    <mergeCell ref="AA50:AE50"/>
    <mergeCell ref="AA51:AE51"/>
    <mergeCell ref="AA52:AE52"/>
    <mergeCell ref="AA53:AE53"/>
    <mergeCell ref="AA54:AE54"/>
    <mergeCell ref="AA55:AE55"/>
    <mergeCell ref="AA56:AE56"/>
    <mergeCell ref="AA57:AE57"/>
    <mergeCell ref="AA58:AE58"/>
    <mergeCell ref="AA59:AE59"/>
    <mergeCell ref="AA60:AE60"/>
    <mergeCell ref="AA61:AE61"/>
    <mergeCell ref="AA62:AE62"/>
    <mergeCell ref="AA63:AE63"/>
    <mergeCell ref="AA64:AE64"/>
    <mergeCell ref="AF41:AJ41"/>
    <mergeCell ref="AF42:AJ42"/>
    <mergeCell ref="AF43:AJ43"/>
    <mergeCell ref="AF44:AJ44"/>
    <mergeCell ref="AF45:AJ45"/>
    <mergeCell ref="AF46:AJ46"/>
    <mergeCell ref="AF47:AJ47"/>
    <mergeCell ref="AF48:AJ48"/>
    <mergeCell ref="AF49:AJ49"/>
    <mergeCell ref="AF50:AJ50"/>
    <mergeCell ref="AF51:AJ51"/>
    <mergeCell ref="AF52:AJ52"/>
    <mergeCell ref="AF53:AJ53"/>
    <mergeCell ref="AF54:AJ54"/>
    <mergeCell ref="AF55:AJ55"/>
    <mergeCell ref="AF56:AJ56"/>
    <mergeCell ref="AF57:AJ57"/>
    <mergeCell ref="AF58:AJ58"/>
    <mergeCell ref="AF59:AJ59"/>
    <mergeCell ref="AF60:AJ60"/>
    <mergeCell ref="AF61:AJ61"/>
    <mergeCell ref="AF62:AJ62"/>
    <mergeCell ref="AF63:AJ63"/>
    <mergeCell ref="AF64:AJ64"/>
    <mergeCell ref="AK41:AO41"/>
    <mergeCell ref="AK42:AO42"/>
    <mergeCell ref="AK43:AO43"/>
    <mergeCell ref="AK44:AO44"/>
    <mergeCell ref="AK45:AO45"/>
    <mergeCell ref="AK46:AO46"/>
    <mergeCell ref="AK47:AO47"/>
    <mergeCell ref="AK48:AO48"/>
    <mergeCell ref="AK49:AO49"/>
    <mergeCell ref="AK50:AO50"/>
    <mergeCell ref="AK51:AO51"/>
    <mergeCell ref="AK52:AO52"/>
    <mergeCell ref="AK53:AO53"/>
    <mergeCell ref="AK54:AO54"/>
    <mergeCell ref="AK55:AO55"/>
    <mergeCell ref="AK56:AO56"/>
    <mergeCell ref="AK57:AO57"/>
    <mergeCell ref="AK58:AO58"/>
    <mergeCell ref="AK59:AO59"/>
    <mergeCell ref="AK60:AO60"/>
    <mergeCell ref="AK61:AO61"/>
    <mergeCell ref="AK62:AO62"/>
    <mergeCell ref="AK63:AO63"/>
    <mergeCell ref="AK64:AO64"/>
    <mergeCell ref="AP41:AT41"/>
    <mergeCell ref="AP42:AT42"/>
    <mergeCell ref="AP43:AT43"/>
    <mergeCell ref="AP44:AT44"/>
    <mergeCell ref="AP45:AT45"/>
    <mergeCell ref="AP46:AT46"/>
    <mergeCell ref="AP47:AT47"/>
    <mergeCell ref="AP48:AT48"/>
    <mergeCell ref="AP49:AT49"/>
    <mergeCell ref="AP50:AT50"/>
    <mergeCell ref="AP51:AT51"/>
    <mergeCell ref="AP52:AT52"/>
    <mergeCell ref="AP53:AT53"/>
    <mergeCell ref="AP54:AT54"/>
    <mergeCell ref="AP55:AT55"/>
    <mergeCell ref="AP56:AT56"/>
    <mergeCell ref="AP57:AT57"/>
    <mergeCell ref="AP58:AT58"/>
    <mergeCell ref="AP59:AT59"/>
    <mergeCell ref="AP60:AT60"/>
    <mergeCell ref="AP61:AT61"/>
    <mergeCell ref="AP62:AT62"/>
    <mergeCell ref="AP63:AT63"/>
    <mergeCell ref="AP64:AT64"/>
    <mergeCell ref="AU41:AY41"/>
    <mergeCell ref="AU42:AY42"/>
    <mergeCell ref="AU43:AY43"/>
    <mergeCell ref="AU44:AY44"/>
    <mergeCell ref="AU45:AY45"/>
    <mergeCell ref="AU46:AY46"/>
    <mergeCell ref="AU47:AY47"/>
    <mergeCell ref="AU48:AY48"/>
    <mergeCell ref="AU49:AY49"/>
    <mergeCell ref="AU50:AY50"/>
    <mergeCell ref="AU51:AY51"/>
    <mergeCell ref="AU52:AY52"/>
    <mergeCell ref="AU53:AY53"/>
    <mergeCell ref="AU54:AY54"/>
    <mergeCell ref="AU55:AY55"/>
    <mergeCell ref="AU56:AY56"/>
    <mergeCell ref="AU57:AY57"/>
    <mergeCell ref="AU58:AY58"/>
    <mergeCell ref="AU59:AY59"/>
    <mergeCell ref="AU60:AY60"/>
    <mergeCell ref="AU61:AY61"/>
    <mergeCell ref="AU62:AY62"/>
    <mergeCell ref="AU63:AY63"/>
    <mergeCell ref="AU64:AY64"/>
    <mergeCell ref="AZ41:BD41"/>
    <mergeCell ref="AZ42:BD42"/>
    <mergeCell ref="AZ43:BD43"/>
    <mergeCell ref="AZ44:BD44"/>
    <mergeCell ref="AZ45:BD45"/>
    <mergeCell ref="AZ46:BD46"/>
    <mergeCell ref="AZ47:BD47"/>
    <mergeCell ref="AZ48:BD48"/>
    <mergeCell ref="AZ49:BD49"/>
    <mergeCell ref="AZ50:BD50"/>
    <mergeCell ref="AZ51:BD51"/>
    <mergeCell ref="AZ52:BD52"/>
    <mergeCell ref="AZ53:BD53"/>
    <mergeCell ref="AZ54:BD54"/>
    <mergeCell ref="AZ55:BD55"/>
    <mergeCell ref="AZ56:BD56"/>
    <mergeCell ref="AZ57:BD57"/>
    <mergeCell ref="AZ58:BD58"/>
    <mergeCell ref="AZ59:BD59"/>
    <mergeCell ref="AZ60:BD60"/>
    <mergeCell ref="AZ61:BD61"/>
    <mergeCell ref="AZ62:BD62"/>
    <mergeCell ref="AZ63:BD63"/>
    <mergeCell ref="AZ64:BD64"/>
    <mergeCell ref="BE41:BI41"/>
    <mergeCell ref="BE42:BI42"/>
    <mergeCell ref="BE43:BI43"/>
    <mergeCell ref="BE44:BI44"/>
    <mergeCell ref="BE45:BI45"/>
    <mergeCell ref="BE46:BI46"/>
    <mergeCell ref="BE47:BI47"/>
    <mergeCell ref="BE48:BI48"/>
    <mergeCell ref="BE49:BI49"/>
    <mergeCell ref="BE50:BI50"/>
    <mergeCell ref="BE51:BI51"/>
    <mergeCell ref="BE52:BI52"/>
    <mergeCell ref="BE53:BI53"/>
    <mergeCell ref="BE54:BI54"/>
    <mergeCell ref="BE55:BI55"/>
    <mergeCell ref="BE56:BI56"/>
    <mergeCell ref="BE63:BI63"/>
    <mergeCell ref="BO49:BS49"/>
    <mergeCell ref="BO50:BS50"/>
    <mergeCell ref="BO51:BS51"/>
    <mergeCell ref="BO52:BS52"/>
    <mergeCell ref="BO53:BS53"/>
    <mergeCell ref="BY48:CC48"/>
    <mergeCell ref="BY49:CC49"/>
    <mergeCell ref="BY50:CC50"/>
    <mergeCell ref="BY51:CC51"/>
    <mergeCell ref="BT52:BX52"/>
    <mergeCell ref="BT53:BX53"/>
    <mergeCell ref="BT54:BX54"/>
    <mergeCell ref="BT55:BX55"/>
    <mergeCell ref="BT56:BX56"/>
    <mergeCell ref="BY39:CC39"/>
    <mergeCell ref="BY40:CC40"/>
    <mergeCell ref="BY41:CC41"/>
    <mergeCell ref="BY42:CC42"/>
    <mergeCell ref="BY43:CC43"/>
    <mergeCell ref="BY44:CC44"/>
    <mergeCell ref="BY45:CC45"/>
    <mergeCell ref="BY46:CC46"/>
    <mergeCell ref="BY47:CC47"/>
    <mergeCell ref="BY52:CC52"/>
    <mergeCell ref="BY53:CC53"/>
    <mergeCell ref="BY54:CC54"/>
    <mergeCell ref="BY55:CC55"/>
    <mergeCell ref="BY56:CC56"/>
    <mergeCell ref="BY61:CC61"/>
    <mergeCell ref="BY62:CC62"/>
    <mergeCell ref="BY63:CC63"/>
    <mergeCell ref="BY64:CC64"/>
    <mergeCell ref="BY65:CC65"/>
    <mergeCell ref="BY66:CC66"/>
    <mergeCell ref="BO63:BS63"/>
    <mergeCell ref="BO64:BS64"/>
    <mergeCell ref="BO65:BS65"/>
    <mergeCell ref="BO66:BS66"/>
    <mergeCell ref="BO61:BS61"/>
    <mergeCell ref="BO62:BS62"/>
    <mergeCell ref="BT63:BX63"/>
    <mergeCell ref="BT64:BX64"/>
    <mergeCell ref="BT65:BX65"/>
    <mergeCell ref="BT66:BX66"/>
    <mergeCell ref="BY57:CC57"/>
    <mergeCell ref="BY58:CC58"/>
    <mergeCell ref="BY59:CC59"/>
    <mergeCell ref="BY60:CC60"/>
    <mergeCell ref="B1:AZ1"/>
    <mergeCell ref="BT59:BX59"/>
    <mergeCell ref="BT60:BX60"/>
    <mergeCell ref="BT61:BX61"/>
    <mergeCell ref="BT62:BX62"/>
    <mergeCell ref="BT57:BX57"/>
    <mergeCell ref="BT58:BX58"/>
    <mergeCell ref="BO54:BS54"/>
    <mergeCell ref="BO55:BS55"/>
    <mergeCell ref="BO56:BS56"/>
    <mergeCell ref="BO57:BS57"/>
    <mergeCell ref="BO58:BS58"/>
    <mergeCell ref="BO59:BS59"/>
    <mergeCell ref="BO60:BS60"/>
    <mergeCell ref="BE57:BI57"/>
    <mergeCell ref="BE58:BI58"/>
    <mergeCell ref="BE59:BI59"/>
    <mergeCell ref="BE60:BI60"/>
    <mergeCell ref="BE61:BI61"/>
    <mergeCell ref="BE62:BI62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scale="9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F61"/>
  <sheetViews>
    <sheetView view="pageBreakPreview" zoomScale="120" zoomScaleNormal="120" zoomScaleSheetLayoutView="120" workbookViewId="0"/>
  </sheetViews>
  <sheetFormatPr defaultColWidth="9" defaultRowHeight="12" x14ac:dyDescent="0.15"/>
  <cols>
    <col min="1" max="1" width="1.875" style="3" customWidth="1"/>
    <col min="2" max="2" width="100.875" style="47" customWidth="1"/>
    <col min="3" max="3" width="8.875" style="47" customWidth="1"/>
    <col min="4" max="4" width="12.875" style="47" customWidth="1"/>
    <col min="5" max="6" width="8.875" style="47" customWidth="1"/>
    <col min="7" max="7" width="2.375" style="47" customWidth="1"/>
    <col min="8" max="16384" width="9" style="47"/>
  </cols>
  <sheetData>
    <row r="1" spans="1:6" ht="14.25" customHeight="1" thickBot="1" x14ac:dyDescent="0.2">
      <c r="A1" s="13"/>
      <c r="B1" s="157" t="str">
        <f>C3&amp;"年　農業経営統計調査（営農類型別経営統計（法人経営））　個別結果表　通信欄"</f>
        <v>0年　農業経営統計調査（営農類型別経営統計（法人経営））　個別結果表　通信欄</v>
      </c>
    </row>
    <row r="2" spans="1:6" ht="9.75" customHeight="1" x14ac:dyDescent="0.15">
      <c r="B2" s="150"/>
      <c r="C2" s="347" t="s">
        <v>0</v>
      </c>
      <c r="D2" s="348" t="s">
        <v>2</v>
      </c>
      <c r="E2" s="349" t="s">
        <v>5</v>
      </c>
      <c r="F2" s="350" t="s">
        <v>514</v>
      </c>
    </row>
    <row r="3" spans="1:6" ht="9.75" customHeight="1" thickBot="1" x14ac:dyDescent="0.2">
      <c r="B3" s="4"/>
      <c r="C3" s="351">
        <f>'No1'!B5</f>
        <v>0</v>
      </c>
      <c r="D3" s="352" t="str">
        <f>IF('No1'!L5&lt;&gt;"",'No1'!L5,"")</f>
        <v/>
      </c>
      <c r="E3" s="353">
        <f>'No1'!AK5</f>
        <v>0</v>
      </c>
      <c r="F3" s="354">
        <f>'No1'!AP5</f>
        <v>0</v>
      </c>
    </row>
    <row r="4" spans="1:6" ht="9.75" customHeight="1" x14ac:dyDescent="0.15">
      <c r="B4" s="31" t="s">
        <v>515</v>
      </c>
      <c r="C4" s="34"/>
      <c r="D4" s="109"/>
      <c r="E4" s="109"/>
      <c r="F4" s="110"/>
    </row>
    <row r="5" spans="1:6" ht="9.75" customHeight="1" x14ac:dyDescent="0.15">
      <c r="A5" s="3">
        <v>1</v>
      </c>
      <c r="B5" s="1278"/>
      <c r="C5" s="1279"/>
      <c r="D5" s="1279"/>
      <c r="E5" s="1279"/>
      <c r="F5" s="1280"/>
    </row>
    <row r="6" spans="1:6" ht="9.75" customHeight="1" x14ac:dyDescent="0.15">
      <c r="B6" s="1281"/>
      <c r="C6" s="1282"/>
      <c r="D6" s="1282"/>
      <c r="E6" s="1282"/>
      <c r="F6" s="1283"/>
    </row>
    <row r="7" spans="1:6" ht="9.75" customHeight="1" x14ac:dyDescent="0.15">
      <c r="B7" s="1281"/>
      <c r="C7" s="1282"/>
      <c r="D7" s="1282"/>
      <c r="E7" s="1282"/>
      <c r="F7" s="1283"/>
    </row>
    <row r="8" spans="1:6" ht="9.75" customHeight="1" x14ac:dyDescent="0.15">
      <c r="B8" s="1281"/>
      <c r="C8" s="1282"/>
      <c r="D8" s="1282"/>
      <c r="E8" s="1282"/>
      <c r="F8" s="1283"/>
    </row>
    <row r="9" spans="1:6" ht="9.75" customHeight="1" x14ac:dyDescent="0.15">
      <c r="B9" s="1281"/>
      <c r="C9" s="1282"/>
      <c r="D9" s="1282"/>
      <c r="E9" s="1282"/>
      <c r="F9" s="1283"/>
    </row>
    <row r="10" spans="1:6" ht="9.75" customHeight="1" x14ac:dyDescent="0.15">
      <c r="B10" s="1281"/>
      <c r="C10" s="1282"/>
      <c r="D10" s="1282"/>
      <c r="E10" s="1282"/>
      <c r="F10" s="1283"/>
    </row>
    <row r="11" spans="1:6" ht="9.75" customHeight="1" x14ac:dyDescent="0.15">
      <c r="B11" s="1281"/>
      <c r="C11" s="1282"/>
      <c r="D11" s="1282"/>
      <c r="E11" s="1282"/>
      <c r="F11" s="1283"/>
    </row>
    <row r="12" spans="1:6" ht="9.75" customHeight="1" x14ac:dyDescent="0.15">
      <c r="B12" s="1281"/>
      <c r="C12" s="1282"/>
      <c r="D12" s="1282"/>
      <c r="E12" s="1282"/>
      <c r="F12" s="1283"/>
    </row>
    <row r="13" spans="1:6" ht="9.75" customHeight="1" x14ac:dyDescent="0.15">
      <c r="B13" s="1281"/>
      <c r="C13" s="1282"/>
      <c r="D13" s="1282"/>
      <c r="E13" s="1282"/>
      <c r="F13" s="1283"/>
    </row>
    <row r="14" spans="1:6" ht="9.75" customHeight="1" x14ac:dyDescent="0.15">
      <c r="B14" s="1281"/>
      <c r="C14" s="1282"/>
      <c r="D14" s="1282"/>
      <c r="E14" s="1282"/>
      <c r="F14" s="1283"/>
    </row>
    <row r="15" spans="1:6" ht="9.75" customHeight="1" x14ac:dyDescent="0.15">
      <c r="B15" s="1281"/>
      <c r="C15" s="1282"/>
      <c r="D15" s="1282"/>
      <c r="E15" s="1282"/>
      <c r="F15" s="1283"/>
    </row>
    <row r="16" spans="1:6" ht="9.75" customHeight="1" x14ac:dyDescent="0.15">
      <c r="B16" s="1281"/>
      <c r="C16" s="1282"/>
      <c r="D16" s="1282"/>
      <c r="E16" s="1282"/>
      <c r="F16" s="1283"/>
    </row>
    <row r="17" spans="2:6" ht="9.75" customHeight="1" x14ac:dyDescent="0.15">
      <c r="B17" s="1281"/>
      <c r="C17" s="1282"/>
      <c r="D17" s="1282"/>
      <c r="E17" s="1282"/>
      <c r="F17" s="1283"/>
    </row>
    <row r="18" spans="2:6" ht="9.75" customHeight="1" x14ac:dyDescent="0.15">
      <c r="B18" s="1281"/>
      <c r="C18" s="1282"/>
      <c r="D18" s="1282"/>
      <c r="E18" s="1282"/>
      <c r="F18" s="1283"/>
    </row>
    <row r="19" spans="2:6" ht="9.75" customHeight="1" x14ac:dyDescent="0.15">
      <c r="B19" s="1281"/>
      <c r="C19" s="1282"/>
      <c r="D19" s="1282"/>
      <c r="E19" s="1282"/>
      <c r="F19" s="1283"/>
    </row>
    <row r="20" spans="2:6" ht="9.75" customHeight="1" x14ac:dyDescent="0.15">
      <c r="B20" s="1281"/>
      <c r="C20" s="1282"/>
      <c r="D20" s="1282"/>
      <c r="E20" s="1282"/>
      <c r="F20" s="1283"/>
    </row>
    <row r="21" spans="2:6" ht="9.75" customHeight="1" x14ac:dyDescent="0.15">
      <c r="B21" s="1281"/>
      <c r="C21" s="1282"/>
      <c r="D21" s="1282"/>
      <c r="E21" s="1282"/>
      <c r="F21" s="1283"/>
    </row>
    <row r="22" spans="2:6" ht="9.75" customHeight="1" x14ac:dyDescent="0.15">
      <c r="B22" s="1281"/>
      <c r="C22" s="1282"/>
      <c r="D22" s="1282"/>
      <c r="E22" s="1282"/>
      <c r="F22" s="1283"/>
    </row>
    <row r="23" spans="2:6" ht="9.75" customHeight="1" x14ac:dyDescent="0.15">
      <c r="B23" s="1281"/>
      <c r="C23" s="1282"/>
      <c r="D23" s="1282"/>
      <c r="E23" s="1282"/>
      <c r="F23" s="1283"/>
    </row>
    <row r="24" spans="2:6" ht="9.75" customHeight="1" x14ac:dyDescent="0.15">
      <c r="B24" s="1281"/>
      <c r="C24" s="1282"/>
      <c r="D24" s="1282"/>
      <c r="E24" s="1282"/>
      <c r="F24" s="1283"/>
    </row>
    <row r="25" spans="2:6" ht="9.75" customHeight="1" x14ac:dyDescent="0.15">
      <c r="B25" s="1281"/>
      <c r="C25" s="1282"/>
      <c r="D25" s="1282"/>
      <c r="E25" s="1282"/>
      <c r="F25" s="1283"/>
    </row>
    <row r="26" spans="2:6" ht="9.75" customHeight="1" x14ac:dyDescent="0.15">
      <c r="B26" s="1281"/>
      <c r="C26" s="1282"/>
      <c r="D26" s="1282"/>
      <c r="E26" s="1282"/>
      <c r="F26" s="1283"/>
    </row>
    <row r="27" spans="2:6" ht="9.75" customHeight="1" x14ac:dyDescent="0.15">
      <c r="B27" s="1281"/>
      <c r="C27" s="1282"/>
      <c r="D27" s="1282"/>
      <c r="E27" s="1282"/>
      <c r="F27" s="1283"/>
    </row>
    <row r="28" spans="2:6" ht="9.75" customHeight="1" x14ac:dyDescent="0.15">
      <c r="B28" s="1281"/>
      <c r="C28" s="1282"/>
      <c r="D28" s="1282"/>
      <c r="E28" s="1282"/>
      <c r="F28" s="1283"/>
    </row>
    <row r="29" spans="2:6" ht="9.75" customHeight="1" x14ac:dyDescent="0.15">
      <c r="B29" s="1281"/>
      <c r="C29" s="1282"/>
      <c r="D29" s="1282"/>
      <c r="E29" s="1282"/>
      <c r="F29" s="1283"/>
    </row>
    <row r="30" spans="2:6" ht="9.75" customHeight="1" x14ac:dyDescent="0.15">
      <c r="B30" s="1281"/>
      <c r="C30" s="1282"/>
      <c r="D30" s="1282"/>
      <c r="E30" s="1282"/>
      <c r="F30" s="1283"/>
    </row>
    <row r="31" spans="2:6" ht="9.75" customHeight="1" x14ac:dyDescent="0.15">
      <c r="B31" s="1281"/>
      <c r="C31" s="1282"/>
      <c r="D31" s="1282"/>
      <c r="E31" s="1282"/>
      <c r="F31" s="1283"/>
    </row>
    <row r="32" spans="2:6" ht="9.75" customHeight="1" x14ac:dyDescent="0.15">
      <c r="B32" s="1281"/>
      <c r="C32" s="1282"/>
      <c r="D32" s="1282"/>
      <c r="E32" s="1282"/>
      <c r="F32" s="1283"/>
    </row>
    <row r="33" spans="2:6" ht="9.75" customHeight="1" x14ac:dyDescent="0.15">
      <c r="B33" s="1281"/>
      <c r="C33" s="1282"/>
      <c r="D33" s="1282"/>
      <c r="E33" s="1282"/>
      <c r="F33" s="1283"/>
    </row>
    <row r="34" spans="2:6" ht="9.75" customHeight="1" x14ac:dyDescent="0.15">
      <c r="B34" s="1281"/>
      <c r="C34" s="1282"/>
      <c r="D34" s="1282"/>
      <c r="E34" s="1282"/>
      <c r="F34" s="1283"/>
    </row>
    <row r="35" spans="2:6" ht="9.75" customHeight="1" x14ac:dyDescent="0.15">
      <c r="B35" s="1281"/>
      <c r="C35" s="1282"/>
      <c r="D35" s="1282"/>
      <c r="E35" s="1282"/>
      <c r="F35" s="1283"/>
    </row>
    <row r="36" spans="2:6" ht="9.75" customHeight="1" x14ac:dyDescent="0.15">
      <c r="B36" s="1281"/>
      <c r="C36" s="1282"/>
      <c r="D36" s="1282"/>
      <c r="E36" s="1282"/>
      <c r="F36" s="1283"/>
    </row>
    <row r="37" spans="2:6" ht="9.75" customHeight="1" x14ac:dyDescent="0.15">
      <c r="B37" s="1281"/>
      <c r="C37" s="1282"/>
      <c r="D37" s="1282"/>
      <c r="E37" s="1282"/>
      <c r="F37" s="1283"/>
    </row>
    <row r="38" spans="2:6" ht="9.75" customHeight="1" x14ac:dyDescent="0.15">
      <c r="B38" s="1281"/>
      <c r="C38" s="1282"/>
      <c r="D38" s="1282"/>
      <c r="E38" s="1282"/>
      <c r="F38" s="1283"/>
    </row>
    <row r="39" spans="2:6" ht="9.75" customHeight="1" x14ac:dyDescent="0.15">
      <c r="B39" s="1281"/>
      <c r="C39" s="1282"/>
      <c r="D39" s="1282"/>
      <c r="E39" s="1282"/>
      <c r="F39" s="1283"/>
    </row>
    <row r="40" spans="2:6" ht="9.75" customHeight="1" x14ac:dyDescent="0.15">
      <c r="B40" s="1281"/>
      <c r="C40" s="1282"/>
      <c r="D40" s="1282"/>
      <c r="E40" s="1282"/>
      <c r="F40" s="1283"/>
    </row>
    <row r="41" spans="2:6" ht="9.75" customHeight="1" x14ac:dyDescent="0.15">
      <c r="B41" s="1281"/>
      <c r="C41" s="1282"/>
      <c r="D41" s="1282"/>
      <c r="E41" s="1282"/>
      <c r="F41" s="1283"/>
    </row>
    <row r="42" spans="2:6" ht="9.75" customHeight="1" x14ac:dyDescent="0.15">
      <c r="B42" s="1281"/>
      <c r="C42" s="1282"/>
      <c r="D42" s="1282"/>
      <c r="E42" s="1282"/>
      <c r="F42" s="1283"/>
    </row>
    <row r="43" spans="2:6" ht="9.75" customHeight="1" x14ac:dyDescent="0.15">
      <c r="B43" s="1281"/>
      <c r="C43" s="1282"/>
      <c r="D43" s="1282"/>
      <c r="E43" s="1282"/>
      <c r="F43" s="1283"/>
    </row>
    <row r="44" spans="2:6" ht="9.75" customHeight="1" x14ac:dyDescent="0.15">
      <c r="B44" s="1281"/>
      <c r="C44" s="1282"/>
      <c r="D44" s="1282"/>
      <c r="E44" s="1282"/>
      <c r="F44" s="1283"/>
    </row>
    <row r="45" spans="2:6" ht="9.75" customHeight="1" x14ac:dyDescent="0.15">
      <c r="B45" s="1281"/>
      <c r="C45" s="1282"/>
      <c r="D45" s="1282"/>
      <c r="E45" s="1282"/>
      <c r="F45" s="1283"/>
    </row>
    <row r="46" spans="2:6" ht="9.75" customHeight="1" x14ac:dyDescent="0.15">
      <c r="B46" s="1281"/>
      <c r="C46" s="1282"/>
      <c r="D46" s="1282"/>
      <c r="E46" s="1282"/>
      <c r="F46" s="1283"/>
    </row>
    <row r="47" spans="2:6" ht="9.75" customHeight="1" x14ac:dyDescent="0.15">
      <c r="B47" s="1281"/>
      <c r="C47" s="1282"/>
      <c r="D47" s="1282"/>
      <c r="E47" s="1282"/>
      <c r="F47" s="1283"/>
    </row>
    <row r="48" spans="2:6" ht="9.75" customHeight="1" x14ac:dyDescent="0.15">
      <c r="B48" s="1281"/>
      <c r="C48" s="1282"/>
      <c r="D48" s="1282"/>
      <c r="E48" s="1282"/>
      <c r="F48" s="1283"/>
    </row>
    <row r="49" spans="2:6" ht="9.75" customHeight="1" x14ac:dyDescent="0.15">
      <c r="B49" s="1281"/>
      <c r="C49" s="1282"/>
      <c r="D49" s="1282"/>
      <c r="E49" s="1282"/>
      <c r="F49" s="1283"/>
    </row>
    <row r="50" spans="2:6" ht="9.75" customHeight="1" x14ac:dyDescent="0.15">
      <c r="B50" s="1281"/>
      <c r="C50" s="1282"/>
      <c r="D50" s="1282"/>
      <c r="E50" s="1282"/>
      <c r="F50" s="1283"/>
    </row>
    <row r="51" spans="2:6" ht="9.75" customHeight="1" x14ac:dyDescent="0.15">
      <c r="B51" s="1281"/>
      <c r="C51" s="1282"/>
      <c r="D51" s="1282"/>
      <c r="E51" s="1282"/>
      <c r="F51" s="1283"/>
    </row>
    <row r="52" spans="2:6" ht="9.75" customHeight="1" x14ac:dyDescent="0.15">
      <c r="B52" s="1281"/>
      <c r="C52" s="1282"/>
      <c r="D52" s="1282"/>
      <c r="E52" s="1282"/>
      <c r="F52" s="1283"/>
    </row>
    <row r="53" spans="2:6" ht="9.75" customHeight="1" x14ac:dyDescent="0.15">
      <c r="B53" s="1281"/>
      <c r="C53" s="1282"/>
      <c r="D53" s="1282"/>
      <c r="E53" s="1282"/>
      <c r="F53" s="1283"/>
    </row>
    <row r="54" spans="2:6" ht="9.75" customHeight="1" x14ac:dyDescent="0.15">
      <c r="B54" s="1281"/>
      <c r="C54" s="1282"/>
      <c r="D54" s="1282"/>
      <c r="E54" s="1282"/>
      <c r="F54" s="1283"/>
    </row>
    <row r="55" spans="2:6" ht="9.75" customHeight="1" x14ac:dyDescent="0.15">
      <c r="B55" s="1281"/>
      <c r="C55" s="1282"/>
      <c r="D55" s="1282"/>
      <c r="E55" s="1282"/>
      <c r="F55" s="1283"/>
    </row>
    <row r="56" spans="2:6" ht="9.75" customHeight="1" x14ac:dyDescent="0.15">
      <c r="B56" s="1281"/>
      <c r="C56" s="1282"/>
      <c r="D56" s="1282"/>
      <c r="E56" s="1282"/>
      <c r="F56" s="1283"/>
    </row>
    <row r="57" spans="2:6" ht="9.75" customHeight="1" x14ac:dyDescent="0.15">
      <c r="B57" s="1281"/>
      <c r="C57" s="1282"/>
      <c r="D57" s="1282"/>
      <c r="E57" s="1282"/>
      <c r="F57" s="1283"/>
    </row>
    <row r="58" spans="2:6" ht="9.75" customHeight="1" x14ac:dyDescent="0.15">
      <c r="B58" s="1281"/>
      <c r="C58" s="1282"/>
      <c r="D58" s="1282"/>
      <c r="E58" s="1282"/>
      <c r="F58" s="1283"/>
    </row>
    <row r="59" spans="2:6" ht="9.75" customHeight="1" x14ac:dyDescent="0.15">
      <c r="B59" s="1281"/>
      <c r="C59" s="1282"/>
      <c r="D59" s="1282"/>
      <c r="E59" s="1282"/>
      <c r="F59" s="1283"/>
    </row>
    <row r="60" spans="2:6" ht="9.75" customHeight="1" thickBot="1" x14ac:dyDescent="0.2">
      <c r="B60" s="1284"/>
      <c r="C60" s="1285"/>
      <c r="D60" s="1285"/>
      <c r="E60" s="1285"/>
      <c r="F60" s="1286"/>
    </row>
    <row r="61" spans="2:6" ht="9.75" customHeight="1" x14ac:dyDescent="0.15">
      <c r="B61" s="802">
        <v>1</v>
      </c>
      <c r="C61" s="802"/>
      <c r="D61" s="802"/>
      <c r="E61" s="802"/>
      <c r="F61" s="802"/>
    </row>
  </sheetData>
  <mergeCells count="2">
    <mergeCell ref="B5:F60"/>
    <mergeCell ref="B61:F61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P87"/>
  <sheetViews>
    <sheetView view="pageBreakPreview" zoomScale="120" zoomScaleNormal="120" zoomScaleSheetLayoutView="120" workbookViewId="0"/>
  </sheetViews>
  <sheetFormatPr defaultColWidth="9" defaultRowHeight="12" x14ac:dyDescent="0.15"/>
  <cols>
    <col min="1" max="1" width="1.875" style="1" customWidth="1"/>
    <col min="2" max="2" width="1" style="163" customWidth="1"/>
    <col min="3" max="3" width="0.875" style="169" customWidth="1"/>
    <col min="4" max="4" width="1.875" style="169" customWidth="1"/>
    <col min="5" max="5" width="4.5" style="169" customWidth="1"/>
    <col min="6" max="6" width="2.125" style="169" customWidth="1"/>
    <col min="7" max="19" width="2" style="163" customWidth="1"/>
    <col min="20" max="20" width="1.125" style="163" customWidth="1"/>
    <col min="21" max="21" width="2.5" style="163" customWidth="1"/>
    <col min="22" max="26" width="2" style="163" customWidth="1"/>
    <col min="27" max="31" width="1" style="163" customWidth="1"/>
    <col min="32" max="32" width="6" style="163" customWidth="1"/>
    <col min="33" max="37" width="2" style="163" customWidth="1"/>
    <col min="38" max="42" width="1.125" style="163" customWidth="1"/>
    <col min="43" max="43" width="4.125" style="163" customWidth="1"/>
    <col min="44" max="44" width="1.125" style="163" customWidth="1"/>
    <col min="45" max="45" width="3" style="163" customWidth="1"/>
    <col min="46" max="48" width="2" style="163" customWidth="1"/>
    <col min="49" max="51" width="1.125" style="163" customWidth="1"/>
    <col min="52" max="52" width="1" style="163" customWidth="1"/>
    <col min="53" max="53" width="5.625" style="163" customWidth="1"/>
    <col min="54" max="58" width="2" style="163" customWidth="1"/>
    <col min="59" max="60" width="1.625" style="163" customWidth="1"/>
    <col min="61" max="61" width="1.125" style="163" customWidth="1"/>
    <col min="62" max="62" width="4.125" style="163" customWidth="1"/>
    <col min="63" max="63" width="1.625" style="163" customWidth="1"/>
    <col min="64" max="68" width="2" style="163" customWidth="1"/>
    <col min="69" max="69" width="2.625" style="163" customWidth="1"/>
    <col min="70" max="16384" width="9" style="163"/>
  </cols>
  <sheetData>
    <row r="1" spans="1:68" ht="14.25" customHeight="1" x14ac:dyDescent="0.15">
      <c r="B1" s="162" t="str">
        <f>'No1'!B5&amp;"年　農業経営統計調査（営農類型別経営統計（農業経営体））　個別結果表No.４"</f>
        <v>年　農業経営統計調査（営農類型別経営統計（農業経営体））　個別結果表No.４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46"/>
      <c r="AQ1" s="46"/>
      <c r="AR1" s="46"/>
      <c r="AS1" s="46"/>
      <c r="AT1" s="46"/>
      <c r="AU1" s="46"/>
      <c r="AV1" s="46"/>
    </row>
    <row r="2" spans="1:68" ht="10.5" customHeight="1" thickBot="1" x14ac:dyDescent="0.2"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46"/>
      <c r="AQ2" s="46"/>
      <c r="AR2" s="46"/>
      <c r="AS2" s="46"/>
      <c r="AT2" s="46"/>
      <c r="AU2" s="46"/>
      <c r="AV2" s="46"/>
    </row>
    <row r="3" spans="1:68" ht="10.5" customHeight="1" x14ac:dyDescent="0.1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287" t="s">
        <v>2</v>
      </c>
      <c r="BH3" s="1204"/>
      <c r="BI3" s="1204"/>
      <c r="BJ3" s="1204"/>
      <c r="BK3" s="1204"/>
      <c r="BL3" s="1204"/>
      <c r="BM3" s="1204"/>
      <c r="BN3" s="1204"/>
      <c r="BO3" s="1204"/>
      <c r="BP3" s="1288"/>
    </row>
    <row r="4" spans="1:68" ht="10.5" customHeight="1" thickBot="1" x14ac:dyDescent="0.2">
      <c r="A4" s="2"/>
      <c r="B4" s="17"/>
      <c r="C4" s="17"/>
      <c r="D4" s="17"/>
      <c r="E4" s="17"/>
      <c r="F4" s="17"/>
      <c r="G4" s="49"/>
      <c r="H4" s="49"/>
      <c r="I4" s="49"/>
      <c r="J4" s="49"/>
      <c r="K4" s="49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45"/>
      <c r="AB4" s="245"/>
      <c r="AC4" s="245"/>
      <c r="AD4" s="245"/>
      <c r="AE4" s="245"/>
      <c r="AF4" s="245"/>
      <c r="AG4" s="245"/>
      <c r="AH4" s="245"/>
      <c r="AI4" s="245"/>
      <c r="AJ4" s="245"/>
      <c r="AK4" s="245"/>
      <c r="AL4" s="245"/>
      <c r="AM4" s="245"/>
      <c r="AN4" s="245"/>
      <c r="AO4" s="245"/>
      <c r="AP4" s="245"/>
      <c r="AQ4" s="245"/>
      <c r="AR4" s="245"/>
      <c r="AS4" s="245"/>
      <c r="AT4" s="245"/>
      <c r="AU4" s="245"/>
      <c r="AV4" s="245"/>
      <c r="AW4" s="245"/>
      <c r="AX4" s="245"/>
      <c r="AY4" s="245"/>
      <c r="AZ4" s="245"/>
      <c r="BA4" s="245"/>
      <c r="BB4" s="245"/>
      <c r="BC4" s="245"/>
      <c r="BD4" s="245"/>
      <c r="BE4" s="245"/>
      <c r="BF4" s="245"/>
      <c r="BG4" s="1289" t="str">
        <f>IF('No1'!L5&lt;&gt;"",'No1'!L5,"")</f>
        <v/>
      </c>
      <c r="BH4" s="1290"/>
      <c r="BI4" s="1290"/>
      <c r="BJ4" s="1290"/>
      <c r="BK4" s="1290"/>
      <c r="BL4" s="1290"/>
      <c r="BM4" s="1290"/>
      <c r="BN4" s="1290"/>
      <c r="BO4" s="1290"/>
      <c r="BP4" s="1291"/>
    </row>
    <row r="5" spans="1:68" ht="10.5" customHeight="1" thickBot="1" x14ac:dyDescent="0.2">
      <c r="A5" s="2"/>
      <c r="B5" s="1292" t="s">
        <v>61</v>
      </c>
      <c r="C5" s="1293"/>
      <c r="D5" s="1293"/>
      <c r="E5" s="1293"/>
      <c r="F5" s="1293"/>
      <c r="G5" s="1293"/>
      <c r="H5" s="1293"/>
      <c r="I5" s="1293"/>
      <c r="J5" s="1293"/>
      <c r="K5" s="1293"/>
      <c r="L5" s="1294" t="s">
        <v>519</v>
      </c>
      <c r="M5" s="1295"/>
      <c r="N5" s="1295"/>
      <c r="O5" s="1295"/>
      <c r="P5" s="1295"/>
      <c r="Q5" s="1295"/>
      <c r="R5" s="1295"/>
      <c r="S5" s="1295"/>
      <c r="T5" s="1295"/>
      <c r="U5" s="1295"/>
      <c r="V5" s="1295"/>
      <c r="W5" s="1295"/>
      <c r="X5" s="1295"/>
      <c r="Y5" s="1295"/>
      <c r="Z5" s="1296"/>
      <c r="AA5" s="246" t="s">
        <v>520</v>
      </c>
      <c r="AB5" s="246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7"/>
      <c r="AW5" s="248" t="s">
        <v>521</v>
      </c>
      <c r="AX5" s="249"/>
      <c r="AY5" s="249"/>
      <c r="AZ5" s="249"/>
      <c r="BA5" s="249"/>
      <c r="BB5" s="249"/>
      <c r="BC5" s="249"/>
      <c r="BD5" s="249"/>
      <c r="BE5" s="249"/>
      <c r="BF5" s="250"/>
      <c r="BG5" s="1297" t="s">
        <v>522</v>
      </c>
      <c r="BH5" s="1298"/>
      <c r="BI5" s="1298"/>
      <c r="BJ5" s="1298"/>
      <c r="BK5" s="1298"/>
      <c r="BL5" s="1298"/>
      <c r="BM5" s="1298"/>
      <c r="BN5" s="1298"/>
      <c r="BO5" s="1298"/>
      <c r="BP5" s="1299"/>
    </row>
    <row r="6" spans="1:68" ht="10.5" customHeight="1" x14ac:dyDescent="0.15">
      <c r="A6" s="2">
        <v>1</v>
      </c>
      <c r="B6" s="1300" t="s">
        <v>66</v>
      </c>
      <c r="C6" s="1301"/>
      <c r="D6" s="1301"/>
      <c r="E6" s="1301"/>
      <c r="F6" s="1301"/>
      <c r="G6" s="1301"/>
      <c r="H6" s="1301"/>
      <c r="I6" s="1301"/>
      <c r="J6" s="1301"/>
      <c r="K6" s="1301"/>
      <c r="L6" s="1302" t="s">
        <v>67</v>
      </c>
      <c r="M6" s="1301"/>
      <c r="N6" s="1301"/>
      <c r="O6" s="1301"/>
      <c r="P6" s="1301"/>
      <c r="Q6" s="1301"/>
      <c r="R6" s="1301"/>
      <c r="S6" s="1301"/>
      <c r="T6" s="1301"/>
      <c r="U6" s="1301"/>
      <c r="V6" s="1301"/>
      <c r="W6" s="1301"/>
      <c r="X6" s="1301"/>
      <c r="Y6" s="1301"/>
      <c r="Z6" s="1303"/>
      <c r="AA6" s="553" t="s">
        <v>68</v>
      </c>
      <c r="AB6" s="553"/>
      <c r="AC6" s="553"/>
      <c r="AD6" s="553"/>
      <c r="AE6" s="553"/>
      <c r="AF6" s="554"/>
      <c r="AG6" s="1304" t="s">
        <v>523</v>
      </c>
      <c r="AH6" s="887"/>
      <c r="AI6" s="887"/>
      <c r="AJ6" s="887"/>
      <c r="AK6" s="1305"/>
      <c r="AL6" s="717" t="s">
        <v>68</v>
      </c>
      <c r="AM6" s="553"/>
      <c r="AN6" s="553"/>
      <c r="AO6" s="553"/>
      <c r="AP6" s="553"/>
      <c r="AQ6" s="554"/>
      <c r="AR6" s="1304" t="s">
        <v>524</v>
      </c>
      <c r="AS6" s="887"/>
      <c r="AT6" s="887"/>
      <c r="AU6" s="887"/>
      <c r="AV6" s="1305"/>
      <c r="AW6" s="520" t="s">
        <v>68</v>
      </c>
      <c r="AX6" s="521"/>
      <c r="AY6" s="521"/>
      <c r="AZ6" s="521"/>
      <c r="BA6" s="522"/>
      <c r="BB6" s="1306" t="s">
        <v>71</v>
      </c>
      <c r="BC6" s="1307"/>
      <c r="BD6" s="1307"/>
      <c r="BE6" s="1307"/>
      <c r="BF6" s="1308"/>
      <c r="BG6" s="491" t="s">
        <v>72</v>
      </c>
      <c r="BH6" s="492"/>
      <c r="BI6" s="492"/>
      <c r="BJ6" s="492"/>
      <c r="BK6" s="493"/>
      <c r="BL6" s="1309"/>
      <c r="BM6" s="1310"/>
      <c r="BN6" s="1310"/>
      <c r="BO6" s="1310"/>
      <c r="BP6" s="1311"/>
    </row>
    <row r="7" spans="1:68" ht="10.5" customHeight="1" x14ac:dyDescent="0.15">
      <c r="A7" s="2">
        <v>2</v>
      </c>
      <c r="B7" s="1312" t="s">
        <v>73</v>
      </c>
      <c r="C7" s="1313"/>
      <c r="D7" s="1313"/>
      <c r="E7" s="1313"/>
      <c r="F7" s="1313"/>
      <c r="G7" s="1314"/>
      <c r="H7" s="1315"/>
      <c r="I7" s="1315"/>
      <c r="J7" s="1315"/>
      <c r="K7" s="1315"/>
      <c r="L7" s="1316" t="s">
        <v>74</v>
      </c>
      <c r="M7" s="1319" t="s">
        <v>28</v>
      </c>
      <c r="N7" s="1320"/>
      <c r="O7" s="1320"/>
      <c r="P7" s="1320"/>
      <c r="Q7" s="1320"/>
      <c r="R7" s="1320"/>
      <c r="S7" s="1320"/>
      <c r="T7" s="1321"/>
      <c r="U7" s="251" t="s">
        <v>75</v>
      </c>
      <c r="V7" s="1314"/>
      <c r="W7" s="1315"/>
      <c r="X7" s="1315"/>
      <c r="Y7" s="1315"/>
      <c r="Z7" s="1322"/>
      <c r="AA7" s="640" t="s">
        <v>81</v>
      </c>
      <c r="AB7" s="495"/>
      <c r="AC7" s="495"/>
      <c r="AD7" s="495"/>
      <c r="AE7" s="495"/>
      <c r="AF7" s="496"/>
      <c r="AG7" s="1314"/>
      <c r="AH7" s="1315"/>
      <c r="AI7" s="1315"/>
      <c r="AJ7" s="1315"/>
      <c r="AK7" s="1322"/>
      <c r="AL7" s="494" t="s">
        <v>82</v>
      </c>
      <c r="AM7" s="495"/>
      <c r="AN7" s="495"/>
      <c r="AO7" s="495"/>
      <c r="AP7" s="495"/>
      <c r="AQ7" s="496"/>
      <c r="AR7" s="1314"/>
      <c r="AS7" s="1315"/>
      <c r="AT7" s="1315"/>
      <c r="AU7" s="1315"/>
      <c r="AV7" s="1341"/>
      <c r="AW7" s="1312" t="s">
        <v>118</v>
      </c>
      <c r="AX7" s="1313"/>
      <c r="AY7" s="1313"/>
      <c r="AZ7" s="1313"/>
      <c r="BA7" s="1342"/>
      <c r="BB7" s="1314"/>
      <c r="BC7" s="1315"/>
      <c r="BD7" s="1315"/>
      <c r="BE7" s="1315"/>
      <c r="BF7" s="1341"/>
      <c r="BG7" s="51"/>
      <c r="BH7" s="1335" t="s">
        <v>78</v>
      </c>
      <c r="BI7" s="1336"/>
      <c r="BJ7" s="1336"/>
      <c r="BK7" s="1337"/>
      <c r="BL7" s="1338"/>
      <c r="BM7" s="1339"/>
      <c r="BN7" s="1339"/>
      <c r="BO7" s="1339"/>
      <c r="BP7" s="1340"/>
    </row>
    <row r="8" spans="1:68" ht="10.5" customHeight="1" x14ac:dyDescent="0.15">
      <c r="A8" s="2">
        <v>3</v>
      </c>
      <c r="B8" s="252"/>
      <c r="C8" s="1019" t="s">
        <v>525</v>
      </c>
      <c r="D8" s="1020"/>
      <c r="E8" s="1020"/>
      <c r="F8" s="1023"/>
      <c r="G8" s="1323"/>
      <c r="H8" s="1324"/>
      <c r="I8" s="1324"/>
      <c r="J8" s="1324"/>
      <c r="K8" s="1324"/>
      <c r="L8" s="1317"/>
      <c r="M8" s="1325" t="s">
        <v>29</v>
      </c>
      <c r="N8" s="1326"/>
      <c r="O8" s="1326"/>
      <c r="P8" s="1326"/>
      <c r="Q8" s="1326"/>
      <c r="R8" s="1326"/>
      <c r="S8" s="1326"/>
      <c r="T8" s="1327"/>
      <c r="U8" s="253" t="s">
        <v>80</v>
      </c>
      <c r="V8" s="1328"/>
      <c r="W8" s="1329"/>
      <c r="X8" s="1329"/>
      <c r="Y8" s="1329"/>
      <c r="Z8" s="1330"/>
      <c r="AA8" s="3"/>
      <c r="AB8" s="500" t="s">
        <v>86</v>
      </c>
      <c r="AC8" s="501"/>
      <c r="AD8" s="501"/>
      <c r="AE8" s="501"/>
      <c r="AF8" s="502"/>
      <c r="AG8" s="1328"/>
      <c r="AH8" s="1329"/>
      <c r="AI8" s="1329"/>
      <c r="AJ8" s="1329"/>
      <c r="AK8" s="1334"/>
      <c r="AL8" s="151"/>
      <c r="AM8" s="592" t="s">
        <v>87</v>
      </c>
      <c r="AN8" s="593"/>
      <c r="AO8" s="593"/>
      <c r="AP8" s="593"/>
      <c r="AQ8" s="594"/>
      <c r="AR8" s="1328"/>
      <c r="AS8" s="1329"/>
      <c r="AT8" s="1329"/>
      <c r="AU8" s="1329"/>
      <c r="AV8" s="1334"/>
      <c r="AW8" s="252"/>
      <c r="AX8" s="254"/>
      <c r="AY8" s="1019" t="s">
        <v>123</v>
      </c>
      <c r="AZ8" s="1020"/>
      <c r="BA8" s="1023"/>
      <c r="BB8" s="1328"/>
      <c r="BC8" s="1329"/>
      <c r="BD8" s="1329"/>
      <c r="BE8" s="1329"/>
      <c r="BF8" s="1334"/>
      <c r="BG8" s="51"/>
      <c r="BH8" s="1335" t="s">
        <v>84</v>
      </c>
      <c r="BI8" s="1336"/>
      <c r="BJ8" s="1336"/>
      <c r="BK8" s="1337"/>
      <c r="BL8" s="1328"/>
      <c r="BM8" s="1329"/>
      <c r="BN8" s="1329"/>
      <c r="BO8" s="1329"/>
      <c r="BP8" s="1334"/>
    </row>
    <row r="9" spans="1:68" ht="10.5" customHeight="1" x14ac:dyDescent="0.15">
      <c r="A9" s="2">
        <v>4</v>
      </c>
      <c r="B9" s="252"/>
      <c r="C9" s="1102" t="s">
        <v>526</v>
      </c>
      <c r="D9" s="1103"/>
      <c r="E9" s="1103"/>
      <c r="F9" s="1104"/>
      <c r="G9" s="1323"/>
      <c r="H9" s="1324"/>
      <c r="I9" s="1324"/>
      <c r="J9" s="1324"/>
      <c r="K9" s="1324"/>
      <c r="L9" s="1317"/>
      <c r="M9" s="1325" t="s">
        <v>30</v>
      </c>
      <c r="N9" s="1326"/>
      <c r="O9" s="1326"/>
      <c r="P9" s="1326"/>
      <c r="Q9" s="1326"/>
      <c r="R9" s="1326"/>
      <c r="S9" s="1326"/>
      <c r="T9" s="1327"/>
      <c r="U9" s="253" t="s">
        <v>80</v>
      </c>
      <c r="V9" s="1328"/>
      <c r="W9" s="1329"/>
      <c r="X9" s="1329"/>
      <c r="Y9" s="1329"/>
      <c r="Z9" s="1330"/>
      <c r="AA9" s="156"/>
      <c r="AB9" s="55"/>
      <c r="AC9" s="500" t="s">
        <v>91</v>
      </c>
      <c r="AD9" s="501"/>
      <c r="AE9" s="501"/>
      <c r="AF9" s="502"/>
      <c r="AG9" s="1328"/>
      <c r="AH9" s="1329"/>
      <c r="AI9" s="1329"/>
      <c r="AJ9" s="1329"/>
      <c r="AK9" s="1334"/>
      <c r="AL9" s="53"/>
      <c r="AM9" s="58"/>
      <c r="AN9" s="500" t="s">
        <v>92</v>
      </c>
      <c r="AO9" s="501"/>
      <c r="AP9" s="420"/>
      <c r="AQ9" s="421"/>
      <c r="AR9" s="1328"/>
      <c r="AS9" s="1329"/>
      <c r="AT9" s="1329"/>
      <c r="AU9" s="1329"/>
      <c r="AV9" s="1334"/>
      <c r="AW9" s="252"/>
      <c r="AX9" s="254"/>
      <c r="AY9" s="1019" t="s">
        <v>341</v>
      </c>
      <c r="AZ9" s="1020"/>
      <c r="BA9" s="1023"/>
      <c r="BB9" s="1328"/>
      <c r="BC9" s="1329"/>
      <c r="BD9" s="1329"/>
      <c r="BE9" s="1329"/>
      <c r="BF9" s="1334"/>
      <c r="BG9" s="51"/>
      <c r="BH9" s="1335" t="s">
        <v>89</v>
      </c>
      <c r="BI9" s="1336"/>
      <c r="BJ9" s="1336"/>
      <c r="BK9" s="1337"/>
      <c r="BL9" s="1328"/>
      <c r="BM9" s="1329"/>
      <c r="BN9" s="1329"/>
      <c r="BO9" s="1329"/>
      <c r="BP9" s="1334"/>
    </row>
    <row r="10" spans="1:68" ht="10.5" customHeight="1" x14ac:dyDescent="0.15">
      <c r="A10" s="2">
        <v>5</v>
      </c>
      <c r="B10" s="252"/>
      <c r="C10" s="1019" t="s">
        <v>527</v>
      </c>
      <c r="D10" s="1020"/>
      <c r="E10" s="1020"/>
      <c r="F10" s="1023"/>
      <c r="G10" s="1323"/>
      <c r="H10" s="1324"/>
      <c r="I10" s="1324"/>
      <c r="J10" s="1324"/>
      <c r="K10" s="1324"/>
      <c r="L10" s="1318"/>
      <c r="M10" s="1325" t="s">
        <v>33</v>
      </c>
      <c r="N10" s="1326"/>
      <c r="O10" s="1326"/>
      <c r="P10" s="1326"/>
      <c r="Q10" s="1326"/>
      <c r="R10" s="1326"/>
      <c r="S10" s="1326"/>
      <c r="T10" s="1327"/>
      <c r="U10" s="253" t="s">
        <v>80</v>
      </c>
      <c r="V10" s="1331"/>
      <c r="W10" s="1332"/>
      <c r="X10" s="1332"/>
      <c r="Y10" s="1332"/>
      <c r="Z10" s="1333"/>
      <c r="AA10" s="156"/>
      <c r="AB10" s="155"/>
      <c r="AC10" s="55"/>
      <c r="AD10" s="795" t="s">
        <v>96</v>
      </c>
      <c r="AE10" s="796"/>
      <c r="AF10" s="797"/>
      <c r="AG10" s="1328"/>
      <c r="AH10" s="1329"/>
      <c r="AI10" s="1329"/>
      <c r="AJ10" s="1329"/>
      <c r="AK10" s="1334"/>
      <c r="AL10" s="151"/>
      <c r="AM10" s="58"/>
      <c r="AN10" s="419" t="s">
        <v>97</v>
      </c>
      <c r="AO10" s="420"/>
      <c r="AP10" s="420"/>
      <c r="AQ10" s="421"/>
      <c r="AR10" s="1328"/>
      <c r="AS10" s="1329"/>
      <c r="AT10" s="1329"/>
      <c r="AU10" s="1329"/>
      <c r="AV10" s="1334"/>
      <c r="AW10" s="252"/>
      <c r="AX10" s="254"/>
      <c r="AY10" s="1019" t="s">
        <v>344</v>
      </c>
      <c r="AZ10" s="1020"/>
      <c r="BA10" s="1023"/>
      <c r="BB10" s="1328"/>
      <c r="BC10" s="1329"/>
      <c r="BD10" s="1329"/>
      <c r="BE10" s="1329"/>
      <c r="BF10" s="1334"/>
      <c r="BG10" s="51"/>
      <c r="BH10" s="1335" t="s">
        <v>94</v>
      </c>
      <c r="BI10" s="1336"/>
      <c r="BJ10" s="1336"/>
      <c r="BK10" s="1337"/>
      <c r="BL10" s="1328"/>
      <c r="BM10" s="1329"/>
      <c r="BN10" s="1329"/>
      <c r="BO10" s="1329"/>
      <c r="BP10" s="1334"/>
    </row>
    <row r="11" spans="1:68" ht="10.5" customHeight="1" x14ac:dyDescent="0.15">
      <c r="A11" s="2">
        <v>6</v>
      </c>
      <c r="B11" s="1345" t="s">
        <v>79</v>
      </c>
      <c r="C11" s="1020"/>
      <c r="D11" s="1020"/>
      <c r="E11" s="1020"/>
      <c r="F11" s="1023"/>
      <c r="G11" s="1323"/>
      <c r="H11" s="1324"/>
      <c r="I11" s="1324"/>
      <c r="J11" s="1324"/>
      <c r="K11" s="1324"/>
      <c r="L11" s="1346" t="s">
        <v>112</v>
      </c>
      <c r="M11" s="1319" t="s">
        <v>36</v>
      </c>
      <c r="N11" s="1320"/>
      <c r="O11" s="1320"/>
      <c r="P11" s="1320"/>
      <c r="Q11" s="1320"/>
      <c r="R11" s="1320"/>
      <c r="S11" s="1320"/>
      <c r="T11" s="1321"/>
      <c r="U11" s="255" t="s">
        <v>125</v>
      </c>
      <c r="V11" s="1314"/>
      <c r="W11" s="1315"/>
      <c r="X11" s="1315"/>
      <c r="Y11" s="1315"/>
      <c r="Z11" s="1322"/>
      <c r="AA11" s="256"/>
      <c r="AB11" s="254"/>
      <c r="AC11" s="10"/>
      <c r="AD11" s="1019" t="s">
        <v>528</v>
      </c>
      <c r="AE11" s="1020"/>
      <c r="AF11" s="1023"/>
      <c r="AG11" s="1328"/>
      <c r="AH11" s="1329"/>
      <c r="AI11" s="1329"/>
      <c r="AJ11" s="1329"/>
      <c r="AK11" s="1334"/>
      <c r="AL11" s="151"/>
      <c r="AM11" s="58"/>
      <c r="AN11" s="419" t="s">
        <v>101</v>
      </c>
      <c r="AO11" s="420"/>
      <c r="AP11" s="420"/>
      <c r="AQ11" s="421"/>
      <c r="AR11" s="1328"/>
      <c r="AS11" s="1329"/>
      <c r="AT11" s="1329"/>
      <c r="AU11" s="1329"/>
      <c r="AV11" s="1334"/>
      <c r="AW11" s="252"/>
      <c r="AX11" s="254"/>
      <c r="AY11" s="1019" t="s">
        <v>347</v>
      </c>
      <c r="AZ11" s="1020"/>
      <c r="BA11" s="1023"/>
      <c r="BB11" s="1328"/>
      <c r="BC11" s="1329"/>
      <c r="BD11" s="1329"/>
      <c r="BE11" s="1329"/>
      <c r="BF11" s="1334"/>
      <c r="BG11" s="51"/>
      <c r="BH11" s="1335" t="s">
        <v>99</v>
      </c>
      <c r="BI11" s="1336"/>
      <c r="BJ11" s="1336"/>
      <c r="BK11" s="1337"/>
      <c r="BL11" s="1309"/>
      <c r="BM11" s="1310"/>
      <c r="BN11" s="1310"/>
      <c r="BO11" s="1310"/>
      <c r="BP11" s="1311"/>
    </row>
    <row r="12" spans="1:68" ht="10.5" customHeight="1" x14ac:dyDescent="0.15">
      <c r="A12" s="2">
        <v>7</v>
      </c>
      <c r="B12" s="252"/>
      <c r="C12" s="1019" t="s">
        <v>529</v>
      </c>
      <c r="D12" s="1020"/>
      <c r="E12" s="1020"/>
      <c r="F12" s="1023"/>
      <c r="G12" s="1323"/>
      <c r="H12" s="1324"/>
      <c r="I12" s="1324"/>
      <c r="J12" s="1324"/>
      <c r="K12" s="1324"/>
      <c r="L12" s="1347"/>
      <c r="M12" s="1325" t="s">
        <v>37</v>
      </c>
      <c r="N12" s="1326"/>
      <c r="O12" s="1326"/>
      <c r="P12" s="1326"/>
      <c r="Q12" s="1326"/>
      <c r="R12" s="1326"/>
      <c r="S12" s="1326"/>
      <c r="T12" s="1327"/>
      <c r="U12" s="253" t="s">
        <v>75</v>
      </c>
      <c r="V12" s="1328"/>
      <c r="W12" s="1329"/>
      <c r="X12" s="1329"/>
      <c r="Y12" s="1329"/>
      <c r="Z12" s="1330"/>
      <c r="AA12" s="256"/>
      <c r="AB12" s="257"/>
      <c r="AC12" s="1106" t="s">
        <v>113</v>
      </c>
      <c r="AD12" s="1343"/>
      <c r="AE12" s="1343"/>
      <c r="AF12" s="1344"/>
      <c r="AG12" s="1328"/>
      <c r="AH12" s="1329"/>
      <c r="AI12" s="1329"/>
      <c r="AJ12" s="1329"/>
      <c r="AK12" s="1334"/>
      <c r="AL12" s="151"/>
      <c r="AM12" s="500" t="s">
        <v>104</v>
      </c>
      <c r="AN12" s="420"/>
      <c r="AO12" s="420"/>
      <c r="AP12" s="420"/>
      <c r="AQ12" s="421"/>
      <c r="AR12" s="1328"/>
      <c r="AS12" s="1329"/>
      <c r="AT12" s="1329"/>
      <c r="AU12" s="1329"/>
      <c r="AV12" s="1334"/>
      <c r="AW12" s="252"/>
      <c r="AX12" s="254"/>
      <c r="AY12" s="1019" t="s">
        <v>351</v>
      </c>
      <c r="AZ12" s="1020"/>
      <c r="BA12" s="1023"/>
      <c r="BB12" s="1328"/>
      <c r="BC12" s="1329"/>
      <c r="BD12" s="1329"/>
      <c r="BE12" s="1329"/>
      <c r="BF12" s="1334"/>
      <c r="BG12" s="51"/>
      <c r="BH12" s="1335" t="s">
        <v>101</v>
      </c>
      <c r="BI12" s="1336"/>
      <c r="BJ12" s="1336"/>
      <c r="BK12" s="1337"/>
      <c r="BL12" s="1349"/>
      <c r="BM12" s="1350"/>
      <c r="BN12" s="1350"/>
      <c r="BO12" s="1350"/>
      <c r="BP12" s="1351"/>
    </row>
    <row r="13" spans="1:68" ht="10.5" customHeight="1" x14ac:dyDescent="0.15">
      <c r="A13" s="2">
        <v>8</v>
      </c>
      <c r="B13" s="252"/>
      <c r="C13" s="1102" t="s">
        <v>530</v>
      </c>
      <c r="D13" s="1103"/>
      <c r="E13" s="1103"/>
      <c r="F13" s="1104"/>
      <c r="G13" s="1323"/>
      <c r="H13" s="1324"/>
      <c r="I13" s="1324"/>
      <c r="J13" s="1324"/>
      <c r="K13" s="1324"/>
      <c r="L13" s="1347"/>
      <c r="M13" s="1352" t="s">
        <v>40</v>
      </c>
      <c r="N13" s="1353"/>
      <c r="O13" s="1353"/>
      <c r="P13" s="1353"/>
      <c r="Q13" s="1353"/>
      <c r="R13" s="1353"/>
      <c r="S13" s="1353"/>
      <c r="T13" s="1354"/>
      <c r="U13" s="253" t="s">
        <v>125</v>
      </c>
      <c r="V13" s="1328"/>
      <c r="W13" s="1329"/>
      <c r="X13" s="1329"/>
      <c r="Y13" s="1329"/>
      <c r="Z13" s="1330"/>
      <c r="AA13" s="256"/>
      <c r="AB13" s="254"/>
      <c r="AC13" s="257"/>
      <c r="AD13" s="1106" t="s">
        <v>116</v>
      </c>
      <c r="AE13" s="1020"/>
      <c r="AF13" s="1023"/>
      <c r="AG13" s="1328"/>
      <c r="AH13" s="1329"/>
      <c r="AI13" s="1329"/>
      <c r="AJ13" s="1329"/>
      <c r="AK13" s="1334"/>
      <c r="AL13" s="258"/>
      <c r="AM13" s="62"/>
      <c r="AN13" s="500" t="s">
        <v>109</v>
      </c>
      <c r="AO13" s="501"/>
      <c r="AP13" s="501"/>
      <c r="AQ13" s="502"/>
      <c r="AR13" s="1331"/>
      <c r="AS13" s="1332"/>
      <c r="AT13" s="1332"/>
      <c r="AU13" s="1332"/>
      <c r="AV13" s="1355"/>
      <c r="AW13" s="252"/>
      <c r="AX13" s="254"/>
      <c r="AY13" s="1019" t="s">
        <v>354</v>
      </c>
      <c r="AZ13" s="1020"/>
      <c r="BA13" s="1023"/>
      <c r="BB13" s="1328"/>
      <c r="BC13" s="1329"/>
      <c r="BD13" s="1329"/>
      <c r="BE13" s="1329"/>
      <c r="BF13" s="1334"/>
      <c r="BG13" s="1356" t="s">
        <v>106</v>
      </c>
      <c r="BH13" s="1357"/>
      <c r="BI13" s="1357"/>
      <c r="BJ13" s="1357"/>
      <c r="BK13" s="1358"/>
      <c r="BL13" s="1314"/>
      <c r="BM13" s="1315"/>
      <c r="BN13" s="1315"/>
      <c r="BO13" s="1315"/>
      <c r="BP13" s="1341"/>
    </row>
    <row r="14" spans="1:68" ht="10.5" customHeight="1" thickBot="1" x14ac:dyDescent="0.2">
      <c r="A14" s="2">
        <v>9</v>
      </c>
      <c r="B14" s="252"/>
      <c r="C14" s="1019" t="s">
        <v>531</v>
      </c>
      <c r="D14" s="1020"/>
      <c r="E14" s="1020"/>
      <c r="F14" s="1023"/>
      <c r="G14" s="1323"/>
      <c r="H14" s="1324"/>
      <c r="I14" s="1324"/>
      <c r="J14" s="1324"/>
      <c r="K14" s="1324"/>
      <c r="L14" s="1348"/>
      <c r="M14" s="846" t="s">
        <v>41</v>
      </c>
      <c r="N14" s="847"/>
      <c r="O14" s="847"/>
      <c r="P14" s="847"/>
      <c r="Q14" s="847"/>
      <c r="R14" s="847"/>
      <c r="S14" s="847"/>
      <c r="T14" s="848"/>
      <c r="U14" s="259" t="s">
        <v>125</v>
      </c>
      <c r="V14" s="1331"/>
      <c r="W14" s="1332"/>
      <c r="X14" s="1332"/>
      <c r="Y14" s="1332"/>
      <c r="Z14" s="1333"/>
      <c r="AA14" s="256"/>
      <c r="AB14" s="257"/>
      <c r="AC14" s="1106" t="s">
        <v>101</v>
      </c>
      <c r="AD14" s="1020"/>
      <c r="AE14" s="1020"/>
      <c r="AF14" s="1023"/>
      <c r="AG14" s="1328"/>
      <c r="AH14" s="1329"/>
      <c r="AI14" s="1329"/>
      <c r="AJ14" s="1329"/>
      <c r="AK14" s="1334"/>
      <c r="AL14" s="1275" t="s">
        <v>119</v>
      </c>
      <c r="AM14" s="1368"/>
      <c r="AN14" s="1368"/>
      <c r="AO14" s="1368"/>
      <c r="AP14" s="1368"/>
      <c r="AQ14" s="1369"/>
      <c r="AR14" s="1370"/>
      <c r="AS14" s="1371"/>
      <c r="AT14" s="1371"/>
      <c r="AU14" s="1371"/>
      <c r="AV14" s="1372"/>
      <c r="AW14" s="252"/>
      <c r="AX14" s="254"/>
      <c r="AY14" s="1019" t="s">
        <v>356</v>
      </c>
      <c r="AZ14" s="1020"/>
      <c r="BA14" s="1023"/>
      <c r="BB14" s="1328"/>
      <c r="BC14" s="1329"/>
      <c r="BD14" s="1329"/>
      <c r="BE14" s="1329"/>
      <c r="BF14" s="1334"/>
      <c r="BG14" s="66"/>
      <c r="BH14" s="628" t="s">
        <v>114</v>
      </c>
      <c r="BI14" s="629"/>
      <c r="BJ14" s="629"/>
      <c r="BK14" s="630"/>
      <c r="BL14" s="1359"/>
      <c r="BM14" s="1329"/>
      <c r="BN14" s="1329"/>
      <c r="BO14" s="1329"/>
      <c r="BP14" s="1334"/>
    </row>
    <row r="15" spans="1:68" ht="10.5" customHeight="1" thickBot="1" x14ac:dyDescent="0.2">
      <c r="A15" s="2">
        <v>10</v>
      </c>
      <c r="B15" s="1345" t="s">
        <v>85</v>
      </c>
      <c r="C15" s="1020"/>
      <c r="D15" s="1020"/>
      <c r="E15" s="1020"/>
      <c r="F15" s="1023"/>
      <c r="G15" s="1323"/>
      <c r="H15" s="1324"/>
      <c r="I15" s="1324"/>
      <c r="J15" s="1324"/>
      <c r="K15" s="1324"/>
      <c r="L15" s="1360" t="s">
        <v>134</v>
      </c>
      <c r="M15" s="906"/>
      <c r="N15" s="1361"/>
      <c r="O15" s="1362" t="s">
        <v>42</v>
      </c>
      <c r="P15" s="1363"/>
      <c r="Q15" s="1363"/>
      <c r="R15" s="1363"/>
      <c r="S15" s="1363"/>
      <c r="T15" s="1364"/>
      <c r="U15" s="260" t="s">
        <v>135</v>
      </c>
      <c r="V15" s="1365"/>
      <c r="W15" s="1366"/>
      <c r="X15" s="1366"/>
      <c r="Y15" s="1366"/>
      <c r="Z15" s="1367"/>
      <c r="AA15" s="1"/>
      <c r="AB15" s="1106" t="s">
        <v>126</v>
      </c>
      <c r="AC15" s="1343"/>
      <c r="AD15" s="1343"/>
      <c r="AE15" s="1343"/>
      <c r="AF15" s="1344"/>
      <c r="AG15" s="1328"/>
      <c r="AH15" s="1329"/>
      <c r="AI15" s="1329"/>
      <c r="AJ15" s="1329"/>
      <c r="AK15" s="1330"/>
      <c r="AW15" s="252"/>
      <c r="AX15" s="254"/>
      <c r="AY15" s="1019" t="s">
        <v>362</v>
      </c>
      <c r="AZ15" s="1020"/>
      <c r="BA15" s="1023"/>
      <c r="BB15" s="1328"/>
      <c r="BC15" s="1329"/>
      <c r="BD15" s="1329"/>
      <c r="BE15" s="1329"/>
      <c r="BF15" s="1334"/>
      <c r="BG15" s="66"/>
      <c r="BH15" s="617" t="s">
        <v>117</v>
      </c>
      <c r="BI15" s="629"/>
      <c r="BJ15" s="629"/>
      <c r="BK15" s="630"/>
      <c r="BL15" s="1359"/>
      <c r="BM15" s="1329"/>
      <c r="BN15" s="1329"/>
      <c r="BO15" s="1329"/>
      <c r="BP15" s="1334"/>
    </row>
    <row r="16" spans="1:68" ht="10.5" customHeight="1" thickBot="1" x14ac:dyDescent="0.2">
      <c r="A16" s="2">
        <v>11</v>
      </c>
      <c r="B16" s="252"/>
      <c r="C16" s="1019" t="s">
        <v>532</v>
      </c>
      <c r="D16" s="1020"/>
      <c r="E16" s="1020"/>
      <c r="F16" s="1023"/>
      <c r="G16" s="1323"/>
      <c r="H16" s="1324"/>
      <c r="I16" s="1324"/>
      <c r="J16" s="1324"/>
      <c r="K16" s="1324"/>
      <c r="L16" s="1379" t="s">
        <v>138</v>
      </c>
      <c r="M16" s="1123"/>
      <c r="N16" s="1124"/>
      <c r="O16" s="1128" t="s">
        <v>43</v>
      </c>
      <c r="P16" s="1381"/>
      <c r="Q16" s="1381"/>
      <c r="R16" s="1381"/>
      <c r="S16" s="1381"/>
      <c r="T16" s="1129"/>
      <c r="U16" s="261" t="s">
        <v>75</v>
      </c>
      <c r="V16" s="1314"/>
      <c r="W16" s="1315"/>
      <c r="X16" s="1315"/>
      <c r="Y16" s="1315"/>
      <c r="Z16" s="1322"/>
      <c r="AA16" s="262"/>
      <c r="AB16" s="263"/>
      <c r="AC16" s="1088" t="s">
        <v>136</v>
      </c>
      <c r="AD16" s="1089"/>
      <c r="AE16" s="1089"/>
      <c r="AF16" s="1090"/>
      <c r="AG16" s="1328"/>
      <c r="AH16" s="1329"/>
      <c r="AI16" s="1329"/>
      <c r="AJ16" s="1329"/>
      <c r="AK16" s="1334"/>
      <c r="AL16" s="1382" t="s">
        <v>533</v>
      </c>
      <c r="AM16" s="809"/>
      <c r="AN16" s="809"/>
      <c r="AO16" s="809"/>
      <c r="AP16" s="809"/>
      <c r="AQ16" s="1383"/>
      <c r="AR16" s="1384"/>
      <c r="AS16" s="1385"/>
      <c r="AT16" s="1385"/>
      <c r="AU16" s="1385"/>
      <c r="AV16" s="1386"/>
      <c r="AW16" s="252"/>
      <c r="AX16" s="254"/>
      <c r="AY16" s="1019" t="s">
        <v>366</v>
      </c>
      <c r="AZ16" s="1020"/>
      <c r="BA16" s="1023"/>
      <c r="BB16" s="1328"/>
      <c r="BC16" s="1329"/>
      <c r="BD16" s="1329"/>
      <c r="BE16" s="1329"/>
      <c r="BF16" s="1334"/>
      <c r="BG16" s="69"/>
      <c r="BH16" s="264"/>
      <c r="BI16" s="1373" t="s">
        <v>120</v>
      </c>
      <c r="BJ16" s="1374"/>
      <c r="BK16" s="1375"/>
      <c r="BL16" s="1359"/>
      <c r="BM16" s="1329"/>
      <c r="BN16" s="1329"/>
      <c r="BO16" s="1329"/>
      <c r="BP16" s="1334"/>
    </row>
    <row r="17" spans="1:68" ht="10.5" customHeight="1" thickBot="1" x14ac:dyDescent="0.2">
      <c r="A17" s="2">
        <v>12</v>
      </c>
      <c r="B17" s="252"/>
      <c r="C17" s="1019" t="s">
        <v>534</v>
      </c>
      <c r="D17" s="1020"/>
      <c r="E17" s="1020"/>
      <c r="F17" s="1023"/>
      <c r="G17" s="1323"/>
      <c r="H17" s="1324"/>
      <c r="I17" s="1324"/>
      <c r="J17" s="1324"/>
      <c r="K17" s="1324"/>
      <c r="L17" s="1380"/>
      <c r="M17" s="1143"/>
      <c r="N17" s="1144"/>
      <c r="O17" s="1091" t="s">
        <v>44</v>
      </c>
      <c r="P17" s="1092"/>
      <c r="Q17" s="1092"/>
      <c r="R17" s="1092"/>
      <c r="S17" s="1092"/>
      <c r="T17" s="1093"/>
      <c r="U17" s="265" t="s">
        <v>80</v>
      </c>
      <c r="V17" s="1376"/>
      <c r="W17" s="1377"/>
      <c r="X17" s="1377"/>
      <c r="Y17" s="1377"/>
      <c r="Z17" s="1378"/>
      <c r="AA17" s="256"/>
      <c r="AB17" s="254"/>
      <c r="AC17" s="1088" t="s">
        <v>139</v>
      </c>
      <c r="AD17" s="1089"/>
      <c r="AE17" s="1089"/>
      <c r="AF17" s="1090"/>
      <c r="AG17" s="1328"/>
      <c r="AH17" s="1329"/>
      <c r="AI17" s="1329"/>
      <c r="AJ17" s="1329"/>
      <c r="AK17" s="1330"/>
      <c r="AV17" s="164"/>
      <c r="AW17" s="252"/>
      <c r="AX17" s="254"/>
      <c r="AY17" s="1019" t="s">
        <v>372</v>
      </c>
      <c r="AZ17" s="1020"/>
      <c r="BA17" s="1023"/>
      <c r="BB17" s="1328"/>
      <c r="BC17" s="1329"/>
      <c r="BD17" s="1329"/>
      <c r="BE17" s="1329"/>
      <c r="BF17" s="1334"/>
      <c r="BG17" s="66"/>
      <c r="BH17" s="628" t="s">
        <v>123</v>
      </c>
      <c r="BI17" s="629"/>
      <c r="BJ17" s="629"/>
      <c r="BK17" s="630"/>
      <c r="BL17" s="1359"/>
      <c r="BM17" s="1329"/>
      <c r="BN17" s="1329"/>
      <c r="BO17" s="1329"/>
      <c r="BP17" s="1334"/>
    </row>
    <row r="18" spans="1:68" ht="10.5" customHeight="1" x14ac:dyDescent="0.15">
      <c r="A18" s="2">
        <v>13</v>
      </c>
      <c r="B18" s="252"/>
      <c r="C18" s="1019" t="s">
        <v>535</v>
      </c>
      <c r="D18" s="1020"/>
      <c r="E18" s="1020"/>
      <c r="F18" s="1023"/>
      <c r="G18" s="1323"/>
      <c r="H18" s="1324"/>
      <c r="I18" s="1324"/>
      <c r="J18" s="1324"/>
      <c r="K18" s="1324"/>
      <c r="L18" s="1387" t="s">
        <v>145</v>
      </c>
      <c r="M18" s="1388"/>
      <c r="N18" s="1388"/>
      <c r="O18" s="1388"/>
      <c r="P18" s="1388"/>
      <c r="Q18" s="1388"/>
      <c r="R18" s="1388"/>
      <c r="S18" s="1388"/>
      <c r="T18" s="1388"/>
      <c r="U18" s="1388"/>
      <c r="V18" s="1301"/>
      <c r="W18" s="1301"/>
      <c r="X18" s="1301"/>
      <c r="Y18" s="1301"/>
      <c r="Z18" s="1303"/>
      <c r="AA18" s="256"/>
      <c r="AB18" s="254"/>
      <c r="AC18" s="1106" t="s">
        <v>142</v>
      </c>
      <c r="AD18" s="1020"/>
      <c r="AE18" s="1020"/>
      <c r="AF18" s="1023"/>
      <c r="AG18" s="1328"/>
      <c r="AH18" s="1329"/>
      <c r="AI18" s="1329"/>
      <c r="AJ18" s="1329"/>
      <c r="AK18" s="1330"/>
      <c r="AV18" s="164"/>
      <c r="AW18" s="252"/>
      <c r="AX18" s="254"/>
      <c r="AY18" s="1019" t="s">
        <v>375</v>
      </c>
      <c r="AZ18" s="1020"/>
      <c r="BA18" s="1023"/>
      <c r="BB18" s="1328"/>
      <c r="BC18" s="1329"/>
      <c r="BD18" s="1329"/>
      <c r="BE18" s="1329"/>
      <c r="BF18" s="1334"/>
      <c r="BG18" s="66"/>
      <c r="BH18" s="628" t="s">
        <v>128</v>
      </c>
      <c r="BI18" s="629"/>
      <c r="BJ18" s="629"/>
      <c r="BK18" s="630"/>
      <c r="BL18" s="1359"/>
      <c r="BM18" s="1329"/>
      <c r="BN18" s="1329"/>
      <c r="BO18" s="1329"/>
      <c r="BP18" s="1334"/>
    </row>
    <row r="19" spans="1:68" ht="10.5" customHeight="1" thickBot="1" x14ac:dyDescent="0.2">
      <c r="A19" s="2">
        <v>14</v>
      </c>
      <c r="B19" s="1345" t="s">
        <v>197</v>
      </c>
      <c r="C19" s="1020"/>
      <c r="D19" s="1020"/>
      <c r="E19" s="1020"/>
      <c r="F19" s="1023"/>
      <c r="G19" s="1323"/>
      <c r="H19" s="1324"/>
      <c r="I19" s="1324"/>
      <c r="J19" s="1324"/>
      <c r="K19" s="1324"/>
      <c r="L19" s="1393" t="s">
        <v>148</v>
      </c>
      <c r="M19" s="1395" t="s">
        <v>45</v>
      </c>
      <c r="N19" s="1381"/>
      <c r="O19" s="1381"/>
      <c r="P19" s="1381"/>
      <c r="Q19" s="1381"/>
      <c r="R19" s="1381"/>
      <c r="S19" s="1381"/>
      <c r="T19" s="1129"/>
      <c r="U19" s="251" t="s">
        <v>75</v>
      </c>
      <c r="V19" s="1314"/>
      <c r="W19" s="1315"/>
      <c r="X19" s="1315"/>
      <c r="Y19" s="1315"/>
      <c r="Z19" s="1322"/>
      <c r="AA19" s="266"/>
      <c r="AB19" s="267"/>
      <c r="AC19" s="1091" t="s">
        <v>536</v>
      </c>
      <c r="AD19" s="1092"/>
      <c r="AE19" s="1092"/>
      <c r="AF19" s="1093"/>
      <c r="AG19" s="1376"/>
      <c r="AH19" s="1377"/>
      <c r="AI19" s="1377"/>
      <c r="AJ19" s="1377"/>
      <c r="AK19" s="1378"/>
      <c r="AW19" s="252"/>
      <c r="AX19" s="254"/>
      <c r="AY19" s="1019" t="s">
        <v>379</v>
      </c>
      <c r="AZ19" s="1020"/>
      <c r="BA19" s="1023"/>
      <c r="BB19" s="1328"/>
      <c r="BC19" s="1329"/>
      <c r="BD19" s="1329"/>
      <c r="BE19" s="1329"/>
      <c r="BF19" s="1334"/>
      <c r="BG19" s="66"/>
      <c r="BH19" s="628" t="s">
        <v>133</v>
      </c>
      <c r="BI19" s="629"/>
      <c r="BJ19" s="629"/>
      <c r="BK19" s="630"/>
      <c r="BL19" s="1359"/>
      <c r="BM19" s="1329"/>
      <c r="BN19" s="1329"/>
      <c r="BO19" s="1329"/>
      <c r="BP19" s="1334"/>
    </row>
    <row r="20" spans="1:68" ht="10.5" customHeight="1" thickBot="1" x14ac:dyDescent="0.2">
      <c r="A20" s="2">
        <v>15</v>
      </c>
      <c r="B20" s="1345" t="s">
        <v>95</v>
      </c>
      <c r="C20" s="1020"/>
      <c r="D20" s="1020"/>
      <c r="E20" s="1020"/>
      <c r="F20" s="1023"/>
      <c r="G20" s="1323"/>
      <c r="H20" s="1324"/>
      <c r="I20" s="1324"/>
      <c r="J20" s="1324"/>
      <c r="K20" s="1324"/>
      <c r="L20" s="1394"/>
      <c r="M20" s="1389" t="s">
        <v>46</v>
      </c>
      <c r="N20" s="847"/>
      <c r="O20" s="847"/>
      <c r="P20" s="847"/>
      <c r="Q20" s="847"/>
      <c r="R20" s="847"/>
      <c r="S20" s="847"/>
      <c r="T20" s="848"/>
      <c r="U20" s="259" t="s">
        <v>80</v>
      </c>
      <c r="V20" s="1331"/>
      <c r="W20" s="1332"/>
      <c r="X20" s="1332"/>
      <c r="Y20" s="1332"/>
      <c r="Z20" s="1333"/>
      <c r="AL20" s="165"/>
      <c r="AM20" s="165"/>
      <c r="AN20" s="165"/>
      <c r="AO20" s="165"/>
      <c r="AP20" s="165"/>
      <c r="AQ20" s="165"/>
      <c r="AW20" s="252"/>
      <c r="AX20" s="254"/>
      <c r="AY20" s="1019" t="s">
        <v>381</v>
      </c>
      <c r="AZ20" s="1020"/>
      <c r="BA20" s="1023"/>
      <c r="BB20" s="1328"/>
      <c r="BC20" s="1329"/>
      <c r="BD20" s="1329"/>
      <c r="BE20" s="1329"/>
      <c r="BF20" s="1334"/>
      <c r="BG20" s="51"/>
      <c r="BH20" s="1390" t="s">
        <v>101</v>
      </c>
      <c r="BI20" s="1391"/>
      <c r="BJ20" s="1391"/>
      <c r="BK20" s="1392"/>
      <c r="BL20" s="1331"/>
      <c r="BM20" s="1332"/>
      <c r="BN20" s="1332"/>
      <c r="BO20" s="1332"/>
      <c r="BP20" s="1355"/>
    </row>
    <row r="21" spans="1:68" ht="10.5" customHeight="1" x14ac:dyDescent="0.15">
      <c r="A21" s="2">
        <v>16</v>
      </c>
      <c r="B21" s="1345" t="s">
        <v>100</v>
      </c>
      <c r="C21" s="1343"/>
      <c r="D21" s="1343"/>
      <c r="E21" s="1343"/>
      <c r="F21" s="1344"/>
      <c r="G21" s="1323"/>
      <c r="H21" s="1324"/>
      <c r="I21" s="1324"/>
      <c r="J21" s="1324"/>
      <c r="K21" s="1324"/>
      <c r="L21" s="1396" t="s">
        <v>156</v>
      </c>
      <c r="M21" s="1395" t="s">
        <v>36</v>
      </c>
      <c r="N21" s="1381"/>
      <c r="O21" s="1381"/>
      <c r="P21" s="1381"/>
      <c r="Q21" s="1381"/>
      <c r="R21" s="1381"/>
      <c r="S21" s="1381"/>
      <c r="T21" s="1129"/>
      <c r="U21" s="261" t="s">
        <v>125</v>
      </c>
      <c r="V21" s="1314"/>
      <c r="W21" s="1315"/>
      <c r="X21" s="1315"/>
      <c r="Y21" s="1315"/>
      <c r="Z21" s="1322"/>
      <c r="AA21" s="268" t="s">
        <v>537</v>
      </c>
      <c r="AB21" s="268"/>
      <c r="AC21" s="268"/>
      <c r="AD21" s="268"/>
      <c r="AE21" s="268"/>
      <c r="AF21" s="268"/>
      <c r="AG21" s="268"/>
      <c r="AH21" s="166"/>
      <c r="AI21" s="268"/>
      <c r="AJ21" s="268"/>
      <c r="AK21" s="268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7"/>
      <c r="AW21" s="252"/>
      <c r="AX21" s="254"/>
      <c r="AY21" s="1019" t="s">
        <v>384</v>
      </c>
      <c r="AZ21" s="1020"/>
      <c r="BA21" s="1023"/>
      <c r="BB21" s="1328"/>
      <c r="BC21" s="1329"/>
      <c r="BD21" s="1329"/>
      <c r="BE21" s="1329"/>
      <c r="BF21" s="1334"/>
      <c r="BG21" s="1398" t="s">
        <v>538</v>
      </c>
      <c r="BH21" s="1399"/>
      <c r="BI21" s="1399"/>
      <c r="BJ21" s="1399"/>
      <c r="BK21" s="1399"/>
      <c r="BL21" s="1399"/>
      <c r="BM21" s="1399"/>
      <c r="BN21" s="1399"/>
      <c r="BO21" s="1399"/>
      <c r="BP21" s="1400"/>
    </row>
    <row r="22" spans="1:68" ht="10.5" customHeight="1" x14ac:dyDescent="0.15">
      <c r="A22" s="2">
        <v>17</v>
      </c>
      <c r="B22" s="1401" t="s">
        <v>103</v>
      </c>
      <c r="C22" s="1402"/>
      <c r="D22" s="1402"/>
      <c r="E22" s="1402"/>
      <c r="F22" s="1402"/>
      <c r="G22" s="1402"/>
      <c r="H22" s="1402"/>
      <c r="I22" s="1402"/>
      <c r="J22" s="1402"/>
      <c r="K22" s="1402"/>
      <c r="L22" s="1396"/>
      <c r="M22" s="1403" t="s">
        <v>47</v>
      </c>
      <c r="N22" s="1020"/>
      <c r="O22" s="1020"/>
      <c r="P22" s="1020"/>
      <c r="Q22" s="1020"/>
      <c r="R22" s="1020"/>
      <c r="S22" s="1020"/>
      <c r="T22" s="1023"/>
      <c r="U22" s="253" t="s">
        <v>75</v>
      </c>
      <c r="V22" s="1328"/>
      <c r="W22" s="1329"/>
      <c r="X22" s="1329"/>
      <c r="Y22" s="1329"/>
      <c r="Z22" s="1330"/>
      <c r="AA22" s="906" t="s">
        <v>189</v>
      </c>
      <c r="AB22" s="906"/>
      <c r="AC22" s="906"/>
      <c r="AD22" s="906"/>
      <c r="AE22" s="906"/>
      <c r="AF22" s="907"/>
      <c r="AG22" s="911" t="s">
        <v>71</v>
      </c>
      <c r="AH22" s="911"/>
      <c r="AI22" s="911"/>
      <c r="AJ22" s="911"/>
      <c r="AK22" s="911"/>
      <c r="AL22" s="1404" t="s">
        <v>193</v>
      </c>
      <c r="AM22" s="1404"/>
      <c r="AN22" s="1404"/>
      <c r="AO22" s="1404"/>
      <c r="AP22" s="1404"/>
      <c r="AQ22" s="1404"/>
      <c r="AR22" s="1404" t="s">
        <v>192</v>
      </c>
      <c r="AS22" s="1404"/>
      <c r="AT22" s="1404"/>
      <c r="AU22" s="1404"/>
      <c r="AV22" s="1405"/>
      <c r="AW22" s="252"/>
      <c r="AX22" s="254"/>
      <c r="AY22" s="1019" t="s">
        <v>388</v>
      </c>
      <c r="AZ22" s="1020"/>
      <c r="BA22" s="1023"/>
      <c r="BB22" s="1328"/>
      <c r="BC22" s="1329"/>
      <c r="BD22" s="1329"/>
      <c r="BE22" s="1329"/>
      <c r="BF22" s="1334"/>
      <c r="BG22" s="1406" t="s">
        <v>152</v>
      </c>
      <c r="BH22" s="729"/>
      <c r="BI22" s="1407" t="s">
        <v>153</v>
      </c>
      <c r="BJ22" s="1408"/>
      <c r="BK22" s="269" t="s">
        <v>154</v>
      </c>
      <c r="BL22" s="1409"/>
      <c r="BM22" s="1410"/>
      <c r="BN22" s="1410"/>
      <c r="BO22" s="1410"/>
      <c r="BP22" s="1411"/>
    </row>
    <row r="23" spans="1:68" ht="10.5" customHeight="1" thickBot="1" x14ac:dyDescent="0.2">
      <c r="A23" s="2">
        <v>18</v>
      </c>
      <c r="B23" s="1312" t="s">
        <v>107</v>
      </c>
      <c r="C23" s="1313"/>
      <c r="D23" s="1313"/>
      <c r="E23" s="1313"/>
      <c r="F23" s="1313"/>
      <c r="G23" s="1412"/>
      <c r="H23" s="1413"/>
      <c r="I23" s="1413"/>
      <c r="J23" s="1413"/>
      <c r="K23" s="1413"/>
      <c r="L23" s="1396"/>
      <c r="M23" s="1414" t="s">
        <v>163</v>
      </c>
      <c r="N23" s="1415"/>
      <c r="O23" s="1415"/>
      <c r="P23" s="1415"/>
      <c r="Q23" s="1019" t="s">
        <v>36</v>
      </c>
      <c r="R23" s="1020"/>
      <c r="S23" s="1020"/>
      <c r="T23" s="1023"/>
      <c r="U23" s="253" t="s">
        <v>125</v>
      </c>
      <c r="V23" s="1328"/>
      <c r="W23" s="1329"/>
      <c r="X23" s="1329"/>
      <c r="Y23" s="1329"/>
      <c r="Z23" s="1330"/>
      <c r="AA23" s="1420" t="s">
        <v>195</v>
      </c>
      <c r="AB23" s="1420"/>
      <c r="AC23" s="1420"/>
      <c r="AD23" s="1420"/>
      <c r="AE23" s="1420"/>
      <c r="AF23" s="1421"/>
      <c r="AG23" s="1422"/>
      <c r="AH23" s="1422"/>
      <c r="AI23" s="1422"/>
      <c r="AJ23" s="1422"/>
      <c r="AK23" s="1422"/>
      <c r="AL23" s="1429"/>
      <c r="AM23" s="1429"/>
      <c r="AN23" s="1429"/>
      <c r="AO23" s="1429"/>
      <c r="AP23" s="1429"/>
      <c r="AQ23" s="1429"/>
      <c r="AR23" s="1430"/>
      <c r="AS23" s="1431"/>
      <c r="AT23" s="1431"/>
      <c r="AU23" s="1431"/>
      <c r="AV23" s="1432"/>
      <c r="AW23" s="252"/>
      <c r="AX23" s="254"/>
      <c r="AY23" s="1136" t="s">
        <v>397</v>
      </c>
      <c r="AZ23" s="1089"/>
      <c r="BA23" s="1090"/>
      <c r="BB23" s="1328"/>
      <c r="BC23" s="1329"/>
      <c r="BD23" s="1329"/>
      <c r="BE23" s="1329"/>
      <c r="BF23" s="1334"/>
      <c r="BG23" s="738" t="s">
        <v>164</v>
      </c>
      <c r="BH23" s="739"/>
      <c r="BI23" s="718" t="s">
        <v>165</v>
      </c>
      <c r="BJ23" s="719"/>
      <c r="BK23" s="107" t="s">
        <v>154</v>
      </c>
      <c r="BL23" s="1314"/>
      <c r="BM23" s="1315"/>
      <c r="BN23" s="1315"/>
      <c r="BO23" s="1315"/>
      <c r="BP23" s="1341"/>
    </row>
    <row r="24" spans="1:68" ht="10.5" customHeight="1" x14ac:dyDescent="0.15">
      <c r="A24" s="2">
        <v>19</v>
      </c>
      <c r="B24" s="1345" t="s">
        <v>111</v>
      </c>
      <c r="C24" s="1020"/>
      <c r="D24" s="1020"/>
      <c r="E24" s="1020"/>
      <c r="F24" s="1023"/>
      <c r="G24" s="1412"/>
      <c r="H24" s="1413"/>
      <c r="I24" s="1413"/>
      <c r="J24" s="1413"/>
      <c r="K24" s="1413"/>
      <c r="L24" s="1396"/>
      <c r="M24" s="1416"/>
      <c r="N24" s="1417"/>
      <c r="O24" s="1417"/>
      <c r="P24" s="1417"/>
      <c r="Q24" s="1019" t="s">
        <v>167</v>
      </c>
      <c r="R24" s="1020"/>
      <c r="S24" s="1020"/>
      <c r="T24" s="1023"/>
      <c r="U24" s="253" t="s">
        <v>80</v>
      </c>
      <c r="V24" s="1328"/>
      <c r="W24" s="1329"/>
      <c r="X24" s="1329"/>
      <c r="Y24" s="1329"/>
      <c r="Z24" s="1330"/>
      <c r="AA24" s="270"/>
      <c r="AB24" s="1423" t="s">
        <v>199</v>
      </c>
      <c r="AC24" s="1424"/>
      <c r="AD24" s="1424"/>
      <c r="AE24" s="1424"/>
      <c r="AF24" s="1425"/>
      <c r="AG24" s="1426"/>
      <c r="AH24" s="1427"/>
      <c r="AI24" s="1427"/>
      <c r="AJ24" s="1427"/>
      <c r="AK24" s="1428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2"/>
      <c r="AW24" s="252"/>
      <c r="AX24" s="254"/>
      <c r="AY24" s="1106" t="s">
        <v>399</v>
      </c>
      <c r="AZ24" s="1020"/>
      <c r="BA24" s="1023"/>
      <c r="BB24" s="1328"/>
      <c r="BC24" s="1329"/>
      <c r="BD24" s="1329"/>
      <c r="BE24" s="1329"/>
      <c r="BF24" s="1334"/>
      <c r="BG24" s="699"/>
      <c r="BH24" s="700"/>
      <c r="BI24" s="714" t="s">
        <v>170</v>
      </c>
      <c r="BJ24" s="715"/>
      <c r="BK24" s="104" t="s">
        <v>171</v>
      </c>
      <c r="BL24" s="1331"/>
      <c r="BM24" s="1332"/>
      <c r="BN24" s="1332"/>
      <c r="BO24" s="1332"/>
      <c r="BP24" s="1355"/>
    </row>
    <row r="25" spans="1:68" ht="10.5" customHeight="1" x14ac:dyDescent="0.15">
      <c r="A25" s="2">
        <v>20</v>
      </c>
      <c r="B25" s="273"/>
      <c r="C25" s="1434" t="s">
        <v>115</v>
      </c>
      <c r="D25" s="1313"/>
      <c r="E25" s="1313"/>
      <c r="F25" s="1342"/>
      <c r="G25" s="1412"/>
      <c r="H25" s="1413"/>
      <c r="I25" s="1413"/>
      <c r="J25" s="1413"/>
      <c r="K25" s="1413"/>
      <c r="L25" s="1396"/>
      <c r="M25" s="1416"/>
      <c r="N25" s="1417"/>
      <c r="O25" s="1417"/>
      <c r="P25" s="1417"/>
      <c r="Q25" s="1019" t="s">
        <v>118</v>
      </c>
      <c r="R25" s="1020"/>
      <c r="S25" s="1020"/>
      <c r="T25" s="1023"/>
      <c r="U25" s="253" t="s">
        <v>80</v>
      </c>
      <c r="V25" s="1328"/>
      <c r="W25" s="1329"/>
      <c r="X25" s="1329"/>
      <c r="Y25" s="1329"/>
      <c r="Z25" s="1330"/>
      <c r="AA25" s="270"/>
      <c r="AB25" s="1423" t="s">
        <v>202</v>
      </c>
      <c r="AC25" s="1424"/>
      <c r="AD25" s="1424"/>
      <c r="AE25" s="1424"/>
      <c r="AF25" s="1425"/>
      <c r="AG25" s="1323"/>
      <c r="AH25" s="1324"/>
      <c r="AI25" s="1324"/>
      <c r="AJ25" s="1324"/>
      <c r="AK25" s="1433"/>
      <c r="AV25" s="164"/>
      <c r="AW25" s="252"/>
      <c r="AX25" s="254"/>
      <c r="AY25" s="274"/>
      <c r="AZ25" s="795" t="s">
        <v>539</v>
      </c>
      <c r="BA25" s="797"/>
      <c r="BB25" s="1328"/>
      <c r="BC25" s="1329"/>
      <c r="BD25" s="1329"/>
      <c r="BE25" s="1329"/>
      <c r="BF25" s="1334"/>
      <c r="BG25" s="738" t="s">
        <v>172</v>
      </c>
      <c r="BH25" s="739"/>
      <c r="BI25" s="718" t="s">
        <v>165</v>
      </c>
      <c r="BJ25" s="719"/>
      <c r="BK25" s="107" t="s">
        <v>154</v>
      </c>
      <c r="BL25" s="1314"/>
      <c r="BM25" s="1315"/>
      <c r="BN25" s="1315"/>
      <c r="BO25" s="1315"/>
      <c r="BP25" s="1341"/>
    </row>
    <row r="26" spans="1:68" ht="10.5" customHeight="1" x14ac:dyDescent="0.15">
      <c r="A26" s="2">
        <v>21</v>
      </c>
      <c r="B26" s="1345" t="s">
        <v>118</v>
      </c>
      <c r="C26" s="1020"/>
      <c r="D26" s="1020"/>
      <c r="E26" s="1020"/>
      <c r="F26" s="1023"/>
      <c r="G26" s="1412"/>
      <c r="H26" s="1413"/>
      <c r="I26" s="1413"/>
      <c r="J26" s="1413"/>
      <c r="K26" s="1413"/>
      <c r="L26" s="1396"/>
      <c r="M26" s="1418"/>
      <c r="N26" s="1419"/>
      <c r="O26" s="1419"/>
      <c r="P26" s="1419"/>
      <c r="Q26" s="1019" t="s">
        <v>107</v>
      </c>
      <c r="R26" s="1020"/>
      <c r="S26" s="1020"/>
      <c r="T26" s="1023"/>
      <c r="U26" s="253" t="s">
        <v>80</v>
      </c>
      <c r="V26" s="1328"/>
      <c r="W26" s="1329"/>
      <c r="X26" s="1329"/>
      <c r="Y26" s="1329"/>
      <c r="Z26" s="1330"/>
      <c r="AA26" s="270"/>
      <c r="AB26" s="1423" t="s">
        <v>204</v>
      </c>
      <c r="AC26" s="1424"/>
      <c r="AD26" s="1424"/>
      <c r="AE26" s="1424"/>
      <c r="AF26" s="1425"/>
      <c r="AG26" s="1323"/>
      <c r="AH26" s="1324"/>
      <c r="AI26" s="1324"/>
      <c r="AJ26" s="1324"/>
      <c r="AK26" s="1433"/>
      <c r="AV26" s="164"/>
      <c r="AW26" s="252"/>
      <c r="AX26" s="254"/>
      <c r="AY26" s="1106" t="s">
        <v>133</v>
      </c>
      <c r="AZ26" s="1343"/>
      <c r="BA26" s="1344"/>
      <c r="BB26" s="1328"/>
      <c r="BC26" s="1329"/>
      <c r="BD26" s="1329"/>
      <c r="BE26" s="1329"/>
      <c r="BF26" s="1334"/>
      <c r="BG26" s="699"/>
      <c r="BH26" s="700"/>
      <c r="BI26" s="714" t="s">
        <v>175</v>
      </c>
      <c r="BJ26" s="715"/>
      <c r="BK26" s="104" t="s">
        <v>171</v>
      </c>
      <c r="BL26" s="1331"/>
      <c r="BM26" s="1332"/>
      <c r="BN26" s="1332"/>
      <c r="BO26" s="1332"/>
      <c r="BP26" s="1355"/>
    </row>
    <row r="27" spans="1:68" ht="10.5" customHeight="1" x14ac:dyDescent="0.15">
      <c r="A27" s="2">
        <v>22</v>
      </c>
      <c r="B27" s="273"/>
      <c r="C27" s="1434" t="s">
        <v>121</v>
      </c>
      <c r="D27" s="1313"/>
      <c r="E27" s="1313"/>
      <c r="F27" s="1342"/>
      <c r="G27" s="1412"/>
      <c r="H27" s="1413"/>
      <c r="I27" s="1413"/>
      <c r="J27" s="1413"/>
      <c r="K27" s="1413"/>
      <c r="L27" s="1396"/>
      <c r="M27" s="1414" t="s">
        <v>540</v>
      </c>
      <c r="N27" s="1415"/>
      <c r="O27" s="1415"/>
      <c r="P27" s="1415"/>
      <c r="Q27" s="1019" t="s">
        <v>167</v>
      </c>
      <c r="R27" s="1020"/>
      <c r="S27" s="1020"/>
      <c r="T27" s="1023"/>
      <c r="U27" s="253" t="s">
        <v>80</v>
      </c>
      <c r="V27" s="1328"/>
      <c r="W27" s="1329"/>
      <c r="X27" s="1329"/>
      <c r="Y27" s="1329"/>
      <c r="Z27" s="1330"/>
      <c r="AA27" s="270"/>
      <c r="AB27" s="1445" t="s">
        <v>208</v>
      </c>
      <c r="AC27" s="1446"/>
      <c r="AD27" s="1446"/>
      <c r="AE27" s="1446"/>
      <c r="AF27" s="1447"/>
      <c r="AG27" s="1448"/>
      <c r="AH27" s="1449"/>
      <c r="AI27" s="1449"/>
      <c r="AJ27" s="1449"/>
      <c r="AK27" s="1450"/>
      <c r="AV27" s="164"/>
      <c r="AW27" s="252"/>
      <c r="AX27" s="1451" t="s">
        <v>541</v>
      </c>
      <c r="AY27" s="1452"/>
      <c r="AZ27" s="1452"/>
      <c r="BA27" s="1453"/>
      <c r="BB27" s="1328"/>
      <c r="BC27" s="1329"/>
      <c r="BD27" s="1329"/>
      <c r="BE27" s="1329"/>
      <c r="BF27" s="1334"/>
      <c r="BG27" s="1406" t="s">
        <v>178</v>
      </c>
      <c r="BH27" s="729"/>
      <c r="BI27" s="718" t="s">
        <v>179</v>
      </c>
      <c r="BJ27" s="719"/>
      <c r="BK27" s="107" t="s">
        <v>154</v>
      </c>
      <c r="BL27" s="1314"/>
      <c r="BM27" s="1315"/>
      <c r="BN27" s="1315"/>
      <c r="BO27" s="1315"/>
      <c r="BP27" s="1341"/>
    </row>
    <row r="28" spans="1:68" ht="10.5" customHeight="1" thickBot="1" x14ac:dyDescent="0.2">
      <c r="A28" s="2">
        <v>23</v>
      </c>
      <c r="B28" s="1401" t="s">
        <v>124</v>
      </c>
      <c r="C28" s="1402"/>
      <c r="D28" s="1402"/>
      <c r="E28" s="1402"/>
      <c r="F28" s="1402"/>
      <c r="G28" s="1402"/>
      <c r="H28" s="1402"/>
      <c r="I28" s="1402"/>
      <c r="J28" s="1402"/>
      <c r="K28" s="1402"/>
      <c r="L28" s="1396"/>
      <c r="M28" s="1416"/>
      <c r="N28" s="1417"/>
      <c r="O28" s="1417"/>
      <c r="P28" s="1417"/>
      <c r="Q28" s="1019" t="s">
        <v>118</v>
      </c>
      <c r="R28" s="1020"/>
      <c r="S28" s="1020"/>
      <c r="T28" s="1023"/>
      <c r="U28" s="253" t="s">
        <v>80</v>
      </c>
      <c r="V28" s="1328"/>
      <c r="W28" s="1329"/>
      <c r="X28" s="1329"/>
      <c r="Y28" s="1329"/>
      <c r="Z28" s="1330"/>
      <c r="AA28" s="1436" t="s">
        <v>211</v>
      </c>
      <c r="AB28" s="1436"/>
      <c r="AC28" s="1436"/>
      <c r="AD28" s="1436"/>
      <c r="AE28" s="1436"/>
      <c r="AF28" s="1437"/>
      <c r="AG28" s="1438"/>
      <c r="AH28" s="1439"/>
      <c r="AI28" s="1439"/>
      <c r="AJ28" s="1439"/>
      <c r="AK28" s="1440"/>
      <c r="AW28" s="275"/>
      <c r="AX28" s="1441" t="s">
        <v>403</v>
      </c>
      <c r="AY28" s="1442"/>
      <c r="AZ28" s="1442"/>
      <c r="BA28" s="1443"/>
      <c r="BB28" s="1376"/>
      <c r="BC28" s="1377"/>
      <c r="BD28" s="1377"/>
      <c r="BE28" s="1377"/>
      <c r="BF28" s="1444"/>
      <c r="BG28" s="1435"/>
      <c r="BH28" s="731"/>
      <c r="BI28" s="720" t="s">
        <v>183</v>
      </c>
      <c r="BJ28" s="721"/>
      <c r="BK28" s="108" t="s">
        <v>171</v>
      </c>
      <c r="BL28" s="1376"/>
      <c r="BM28" s="1377"/>
      <c r="BN28" s="1377"/>
      <c r="BO28" s="1377"/>
      <c r="BP28" s="1444"/>
    </row>
    <row r="29" spans="1:68" ht="10.5" customHeight="1" thickBot="1" x14ac:dyDescent="0.2">
      <c r="A29" s="2">
        <v>24</v>
      </c>
      <c r="B29" s="1312" t="s">
        <v>129</v>
      </c>
      <c r="C29" s="1313"/>
      <c r="D29" s="1313"/>
      <c r="E29" s="1313"/>
      <c r="F29" s="1313"/>
      <c r="G29" s="1412"/>
      <c r="H29" s="1413"/>
      <c r="I29" s="1413"/>
      <c r="J29" s="1413"/>
      <c r="K29" s="1413"/>
      <c r="L29" s="1396"/>
      <c r="M29" s="1418"/>
      <c r="N29" s="1419"/>
      <c r="O29" s="1419"/>
      <c r="P29" s="1419"/>
      <c r="Q29" s="1019" t="s">
        <v>107</v>
      </c>
      <c r="R29" s="1020"/>
      <c r="S29" s="1020"/>
      <c r="T29" s="1023"/>
      <c r="U29" s="253" t="s">
        <v>80</v>
      </c>
      <c r="V29" s="1328"/>
      <c r="W29" s="1329"/>
      <c r="X29" s="1329"/>
      <c r="Y29" s="1329"/>
      <c r="Z29" s="1330"/>
      <c r="AA29" s="1456" t="s">
        <v>214</v>
      </c>
      <c r="AB29" s="1456"/>
      <c r="AC29" s="1456"/>
      <c r="AD29" s="1456"/>
      <c r="AE29" s="1456"/>
      <c r="AF29" s="1457"/>
      <c r="AG29" s="1458"/>
      <c r="AH29" s="1459"/>
      <c r="AI29" s="1459"/>
      <c r="AJ29" s="1459"/>
      <c r="AK29" s="1460"/>
      <c r="BG29" s="546" t="s">
        <v>542</v>
      </c>
      <c r="BH29" s="547"/>
      <c r="BI29" s="547"/>
      <c r="BJ29" s="547"/>
      <c r="BK29" s="547"/>
      <c r="BL29" s="547"/>
      <c r="BM29" s="547"/>
      <c r="BN29" s="547"/>
      <c r="BO29" s="547"/>
      <c r="BP29" s="548"/>
    </row>
    <row r="30" spans="1:68" ht="10.5" customHeight="1" thickBot="1" x14ac:dyDescent="0.2">
      <c r="A30" s="2">
        <v>25</v>
      </c>
      <c r="B30" s="1455" t="s">
        <v>72</v>
      </c>
      <c r="C30" s="1020"/>
      <c r="D30" s="1020"/>
      <c r="E30" s="1020"/>
      <c r="F30" s="1023"/>
      <c r="G30" s="1412"/>
      <c r="H30" s="1413"/>
      <c r="I30" s="1413"/>
      <c r="J30" s="1413"/>
      <c r="K30" s="1413"/>
      <c r="L30" s="1396"/>
      <c r="M30" s="1403" t="s">
        <v>48</v>
      </c>
      <c r="N30" s="1020"/>
      <c r="O30" s="1020"/>
      <c r="P30" s="1020"/>
      <c r="Q30" s="1020"/>
      <c r="R30" s="1020"/>
      <c r="S30" s="1020"/>
      <c r="T30" s="1023"/>
      <c r="U30" s="253" t="s">
        <v>80</v>
      </c>
      <c r="V30" s="1328"/>
      <c r="W30" s="1329"/>
      <c r="X30" s="1329"/>
      <c r="Y30" s="1329"/>
      <c r="Z30" s="1330"/>
      <c r="BF30" s="164"/>
      <c r="BG30" s="717" t="s">
        <v>180</v>
      </c>
      <c r="BH30" s="553"/>
      <c r="BI30" s="553"/>
      <c r="BJ30" s="553"/>
      <c r="BK30" s="554"/>
      <c r="BL30" s="552" t="s">
        <v>181</v>
      </c>
      <c r="BM30" s="553"/>
      <c r="BN30" s="553"/>
      <c r="BO30" s="553"/>
      <c r="BP30" s="737"/>
    </row>
    <row r="31" spans="1:68" ht="10.5" customHeight="1" thickBot="1" x14ac:dyDescent="0.2">
      <c r="A31" s="2">
        <v>26</v>
      </c>
      <c r="B31" s="1312" t="s">
        <v>137</v>
      </c>
      <c r="C31" s="1313"/>
      <c r="D31" s="1313"/>
      <c r="E31" s="1313"/>
      <c r="F31" s="1342"/>
      <c r="G31" s="1412"/>
      <c r="H31" s="1413"/>
      <c r="I31" s="1413"/>
      <c r="J31" s="1413"/>
      <c r="K31" s="1413"/>
      <c r="L31" s="1396"/>
      <c r="M31" s="1403" t="s">
        <v>49</v>
      </c>
      <c r="N31" s="1020"/>
      <c r="O31" s="1020"/>
      <c r="P31" s="1020"/>
      <c r="Q31" s="1020"/>
      <c r="R31" s="1020"/>
      <c r="S31" s="1020"/>
      <c r="T31" s="1023"/>
      <c r="U31" s="253" t="s">
        <v>135</v>
      </c>
      <c r="V31" s="1328"/>
      <c r="W31" s="1329"/>
      <c r="X31" s="1329"/>
      <c r="Y31" s="1329"/>
      <c r="Z31" s="1330"/>
      <c r="AA31" s="276" t="s">
        <v>543</v>
      </c>
      <c r="AB31" s="271"/>
      <c r="AC31" s="271"/>
      <c r="AD31" s="276"/>
      <c r="AE31" s="276"/>
      <c r="AF31" s="276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8"/>
      <c r="BF31" s="164"/>
      <c r="BG31" s="1454" t="s">
        <v>12</v>
      </c>
      <c r="BH31" s="495"/>
      <c r="BI31" s="495"/>
      <c r="BJ31" s="976"/>
      <c r="BK31" s="279" t="s">
        <v>184</v>
      </c>
      <c r="BL31" s="1314"/>
      <c r="BM31" s="1315"/>
      <c r="BN31" s="1315"/>
      <c r="BO31" s="1315"/>
      <c r="BP31" s="1341"/>
    </row>
    <row r="32" spans="1:68" ht="10.5" customHeight="1" x14ac:dyDescent="0.15">
      <c r="A32" s="2">
        <v>27</v>
      </c>
      <c r="B32" s="1465" t="s">
        <v>141</v>
      </c>
      <c r="C32" s="1466"/>
      <c r="D32" s="1466"/>
      <c r="E32" s="1466"/>
      <c r="F32" s="1466"/>
      <c r="G32" s="1466"/>
      <c r="H32" s="1466"/>
      <c r="I32" s="1466"/>
      <c r="J32" s="1466"/>
      <c r="K32" s="1466"/>
      <c r="L32" s="1396"/>
      <c r="M32" s="1414" t="s">
        <v>194</v>
      </c>
      <c r="N32" s="1343"/>
      <c r="O32" s="1343"/>
      <c r="P32" s="1343"/>
      <c r="Q32" s="1019" t="s">
        <v>167</v>
      </c>
      <c r="R32" s="1020"/>
      <c r="S32" s="1020"/>
      <c r="T32" s="1023"/>
      <c r="U32" s="253" t="s">
        <v>125</v>
      </c>
      <c r="V32" s="1328"/>
      <c r="W32" s="1329"/>
      <c r="X32" s="1329"/>
      <c r="Y32" s="1329"/>
      <c r="Z32" s="1330"/>
      <c r="AA32" s="489" t="s">
        <v>68</v>
      </c>
      <c r="AB32" s="489"/>
      <c r="AC32" s="489"/>
      <c r="AD32" s="489"/>
      <c r="AE32" s="489"/>
      <c r="AF32" s="490"/>
      <c r="AG32" s="1470" t="s">
        <v>71</v>
      </c>
      <c r="AH32" s="1108"/>
      <c r="AI32" s="1108"/>
      <c r="AJ32" s="1108"/>
      <c r="AK32" s="1108"/>
      <c r="AL32" s="1"/>
      <c r="AM32" s="1"/>
      <c r="AN32" s="1"/>
      <c r="AO32" s="1"/>
      <c r="AP32" s="1"/>
      <c r="AQ32" s="14"/>
      <c r="BF32" s="164"/>
      <c r="BG32" s="1461" t="s">
        <v>13</v>
      </c>
      <c r="BH32" s="894"/>
      <c r="BI32" s="894"/>
      <c r="BJ32" s="895"/>
      <c r="BK32" s="280" t="s">
        <v>187</v>
      </c>
      <c r="BL32" s="1328"/>
      <c r="BM32" s="1329"/>
      <c r="BN32" s="1329"/>
      <c r="BO32" s="1329"/>
      <c r="BP32" s="1334"/>
    </row>
    <row r="33" spans="1:68" ht="10.5" customHeight="1" x14ac:dyDescent="0.15">
      <c r="A33" s="2">
        <v>28</v>
      </c>
      <c r="B33" s="1462" t="s">
        <v>147</v>
      </c>
      <c r="C33" s="1381"/>
      <c r="D33" s="1381"/>
      <c r="E33" s="1381"/>
      <c r="F33" s="1381"/>
      <c r="G33" s="1314"/>
      <c r="H33" s="1315"/>
      <c r="I33" s="1315"/>
      <c r="J33" s="1315"/>
      <c r="K33" s="1322"/>
      <c r="L33" s="1396"/>
      <c r="M33" s="1467"/>
      <c r="N33" s="1313"/>
      <c r="O33" s="1313"/>
      <c r="P33" s="1313"/>
      <c r="Q33" s="1019" t="s">
        <v>118</v>
      </c>
      <c r="R33" s="1020"/>
      <c r="S33" s="1020"/>
      <c r="T33" s="1023"/>
      <c r="U33" s="253" t="s">
        <v>80</v>
      </c>
      <c r="V33" s="1328"/>
      <c r="W33" s="1329"/>
      <c r="X33" s="1329"/>
      <c r="Y33" s="1329"/>
      <c r="Z33" s="1330"/>
      <c r="AA33" s="553"/>
      <c r="AB33" s="553"/>
      <c r="AC33" s="553"/>
      <c r="AD33" s="553"/>
      <c r="AE33" s="553"/>
      <c r="AF33" s="554"/>
      <c r="AG33" s="889"/>
      <c r="AH33" s="890"/>
      <c r="AI33" s="890"/>
      <c r="AJ33" s="890"/>
      <c r="AK33" s="890"/>
      <c r="AL33" s="1463" t="s">
        <v>76</v>
      </c>
      <c r="AM33" s="906"/>
      <c r="AN33" s="906"/>
      <c r="AO33" s="906"/>
      <c r="AP33" s="906"/>
      <c r="AQ33" s="1464"/>
      <c r="BG33" s="1461" t="s">
        <v>190</v>
      </c>
      <c r="BH33" s="894"/>
      <c r="BI33" s="894"/>
      <c r="BJ33" s="895"/>
      <c r="BK33" s="280" t="s">
        <v>187</v>
      </c>
      <c r="BL33" s="1328"/>
      <c r="BM33" s="1329"/>
      <c r="BN33" s="1329"/>
      <c r="BO33" s="1329"/>
      <c r="BP33" s="1334"/>
    </row>
    <row r="34" spans="1:68" ht="10.5" customHeight="1" thickBot="1" x14ac:dyDescent="0.2">
      <c r="A34" s="2">
        <v>29</v>
      </c>
      <c r="B34" s="1471" t="s">
        <v>150</v>
      </c>
      <c r="C34" s="1442"/>
      <c r="D34" s="1442"/>
      <c r="E34" s="1442"/>
      <c r="F34" s="1442"/>
      <c r="G34" s="1376"/>
      <c r="H34" s="1377"/>
      <c r="I34" s="1377"/>
      <c r="J34" s="1377"/>
      <c r="K34" s="1378"/>
      <c r="L34" s="1397"/>
      <c r="M34" s="1468"/>
      <c r="N34" s="1469"/>
      <c r="O34" s="1469"/>
      <c r="P34" s="1469"/>
      <c r="Q34" s="1091" t="s">
        <v>107</v>
      </c>
      <c r="R34" s="1092"/>
      <c r="S34" s="1092"/>
      <c r="T34" s="1093"/>
      <c r="U34" s="281" t="s">
        <v>80</v>
      </c>
      <c r="V34" s="1376"/>
      <c r="W34" s="1377"/>
      <c r="X34" s="1377"/>
      <c r="Y34" s="1377"/>
      <c r="Z34" s="1378"/>
      <c r="AA34" s="816" t="s">
        <v>223</v>
      </c>
      <c r="AB34" s="816"/>
      <c r="AC34" s="816"/>
      <c r="AD34" s="816"/>
      <c r="AE34" s="816"/>
      <c r="AF34" s="817"/>
      <c r="AG34" s="1314"/>
      <c r="AH34" s="1315"/>
      <c r="AI34" s="1315"/>
      <c r="AJ34" s="1315"/>
      <c r="AK34" s="1472"/>
      <c r="AL34" s="1314"/>
      <c r="AM34" s="1315"/>
      <c r="AN34" s="1315"/>
      <c r="AO34" s="1315"/>
      <c r="AP34" s="1315"/>
      <c r="AQ34" s="1341"/>
      <c r="BG34" s="1473" t="s">
        <v>14</v>
      </c>
      <c r="BH34" s="948"/>
      <c r="BI34" s="948"/>
      <c r="BJ34" s="949"/>
      <c r="BK34" s="282" t="s">
        <v>187</v>
      </c>
      <c r="BL34" s="1331"/>
      <c r="BM34" s="1332"/>
      <c r="BN34" s="1332"/>
      <c r="BO34" s="1332"/>
      <c r="BP34" s="1355"/>
    </row>
    <row r="35" spans="1:68" ht="10.5" customHeight="1" x14ac:dyDescent="0.15">
      <c r="A35" s="2">
        <v>30</v>
      </c>
      <c r="B35" s="1465" t="s">
        <v>155</v>
      </c>
      <c r="C35" s="1466"/>
      <c r="D35" s="1466"/>
      <c r="E35" s="1466"/>
      <c r="F35" s="1466"/>
      <c r="G35" s="1466"/>
      <c r="H35" s="1466"/>
      <c r="I35" s="1466"/>
      <c r="J35" s="1466"/>
      <c r="K35" s="1466"/>
      <c r="L35" s="1387" t="s">
        <v>203</v>
      </c>
      <c r="M35" s="1388"/>
      <c r="N35" s="1388"/>
      <c r="O35" s="1388"/>
      <c r="P35" s="1388"/>
      <c r="Q35" s="1388"/>
      <c r="R35" s="1388"/>
      <c r="S35" s="1388"/>
      <c r="T35" s="1388"/>
      <c r="U35" s="1388"/>
      <c r="V35" s="1301"/>
      <c r="W35" s="1301"/>
      <c r="X35" s="1301"/>
      <c r="Y35" s="1301"/>
      <c r="Z35" s="1303"/>
      <c r="AA35" s="262"/>
      <c r="AB35" s="1019" t="s">
        <v>142</v>
      </c>
      <c r="AC35" s="1020"/>
      <c r="AD35" s="1020"/>
      <c r="AE35" s="1020"/>
      <c r="AF35" s="1023"/>
      <c r="AG35" s="1328"/>
      <c r="AH35" s="1329"/>
      <c r="AI35" s="1329"/>
      <c r="AJ35" s="1329"/>
      <c r="AK35" s="1474"/>
      <c r="AL35" s="1328"/>
      <c r="AM35" s="1329"/>
      <c r="AN35" s="1329"/>
      <c r="AO35" s="1329"/>
      <c r="AP35" s="1329"/>
      <c r="AQ35" s="1334"/>
      <c r="BG35" s="1475" t="s">
        <v>15</v>
      </c>
      <c r="BH35" s="884"/>
      <c r="BI35" s="884"/>
      <c r="BJ35" s="885"/>
      <c r="BK35" s="283" t="s">
        <v>196</v>
      </c>
      <c r="BL35" s="1314"/>
      <c r="BM35" s="1315"/>
      <c r="BN35" s="1315"/>
      <c r="BO35" s="1315"/>
      <c r="BP35" s="1341"/>
    </row>
    <row r="36" spans="1:68" ht="10.5" customHeight="1" x14ac:dyDescent="0.15">
      <c r="A36" s="2">
        <v>31</v>
      </c>
      <c r="B36" s="1462" t="s">
        <v>162</v>
      </c>
      <c r="C36" s="1381"/>
      <c r="D36" s="1381"/>
      <c r="E36" s="1381"/>
      <c r="F36" s="1381"/>
      <c r="G36" s="1314"/>
      <c r="H36" s="1315"/>
      <c r="I36" s="1315"/>
      <c r="J36" s="1315"/>
      <c r="K36" s="1322"/>
      <c r="L36" s="1476" t="s">
        <v>148</v>
      </c>
      <c r="M36" s="1479" t="s">
        <v>50</v>
      </c>
      <c r="N36" s="1480"/>
      <c r="O36" s="1480"/>
      <c r="P36" s="1480"/>
      <c r="Q36" s="1480"/>
      <c r="R36" s="1480"/>
      <c r="S36" s="1480"/>
      <c r="T36" s="1481"/>
      <c r="U36" s="284" t="s">
        <v>75</v>
      </c>
      <c r="V36" s="1314"/>
      <c r="W36" s="1315"/>
      <c r="X36" s="1315"/>
      <c r="Y36" s="1315"/>
      <c r="Z36" s="1322"/>
      <c r="AA36" s="262"/>
      <c r="AB36" s="1019" t="s">
        <v>139</v>
      </c>
      <c r="AC36" s="1020"/>
      <c r="AD36" s="1020"/>
      <c r="AE36" s="1020"/>
      <c r="AF36" s="1023"/>
      <c r="AG36" s="1328"/>
      <c r="AH36" s="1329"/>
      <c r="AI36" s="1329"/>
      <c r="AJ36" s="1329"/>
      <c r="AK36" s="1474"/>
      <c r="AL36" s="1328"/>
      <c r="AM36" s="1329"/>
      <c r="AN36" s="1329"/>
      <c r="AO36" s="1329"/>
      <c r="AP36" s="1329"/>
      <c r="AQ36" s="1334"/>
      <c r="BG36" s="1461" t="s">
        <v>27</v>
      </c>
      <c r="BH36" s="894"/>
      <c r="BI36" s="894"/>
      <c r="BJ36" s="895"/>
      <c r="BK36" s="280" t="s">
        <v>187</v>
      </c>
      <c r="BL36" s="1328"/>
      <c r="BM36" s="1329"/>
      <c r="BN36" s="1329"/>
      <c r="BO36" s="1329"/>
      <c r="BP36" s="1334"/>
    </row>
    <row r="37" spans="1:68" ht="10.5" customHeight="1" thickBot="1" x14ac:dyDescent="0.2">
      <c r="A37" s="2">
        <v>32</v>
      </c>
      <c r="B37" s="1482" t="s">
        <v>166</v>
      </c>
      <c r="C37" s="1092"/>
      <c r="D37" s="1092"/>
      <c r="E37" s="1092"/>
      <c r="F37" s="1092"/>
      <c r="G37" s="1376"/>
      <c r="H37" s="1377"/>
      <c r="I37" s="1377"/>
      <c r="J37" s="1377"/>
      <c r="K37" s="1378"/>
      <c r="L37" s="1477"/>
      <c r="M37" s="1373" t="s">
        <v>51</v>
      </c>
      <c r="N37" s="1374"/>
      <c r="O37" s="1374"/>
      <c r="P37" s="1374"/>
      <c r="Q37" s="1374"/>
      <c r="R37" s="1374"/>
      <c r="S37" s="1374"/>
      <c r="T37" s="1483"/>
      <c r="U37" s="285" t="s">
        <v>125</v>
      </c>
      <c r="V37" s="1328"/>
      <c r="W37" s="1329"/>
      <c r="X37" s="1329"/>
      <c r="Y37" s="1329"/>
      <c r="Z37" s="1330"/>
      <c r="AA37" s="286"/>
      <c r="AB37" s="1019" t="s">
        <v>136</v>
      </c>
      <c r="AC37" s="1020"/>
      <c r="AD37" s="1020"/>
      <c r="AE37" s="1020"/>
      <c r="AF37" s="1023"/>
      <c r="AG37" s="1328"/>
      <c r="AH37" s="1329"/>
      <c r="AI37" s="1329"/>
      <c r="AJ37" s="1329"/>
      <c r="AK37" s="1474"/>
      <c r="AL37" s="1328"/>
      <c r="AM37" s="1329"/>
      <c r="AN37" s="1329"/>
      <c r="AO37" s="1329"/>
      <c r="AP37" s="1329"/>
      <c r="AQ37" s="1334"/>
      <c r="BG37" s="1484" t="s">
        <v>16</v>
      </c>
      <c r="BH37" s="894"/>
      <c r="BI37" s="894"/>
      <c r="BJ37" s="895"/>
      <c r="BK37" s="280" t="s">
        <v>187</v>
      </c>
      <c r="BL37" s="1328"/>
      <c r="BM37" s="1329"/>
      <c r="BN37" s="1329"/>
      <c r="BO37" s="1329"/>
      <c r="BP37" s="1334"/>
    </row>
    <row r="38" spans="1:68" ht="10.5" customHeight="1" x14ac:dyDescent="0.15">
      <c r="A38" s="2">
        <v>33</v>
      </c>
      <c r="B38" s="1465" t="s">
        <v>544</v>
      </c>
      <c r="C38" s="1466"/>
      <c r="D38" s="1466"/>
      <c r="E38" s="1466"/>
      <c r="F38" s="1466"/>
      <c r="G38" s="1466"/>
      <c r="H38" s="1466"/>
      <c r="I38" s="1466"/>
      <c r="J38" s="1466"/>
      <c r="K38" s="1466"/>
      <c r="L38" s="1477"/>
      <c r="M38" s="1373" t="s">
        <v>52</v>
      </c>
      <c r="N38" s="1374"/>
      <c r="O38" s="1374"/>
      <c r="P38" s="1374"/>
      <c r="Q38" s="1374"/>
      <c r="R38" s="1374"/>
      <c r="S38" s="1374"/>
      <c r="T38" s="1483"/>
      <c r="U38" s="285" t="s">
        <v>125</v>
      </c>
      <c r="V38" s="1328"/>
      <c r="W38" s="1329"/>
      <c r="X38" s="1329"/>
      <c r="Y38" s="1329"/>
      <c r="Z38" s="1330"/>
      <c r="AA38" s="287"/>
      <c r="AB38" s="846" t="s">
        <v>146</v>
      </c>
      <c r="AC38" s="847"/>
      <c r="AD38" s="847"/>
      <c r="AE38" s="847"/>
      <c r="AF38" s="848"/>
      <c r="AG38" s="1331"/>
      <c r="AH38" s="1332"/>
      <c r="AI38" s="1332"/>
      <c r="AJ38" s="1332"/>
      <c r="AK38" s="1489"/>
      <c r="AL38" s="1331"/>
      <c r="AM38" s="1332"/>
      <c r="AN38" s="1332"/>
      <c r="AO38" s="1332"/>
      <c r="AP38" s="1332"/>
      <c r="AQ38" s="1355"/>
      <c r="BG38" s="288"/>
      <c r="BH38" s="893" t="s">
        <v>205</v>
      </c>
      <c r="BI38" s="894"/>
      <c r="BJ38" s="895"/>
      <c r="BK38" s="280" t="s">
        <v>187</v>
      </c>
      <c r="BL38" s="1328"/>
      <c r="BM38" s="1329"/>
      <c r="BN38" s="1329"/>
      <c r="BO38" s="1329"/>
      <c r="BP38" s="1334"/>
    </row>
    <row r="39" spans="1:68" ht="10.5" customHeight="1" thickBot="1" x14ac:dyDescent="0.2">
      <c r="A39" s="2">
        <v>34</v>
      </c>
      <c r="B39" s="1094" t="s">
        <v>545</v>
      </c>
      <c r="C39" s="1095"/>
      <c r="D39" s="1095"/>
      <c r="E39" s="1095"/>
      <c r="F39" s="1095"/>
      <c r="G39" s="1370"/>
      <c r="H39" s="1371"/>
      <c r="I39" s="1371"/>
      <c r="J39" s="1371"/>
      <c r="K39" s="1485"/>
      <c r="L39" s="1478"/>
      <c r="M39" s="1486" t="s">
        <v>53</v>
      </c>
      <c r="N39" s="1487"/>
      <c r="O39" s="1487"/>
      <c r="P39" s="1487"/>
      <c r="Q39" s="1487"/>
      <c r="R39" s="1487"/>
      <c r="S39" s="1487"/>
      <c r="T39" s="1488"/>
      <c r="U39" s="289" t="s">
        <v>215</v>
      </c>
      <c r="V39" s="1331"/>
      <c r="W39" s="1332"/>
      <c r="X39" s="1332"/>
      <c r="Y39" s="1332"/>
      <c r="Z39" s="1333"/>
      <c r="AA39" s="816" t="s">
        <v>224</v>
      </c>
      <c r="AB39" s="816"/>
      <c r="AC39" s="816"/>
      <c r="AD39" s="816"/>
      <c r="AE39" s="816"/>
      <c r="AF39" s="817"/>
      <c r="AG39" s="1314"/>
      <c r="AH39" s="1315"/>
      <c r="AI39" s="1315"/>
      <c r="AJ39" s="1315"/>
      <c r="AK39" s="1472"/>
      <c r="AL39" s="1314"/>
      <c r="AM39" s="1315"/>
      <c r="AN39" s="1315"/>
      <c r="AO39" s="1315"/>
      <c r="AP39" s="1315"/>
      <c r="AQ39" s="1341"/>
      <c r="BF39" s="164"/>
      <c r="BG39" s="1461" t="s">
        <v>17</v>
      </c>
      <c r="BH39" s="894"/>
      <c r="BI39" s="894"/>
      <c r="BJ39" s="895"/>
      <c r="BK39" s="280" t="s">
        <v>187</v>
      </c>
      <c r="BL39" s="1328"/>
      <c r="BM39" s="1329"/>
      <c r="BN39" s="1329"/>
      <c r="BO39" s="1329"/>
      <c r="BP39" s="1334"/>
    </row>
    <row r="40" spans="1:68" ht="10.5" customHeight="1" thickBot="1" x14ac:dyDescent="0.2">
      <c r="A40" s="2">
        <v>35</v>
      </c>
      <c r="B40" s="168"/>
      <c r="L40" s="1492" t="s">
        <v>218</v>
      </c>
      <c r="M40" s="1495" t="s">
        <v>36</v>
      </c>
      <c r="N40" s="1480"/>
      <c r="O40" s="1480"/>
      <c r="P40" s="1480"/>
      <c r="Q40" s="1480"/>
      <c r="R40" s="1480"/>
      <c r="S40" s="1480"/>
      <c r="T40" s="1481"/>
      <c r="U40" s="284" t="s">
        <v>125</v>
      </c>
      <c r="V40" s="1314"/>
      <c r="W40" s="1315"/>
      <c r="X40" s="1315"/>
      <c r="Y40" s="1315"/>
      <c r="Z40" s="1322"/>
      <c r="AA40" s="286"/>
      <c r="AB40" s="1019" t="s">
        <v>109</v>
      </c>
      <c r="AC40" s="1020"/>
      <c r="AD40" s="1020"/>
      <c r="AE40" s="1020"/>
      <c r="AF40" s="1023"/>
      <c r="AG40" s="1328"/>
      <c r="AH40" s="1329"/>
      <c r="AI40" s="1329"/>
      <c r="AJ40" s="1329"/>
      <c r="AK40" s="1474"/>
      <c r="AL40" s="1328"/>
      <c r="AM40" s="1329"/>
      <c r="AN40" s="1329"/>
      <c r="AO40" s="1329"/>
      <c r="AP40" s="1329"/>
      <c r="AQ40" s="1334"/>
      <c r="BG40" s="1461" t="s">
        <v>18</v>
      </c>
      <c r="BH40" s="894"/>
      <c r="BI40" s="894"/>
      <c r="BJ40" s="895"/>
      <c r="BK40" s="280" t="s">
        <v>187</v>
      </c>
      <c r="BL40" s="1328"/>
      <c r="BM40" s="1329"/>
      <c r="BN40" s="1329"/>
      <c r="BO40" s="1329"/>
      <c r="BP40" s="1334"/>
    </row>
    <row r="41" spans="1:68" ht="10.5" customHeight="1" thickBot="1" x14ac:dyDescent="0.2">
      <c r="A41" s="2">
        <v>36</v>
      </c>
      <c r="B41" s="1504" t="s">
        <v>578</v>
      </c>
      <c r="C41" s="1505"/>
      <c r="D41" s="1505"/>
      <c r="E41" s="1505"/>
      <c r="F41" s="1505"/>
      <c r="G41" s="1506"/>
      <c r="H41" s="1506"/>
      <c r="I41" s="1506"/>
      <c r="J41" s="1506"/>
      <c r="K41" s="1507"/>
      <c r="L41" s="875"/>
      <c r="M41" s="1490" t="s">
        <v>54</v>
      </c>
      <c r="N41" s="1336"/>
      <c r="O41" s="1336"/>
      <c r="P41" s="1336"/>
      <c r="Q41" s="1336"/>
      <c r="R41" s="1336"/>
      <c r="S41" s="1336"/>
      <c r="T41" s="1337"/>
      <c r="U41" s="285" t="s">
        <v>75</v>
      </c>
      <c r="V41" s="1328"/>
      <c r="W41" s="1329"/>
      <c r="X41" s="1329"/>
      <c r="Y41" s="1329"/>
      <c r="Z41" s="1330"/>
      <c r="AA41" s="290"/>
      <c r="AB41" s="1091" t="s">
        <v>97</v>
      </c>
      <c r="AC41" s="1092"/>
      <c r="AD41" s="1092"/>
      <c r="AE41" s="1092"/>
      <c r="AF41" s="1093"/>
      <c r="AG41" s="1376"/>
      <c r="AH41" s="1377"/>
      <c r="AI41" s="1377"/>
      <c r="AJ41" s="1377"/>
      <c r="AK41" s="1491"/>
      <c r="AL41" s="1376"/>
      <c r="AM41" s="1377"/>
      <c r="AN41" s="1377"/>
      <c r="AO41" s="1377"/>
      <c r="AP41" s="1377"/>
      <c r="AQ41" s="1444"/>
      <c r="BG41" s="1461" t="s">
        <v>19</v>
      </c>
      <c r="BH41" s="894"/>
      <c r="BI41" s="894"/>
      <c r="BJ41" s="895"/>
      <c r="BK41" s="280" t="s">
        <v>187</v>
      </c>
      <c r="BL41" s="1328"/>
      <c r="BM41" s="1329"/>
      <c r="BN41" s="1329"/>
      <c r="BO41" s="1329"/>
      <c r="BP41" s="1334"/>
    </row>
    <row r="42" spans="1:68" ht="10.5" customHeight="1" x14ac:dyDescent="0.15">
      <c r="A42" s="2">
        <v>37</v>
      </c>
      <c r="B42" s="168"/>
      <c r="L42" s="1493"/>
      <c r="M42" s="1496" t="s">
        <v>55</v>
      </c>
      <c r="N42" s="1374"/>
      <c r="O42" s="1374"/>
      <c r="P42" s="1374"/>
      <c r="Q42" s="1374"/>
      <c r="R42" s="1374"/>
      <c r="S42" s="1374"/>
      <c r="T42" s="1483"/>
      <c r="U42" s="285" t="s">
        <v>125</v>
      </c>
      <c r="V42" s="1328"/>
      <c r="W42" s="1329"/>
      <c r="X42" s="1329"/>
      <c r="Y42" s="1329"/>
      <c r="Z42" s="1330"/>
      <c r="BG42" s="1461" t="s">
        <v>20</v>
      </c>
      <c r="BH42" s="894"/>
      <c r="BI42" s="894"/>
      <c r="BJ42" s="895"/>
      <c r="BK42" s="280" t="s">
        <v>187</v>
      </c>
      <c r="BL42" s="1328"/>
      <c r="BM42" s="1329"/>
      <c r="BN42" s="1329"/>
      <c r="BO42" s="1329"/>
      <c r="BP42" s="1334"/>
    </row>
    <row r="43" spans="1:68" ht="10.5" customHeight="1" thickBot="1" x14ac:dyDescent="0.2">
      <c r="A43" s="2">
        <v>38</v>
      </c>
      <c r="B43" s="168"/>
      <c r="L43" s="1494"/>
      <c r="M43" s="1501" t="s">
        <v>56</v>
      </c>
      <c r="N43" s="1502"/>
      <c r="O43" s="1502"/>
      <c r="P43" s="1502"/>
      <c r="Q43" s="1502"/>
      <c r="R43" s="1502"/>
      <c r="S43" s="1502"/>
      <c r="T43" s="1503"/>
      <c r="U43" s="291" t="s">
        <v>80</v>
      </c>
      <c r="V43" s="1376"/>
      <c r="W43" s="1377"/>
      <c r="X43" s="1377"/>
      <c r="Y43" s="1377"/>
      <c r="Z43" s="1378"/>
      <c r="BG43" s="1461" t="s">
        <v>21</v>
      </c>
      <c r="BH43" s="894"/>
      <c r="BI43" s="894"/>
      <c r="BJ43" s="895"/>
      <c r="BK43" s="280" t="s">
        <v>187</v>
      </c>
      <c r="BL43" s="1328"/>
      <c r="BM43" s="1329"/>
      <c r="BN43" s="1329"/>
      <c r="BO43" s="1329"/>
      <c r="BP43" s="1334"/>
    </row>
    <row r="44" spans="1:68" ht="10.5" customHeight="1" x14ac:dyDescent="0.15">
      <c r="A44" s="2">
        <v>39</v>
      </c>
      <c r="B44" s="168"/>
      <c r="L44" s="1387" t="s">
        <v>222</v>
      </c>
      <c r="M44" s="1388"/>
      <c r="N44" s="1388"/>
      <c r="O44" s="1388"/>
      <c r="P44" s="1388"/>
      <c r="Q44" s="1388"/>
      <c r="R44" s="1388"/>
      <c r="S44" s="1388"/>
      <c r="T44" s="1388"/>
      <c r="U44" s="1388"/>
      <c r="V44" s="1301"/>
      <c r="W44" s="1301"/>
      <c r="X44" s="1301"/>
      <c r="Y44" s="1301"/>
      <c r="Z44" s="1303"/>
      <c r="BG44" s="1461" t="s">
        <v>22</v>
      </c>
      <c r="BH44" s="894"/>
      <c r="BI44" s="894"/>
      <c r="BJ44" s="895"/>
      <c r="BK44" s="280" t="s">
        <v>187</v>
      </c>
      <c r="BL44" s="1328"/>
      <c r="BM44" s="1329"/>
      <c r="BN44" s="1329"/>
      <c r="BO44" s="1329"/>
      <c r="BP44" s="1334"/>
    </row>
    <row r="45" spans="1:68" ht="10.5" customHeight="1" x14ac:dyDescent="0.15">
      <c r="A45" s="2">
        <v>40</v>
      </c>
      <c r="B45" s="168"/>
      <c r="L45" s="1497" t="s">
        <v>57</v>
      </c>
      <c r="M45" s="1381"/>
      <c r="N45" s="1381"/>
      <c r="O45" s="1381"/>
      <c r="P45" s="1381"/>
      <c r="Q45" s="1381"/>
      <c r="R45" s="1381"/>
      <c r="S45" s="1381"/>
      <c r="T45" s="1129"/>
      <c r="U45" s="251" t="s">
        <v>75</v>
      </c>
      <c r="V45" s="1314"/>
      <c r="W45" s="1315"/>
      <c r="X45" s="1315"/>
      <c r="Y45" s="1315"/>
      <c r="Z45" s="1322"/>
      <c r="BG45" s="1498" t="s">
        <v>23</v>
      </c>
      <c r="BH45" s="1499"/>
      <c r="BI45" s="1499"/>
      <c r="BJ45" s="1500"/>
      <c r="BK45" s="280" t="s">
        <v>187</v>
      </c>
      <c r="BL45" s="1328"/>
      <c r="BM45" s="1329"/>
      <c r="BN45" s="1329"/>
      <c r="BO45" s="1329"/>
      <c r="BP45" s="1334"/>
    </row>
    <row r="46" spans="1:68" ht="10.5" customHeight="1" x14ac:dyDescent="0.15">
      <c r="A46" s="2">
        <v>41</v>
      </c>
      <c r="B46" s="168"/>
      <c r="L46" s="1512" t="s">
        <v>58</v>
      </c>
      <c r="M46" s="1020"/>
      <c r="N46" s="1020"/>
      <c r="O46" s="1020"/>
      <c r="P46" s="1020"/>
      <c r="Q46" s="1020"/>
      <c r="R46" s="1020"/>
      <c r="S46" s="1020"/>
      <c r="T46" s="1023"/>
      <c r="U46" s="253" t="s">
        <v>125</v>
      </c>
      <c r="V46" s="1328"/>
      <c r="W46" s="1329"/>
      <c r="X46" s="1329"/>
      <c r="Y46" s="1329"/>
      <c r="Z46" s="1330"/>
      <c r="BF46" s="164"/>
      <c r="BG46" s="1461" t="s">
        <v>24</v>
      </c>
      <c r="BH46" s="894"/>
      <c r="BI46" s="894"/>
      <c r="BJ46" s="895"/>
      <c r="BK46" s="280" t="s">
        <v>187</v>
      </c>
      <c r="BL46" s="1328"/>
      <c r="BM46" s="1329"/>
      <c r="BN46" s="1329"/>
      <c r="BO46" s="1329"/>
      <c r="BP46" s="1334"/>
    </row>
    <row r="47" spans="1:68" ht="10.5" customHeight="1" thickBot="1" x14ac:dyDescent="0.2">
      <c r="A47" s="2">
        <v>42</v>
      </c>
      <c r="B47" s="168"/>
      <c r="L47" s="1513" t="s">
        <v>59</v>
      </c>
      <c r="M47" s="1514"/>
      <c r="N47" s="1514"/>
      <c r="O47" s="1514"/>
      <c r="P47" s="1514"/>
      <c r="Q47" s="1514"/>
      <c r="R47" s="1514"/>
      <c r="S47" s="1514"/>
      <c r="T47" s="1515"/>
      <c r="U47" s="292" t="s">
        <v>75</v>
      </c>
      <c r="V47" s="1516"/>
      <c r="W47" s="1517"/>
      <c r="X47" s="1517"/>
      <c r="Y47" s="1517"/>
      <c r="Z47" s="1518"/>
      <c r="BG47" s="1461" t="s">
        <v>25</v>
      </c>
      <c r="BH47" s="894"/>
      <c r="BI47" s="894"/>
      <c r="BJ47" s="895"/>
      <c r="BK47" s="280" t="s">
        <v>187</v>
      </c>
      <c r="BL47" s="1328"/>
      <c r="BM47" s="1329"/>
      <c r="BN47" s="1329"/>
      <c r="BO47" s="1329"/>
      <c r="BP47" s="1334"/>
    </row>
    <row r="48" spans="1:68" ht="10.5" customHeight="1" thickBot="1" x14ac:dyDescent="0.2">
      <c r="A48" s="2">
        <v>43</v>
      </c>
      <c r="B48" s="168"/>
      <c r="L48" s="256"/>
      <c r="M48" s="256"/>
      <c r="N48" s="256"/>
      <c r="O48" s="256"/>
      <c r="P48" s="256"/>
      <c r="Q48" s="256"/>
      <c r="R48" s="256"/>
      <c r="S48" s="256"/>
      <c r="T48" s="256"/>
      <c r="U48" s="293"/>
      <c r="V48" s="1"/>
      <c r="W48" s="1"/>
      <c r="X48" s="1"/>
      <c r="Y48" s="1"/>
      <c r="Z48" s="1"/>
      <c r="BG48" s="1509" t="s">
        <v>26</v>
      </c>
      <c r="BH48" s="1510"/>
      <c r="BI48" s="1510"/>
      <c r="BJ48" s="1511"/>
      <c r="BK48" s="294" t="s">
        <v>187</v>
      </c>
      <c r="BL48" s="1376"/>
      <c r="BM48" s="1377"/>
      <c r="BN48" s="1377"/>
      <c r="BO48" s="1377"/>
      <c r="BP48" s="1444"/>
    </row>
    <row r="49" spans="1:68" ht="10.5" customHeight="1" x14ac:dyDescent="0.15">
      <c r="A49" s="2">
        <v>44</v>
      </c>
      <c r="B49" s="168"/>
      <c r="L49" s="256"/>
      <c r="M49" s="256"/>
      <c r="N49" s="256"/>
      <c r="O49" s="256"/>
      <c r="P49" s="256"/>
      <c r="Q49" s="256"/>
      <c r="R49" s="256"/>
      <c r="S49" s="256"/>
      <c r="T49" s="256"/>
      <c r="U49" s="293"/>
      <c r="V49" s="1"/>
      <c r="W49" s="1"/>
      <c r="X49" s="1"/>
      <c r="Y49" s="1"/>
      <c r="Z49" s="1"/>
      <c r="BL49" s="295"/>
      <c r="BM49" s="295"/>
      <c r="BN49" s="295"/>
      <c r="BO49" s="295"/>
      <c r="BP49" s="296"/>
    </row>
    <row r="50" spans="1:68" ht="10.5" customHeight="1" x14ac:dyDescent="0.15">
      <c r="A50" s="2">
        <v>45</v>
      </c>
      <c r="B50" s="168"/>
      <c r="L50" s="256"/>
      <c r="M50" s="256"/>
      <c r="N50" s="256"/>
      <c r="O50" s="256"/>
      <c r="P50" s="256"/>
      <c r="Q50" s="256"/>
      <c r="R50" s="256"/>
      <c r="S50" s="256"/>
      <c r="T50" s="256"/>
      <c r="U50" s="293"/>
      <c r="V50" s="1"/>
      <c r="W50" s="1"/>
      <c r="X50" s="1"/>
      <c r="Y50" s="1"/>
      <c r="Z50" s="1"/>
      <c r="BL50" s="295"/>
      <c r="BM50" s="295"/>
      <c r="BN50" s="295"/>
      <c r="BO50" s="295"/>
      <c r="BP50" s="296"/>
    </row>
    <row r="51" spans="1:68" ht="10.5" customHeight="1" x14ac:dyDescent="0.15">
      <c r="A51" s="2">
        <v>46</v>
      </c>
      <c r="B51" s="168"/>
      <c r="L51" s="256"/>
      <c r="M51" s="256"/>
      <c r="N51" s="256"/>
      <c r="O51" s="256"/>
      <c r="P51" s="256"/>
      <c r="Q51" s="256"/>
      <c r="R51" s="256"/>
      <c r="S51" s="256"/>
      <c r="T51" s="256"/>
      <c r="U51" s="293"/>
      <c r="V51" s="1"/>
      <c r="W51" s="1"/>
      <c r="X51" s="1"/>
      <c r="Y51" s="1"/>
      <c r="Z51" s="1"/>
      <c r="BL51" s="295"/>
      <c r="BM51" s="295"/>
      <c r="BN51" s="295"/>
      <c r="BO51" s="295"/>
      <c r="BP51" s="296"/>
    </row>
    <row r="52" spans="1:68" ht="10.5" customHeight="1" x14ac:dyDescent="0.15">
      <c r="A52" s="2">
        <v>47</v>
      </c>
      <c r="B52" s="168"/>
      <c r="L52" s="256"/>
      <c r="M52" s="256"/>
      <c r="N52" s="256"/>
      <c r="O52" s="256"/>
      <c r="P52" s="256"/>
      <c r="Q52" s="256"/>
      <c r="R52" s="256"/>
      <c r="S52" s="256"/>
      <c r="T52" s="256"/>
      <c r="U52" s="293"/>
      <c r="V52" s="1"/>
      <c r="W52" s="1"/>
      <c r="X52" s="1"/>
      <c r="Y52" s="1"/>
      <c r="Z52" s="1"/>
      <c r="BL52" s="295"/>
      <c r="BM52" s="295"/>
      <c r="BN52" s="295"/>
      <c r="BO52" s="295"/>
      <c r="BP52" s="296"/>
    </row>
    <row r="53" spans="1:68" ht="10.5" customHeight="1" x14ac:dyDescent="0.15">
      <c r="A53" s="2">
        <v>48</v>
      </c>
      <c r="B53" s="168"/>
      <c r="L53" s="256"/>
      <c r="M53" s="256"/>
      <c r="N53" s="256"/>
      <c r="O53" s="256"/>
      <c r="P53" s="256"/>
      <c r="Q53" s="256"/>
      <c r="R53" s="256"/>
      <c r="S53" s="256"/>
      <c r="T53" s="256"/>
      <c r="U53" s="293"/>
      <c r="V53" s="1"/>
      <c r="W53" s="1"/>
      <c r="X53" s="1"/>
      <c r="Y53" s="1"/>
      <c r="Z53" s="1"/>
      <c r="BL53" s="295"/>
      <c r="BM53" s="295"/>
      <c r="BN53" s="295"/>
      <c r="BO53" s="295"/>
      <c r="BP53" s="296"/>
    </row>
    <row r="54" spans="1:68" ht="10.5" customHeight="1" x14ac:dyDescent="0.15">
      <c r="A54" s="2">
        <v>49</v>
      </c>
      <c r="B54" s="168"/>
      <c r="L54" s="256"/>
      <c r="M54" s="256"/>
      <c r="N54" s="256"/>
      <c r="O54" s="256"/>
      <c r="P54" s="256"/>
      <c r="Q54" s="256"/>
      <c r="R54" s="256"/>
      <c r="S54" s="256"/>
      <c r="T54" s="256"/>
      <c r="U54" s="293"/>
      <c r="V54" s="1"/>
      <c r="W54" s="1"/>
      <c r="X54" s="1"/>
      <c r="Y54" s="1"/>
      <c r="Z54" s="1"/>
      <c r="BL54" s="295"/>
      <c r="BM54" s="295"/>
      <c r="BN54" s="295"/>
      <c r="BO54" s="295"/>
      <c r="BP54" s="296"/>
    </row>
    <row r="55" spans="1:68" ht="10.5" customHeight="1" thickBot="1" x14ac:dyDescent="0.2">
      <c r="A55" s="2">
        <v>50</v>
      </c>
      <c r="B55" s="170"/>
      <c r="C55" s="171"/>
      <c r="D55" s="171"/>
      <c r="E55" s="171"/>
      <c r="F55" s="171"/>
      <c r="G55" s="16"/>
      <c r="H55" s="16"/>
      <c r="I55" s="16"/>
      <c r="J55" s="16"/>
      <c r="K55" s="16"/>
      <c r="L55" s="266"/>
      <c r="M55" s="266"/>
      <c r="N55" s="266"/>
      <c r="O55" s="266"/>
      <c r="P55" s="266"/>
      <c r="Q55" s="266"/>
      <c r="R55" s="266"/>
      <c r="S55" s="266"/>
      <c r="T55" s="266"/>
      <c r="U55" s="297"/>
      <c r="V55" s="17"/>
      <c r="W55" s="17"/>
      <c r="X55" s="17"/>
      <c r="Y55" s="17"/>
      <c r="Z55" s="17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BG55" s="16"/>
      <c r="BH55" s="16"/>
      <c r="BI55" s="16"/>
      <c r="BJ55" s="16"/>
      <c r="BK55" s="16"/>
      <c r="BL55" s="298"/>
      <c r="BM55" s="298"/>
      <c r="BN55" s="298"/>
      <c r="BO55" s="298"/>
      <c r="BP55" s="299"/>
    </row>
    <row r="56" spans="1:68" ht="10.5" customHeight="1" x14ac:dyDescent="0.15">
      <c r="A56" s="2"/>
      <c r="B56" s="1508">
        <v>1</v>
      </c>
      <c r="C56" s="1508"/>
      <c r="D56" s="1508"/>
      <c r="E56" s="1508"/>
      <c r="F56" s="1508"/>
      <c r="G56" s="1508">
        <v>2</v>
      </c>
      <c r="H56" s="1508"/>
      <c r="I56" s="1508"/>
      <c r="J56" s="1508"/>
      <c r="K56" s="1508"/>
      <c r="L56" s="1508">
        <v>3</v>
      </c>
      <c r="M56" s="1508"/>
      <c r="N56" s="1508"/>
      <c r="O56" s="1508"/>
      <c r="P56" s="1508"/>
      <c r="Q56" s="1508">
        <v>4</v>
      </c>
      <c r="R56" s="1508"/>
      <c r="S56" s="1508"/>
      <c r="T56" s="1508"/>
      <c r="U56" s="1508"/>
      <c r="V56" s="1508">
        <v>5</v>
      </c>
      <c r="W56" s="1508"/>
      <c r="X56" s="1508"/>
      <c r="Y56" s="1508"/>
      <c r="Z56" s="1508"/>
      <c r="AA56" s="1508">
        <v>6</v>
      </c>
      <c r="AB56" s="1508"/>
      <c r="AC56" s="1508"/>
      <c r="AD56" s="1508"/>
      <c r="AE56" s="1508"/>
      <c r="AF56" s="1508"/>
      <c r="AG56" s="1508">
        <v>7</v>
      </c>
      <c r="AH56" s="1508"/>
      <c r="AI56" s="1508"/>
      <c r="AJ56" s="1508"/>
      <c r="AK56" s="1508"/>
      <c r="AL56" s="1508">
        <v>8</v>
      </c>
      <c r="AM56" s="1508"/>
      <c r="AN56" s="1508"/>
      <c r="AO56" s="1508"/>
      <c r="AP56" s="1508"/>
      <c r="AQ56" s="1508"/>
      <c r="AR56" s="1508">
        <v>9</v>
      </c>
      <c r="AS56" s="1508"/>
      <c r="AT56" s="1508"/>
      <c r="AU56" s="1508"/>
      <c r="AV56" s="1508"/>
      <c r="AW56" s="1508">
        <v>10</v>
      </c>
      <c r="AX56" s="1508"/>
      <c r="AY56" s="1508"/>
      <c r="AZ56" s="1508"/>
      <c r="BA56" s="1508"/>
      <c r="BB56" s="1508">
        <v>11</v>
      </c>
      <c r="BC56" s="1508"/>
      <c r="BD56" s="1508"/>
      <c r="BE56" s="1508"/>
      <c r="BF56" s="1508"/>
      <c r="BG56" s="1508">
        <v>12</v>
      </c>
      <c r="BH56" s="1508"/>
      <c r="BI56" s="1508"/>
      <c r="BJ56" s="1508"/>
      <c r="BK56" s="1508"/>
      <c r="BL56" s="1508">
        <v>13</v>
      </c>
      <c r="BM56" s="1508"/>
      <c r="BN56" s="1508"/>
      <c r="BO56" s="1508"/>
      <c r="BP56" s="1508"/>
    </row>
    <row r="57" spans="1:68" ht="10.5" customHeight="1" x14ac:dyDescent="0.15">
      <c r="A57" s="2"/>
      <c r="C57" s="163"/>
      <c r="D57" s="163"/>
      <c r="E57" s="163"/>
      <c r="F57" s="163"/>
    </row>
    <row r="58" spans="1:68" ht="10.5" customHeight="1" x14ac:dyDescent="0.15">
      <c r="A58" s="2"/>
    </row>
    <row r="59" spans="1:68" ht="10.5" customHeight="1" x14ac:dyDescent="0.15">
      <c r="C59" s="163"/>
      <c r="D59" s="163"/>
      <c r="E59" s="163"/>
      <c r="F59" s="163"/>
    </row>
    <row r="60" spans="1:68" ht="10.5" customHeight="1" x14ac:dyDescent="0.15">
      <c r="C60" s="163"/>
      <c r="D60" s="163"/>
      <c r="E60" s="163"/>
      <c r="F60" s="163"/>
    </row>
    <row r="61" spans="1:68" ht="12.75" customHeight="1" x14ac:dyDescent="0.15">
      <c r="C61" s="163"/>
      <c r="D61" s="163"/>
      <c r="E61" s="163"/>
      <c r="F61" s="163"/>
    </row>
    <row r="62" spans="1:68" ht="12.75" customHeight="1" x14ac:dyDescent="0.15">
      <c r="C62" s="163"/>
      <c r="D62" s="163"/>
      <c r="E62" s="163"/>
      <c r="F62" s="163"/>
    </row>
    <row r="63" spans="1:68" ht="12.75" customHeight="1" x14ac:dyDescent="0.15">
      <c r="C63" s="163"/>
      <c r="D63" s="163"/>
      <c r="E63" s="163"/>
      <c r="F63" s="163"/>
    </row>
    <row r="64" spans="1:68" ht="12.75" customHeight="1" x14ac:dyDescent="0.15">
      <c r="C64" s="163"/>
      <c r="D64" s="163"/>
      <c r="E64" s="163"/>
      <c r="F64" s="163"/>
    </row>
    <row r="65" spans="3:6" ht="12.75" customHeight="1" x14ac:dyDescent="0.15">
      <c r="C65" s="163"/>
      <c r="D65" s="163"/>
      <c r="E65" s="163"/>
      <c r="F65" s="163"/>
    </row>
    <row r="66" spans="3:6" ht="12.75" customHeight="1" x14ac:dyDescent="0.15">
      <c r="C66" s="163"/>
      <c r="D66" s="163"/>
      <c r="E66" s="163"/>
      <c r="F66" s="163"/>
    </row>
    <row r="67" spans="3:6" ht="12.75" customHeight="1" x14ac:dyDescent="0.15">
      <c r="C67" s="163"/>
      <c r="D67" s="163"/>
      <c r="E67" s="163"/>
      <c r="F67" s="163"/>
    </row>
    <row r="68" spans="3:6" ht="12.75" customHeight="1" x14ac:dyDescent="0.15">
      <c r="C68" s="163"/>
      <c r="D68" s="163"/>
      <c r="E68" s="163"/>
      <c r="F68" s="163"/>
    </row>
    <row r="69" spans="3:6" ht="12.75" customHeight="1" x14ac:dyDescent="0.15">
      <c r="C69" s="163"/>
      <c r="D69" s="163"/>
      <c r="E69" s="163"/>
      <c r="F69" s="163"/>
    </row>
    <row r="70" spans="3:6" ht="12.75" customHeight="1" x14ac:dyDescent="0.15">
      <c r="C70" s="163"/>
      <c r="D70" s="163"/>
      <c r="E70" s="163"/>
      <c r="F70" s="163"/>
    </row>
    <row r="71" spans="3:6" ht="12.75" customHeight="1" x14ac:dyDescent="0.15">
      <c r="C71" s="163"/>
      <c r="D71" s="163"/>
      <c r="E71" s="163"/>
      <c r="F71" s="163"/>
    </row>
    <row r="72" spans="3:6" ht="12.75" customHeight="1" x14ac:dyDescent="0.15">
      <c r="C72" s="163"/>
      <c r="D72" s="163"/>
      <c r="E72" s="163"/>
      <c r="F72" s="163"/>
    </row>
    <row r="73" spans="3:6" ht="12.75" customHeight="1" x14ac:dyDescent="0.15"/>
    <row r="74" spans="3:6" ht="12.75" customHeight="1" x14ac:dyDescent="0.15"/>
    <row r="75" spans="3:6" ht="12.75" customHeight="1" x14ac:dyDescent="0.15"/>
    <row r="76" spans="3:6" ht="12.75" customHeight="1" x14ac:dyDescent="0.15">
      <c r="C76" s="163"/>
      <c r="D76" s="163"/>
      <c r="E76" s="163"/>
      <c r="F76" s="163"/>
    </row>
    <row r="77" spans="3:6" ht="12.75" customHeight="1" x14ac:dyDescent="0.15">
      <c r="C77" s="163"/>
      <c r="D77" s="163"/>
      <c r="E77" s="163"/>
      <c r="F77" s="163"/>
    </row>
    <row r="78" spans="3:6" ht="12.75" customHeight="1" x14ac:dyDescent="0.15">
      <c r="C78" s="163"/>
      <c r="D78" s="163"/>
      <c r="E78" s="163"/>
      <c r="F78" s="163"/>
    </row>
    <row r="79" spans="3:6" ht="12.75" customHeight="1" x14ac:dyDescent="0.15">
      <c r="C79" s="163"/>
      <c r="D79" s="163"/>
      <c r="E79" s="163"/>
      <c r="F79" s="163"/>
    </row>
    <row r="80" spans="3:6" ht="12.75" customHeight="1" x14ac:dyDescent="0.15">
      <c r="C80" s="163"/>
      <c r="D80" s="163"/>
      <c r="E80" s="163"/>
      <c r="F80" s="163"/>
    </row>
    <row r="81" spans="3:6" ht="12.75" customHeight="1" x14ac:dyDescent="0.15">
      <c r="C81" s="163"/>
      <c r="D81" s="163"/>
      <c r="E81" s="163"/>
      <c r="F81" s="163"/>
    </row>
    <row r="82" spans="3:6" ht="12.75" customHeight="1" x14ac:dyDescent="0.15">
      <c r="C82" s="163"/>
      <c r="D82" s="163"/>
      <c r="E82" s="163"/>
      <c r="F82" s="163"/>
    </row>
    <row r="83" spans="3:6" ht="12.75" customHeight="1" x14ac:dyDescent="0.15">
      <c r="C83" s="163"/>
      <c r="D83" s="163"/>
      <c r="E83" s="163"/>
      <c r="F83" s="163"/>
    </row>
    <row r="84" spans="3:6" ht="12.75" customHeight="1" x14ac:dyDescent="0.15">
      <c r="C84" s="163"/>
      <c r="D84" s="163"/>
      <c r="E84" s="163"/>
      <c r="F84" s="163"/>
    </row>
    <row r="85" spans="3:6" x14ac:dyDescent="0.15">
      <c r="C85" s="163"/>
      <c r="D85" s="163"/>
      <c r="E85" s="163"/>
      <c r="F85" s="163"/>
    </row>
    <row r="86" spans="3:6" x14ac:dyDescent="0.15">
      <c r="C86" s="163"/>
      <c r="D86" s="163"/>
      <c r="E86" s="163"/>
      <c r="F86" s="163"/>
    </row>
    <row r="87" spans="3:6" x14ac:dyDescent="0.15">
      <c r="C87" s="163"/>
      <c r="D87" s="163"/>
      <c r="E87" s="163"/>
      <c r="F87" s="163"/>
    </row>
  </sheetData>
  <mergeCells count="402">
    <mergeCell ref="B41:F41"/>
    <mergeCell ref="G41:K41"/>
    <mergeCell ref="AR56:AV56"/>
    <mergeCell ref="AW56:BA56"/>
    <mergeCell ref="BB56:BF56"/>
    <mergeCell ref="BG56:BK56"/>
    <mergeCell ref="BL56:BP56"/>
    <mergeCell ref="BG48:BJ48"/>
    <mergeCell ref="BL48:BP48"/>
    <mergeCell ref="B56:F56"/>
    <mergeCell ref="G56:K56"/>
    <mergeCell ref="L56:P56"/>
    <mergeCell ref="Q56:U56"/>
    <mergeCell ref="V56:Z56"/>
    <mergeCell ref="AA56:AF56"/>
    <mergeCell ref="AG56:AK56"/>
    <mergeCell ref="AL56:AQ56"/>
    <mergeCell ref="L46:T46"/>
    <mergeCell ref="V46:Z46"/>
    <mergeCell ref="BG46:BJ46"/>
    <mergeCell ref="BL46:BP46"/>
    <mergeCell ref="L47:T47"/>
    <mergeCell ref="V47:Z47"/>
    <mergeCell ref="BG47:BJ47"/>
    <mergeCell ref="BL47:BP47"/>
    <mergeCell ref="L44:Z44"/>
    <mergeCell ref="BG44:BJ44"/>
    <mergeCell ref="BL44:BP44"/>
    <mergeCell ref="L45:T45"/>
    <mergeCell ref="V45:Z45"/>
    <mergeCell ref="BG45:BJ45"/>
    <mergeCell ref="BL45:BP45"/>
    <mergeCell ref="BL42:BP42"/>
    <mergeCell ref="M43:T43"/>
    <mergeCell ref="V43:Z43"/>
    <mergeCell ref="BG43:BJ43"/>
    <mergeCell ref="BL43:BP43"/>
    <mergeCell ref="BL40:BP40"/>
    <mergeCell ref="M41:T41"/>
    <mergeCell ref="V41:Z41"/>
    <mergeCell ref="AB41:AF41"/>
    <mergeCell ref="AG41:AK41"/>
    <mergeCell ref="AL41:AQ41"/>
    <mergeCell ref="BG41:BJ41"/>
    <mergeCell ref="BL41:BP41"/>
    <mergeCell ref="L40:L43"/>
    <mergeCell ref="M40:T40"/>
    <mergeCell ref="V40:Z40"/>
    <mergeCell ref="AB40:AF40"/>
    <mergeCell ref="AG40:AK40"/>
    <mergeCell ref="AL40:AQ40"/>
    <mergeCell ref="BG40:BJ40"/>
    <mergeCell ref="M42:T42"/>
    <mergeCell ref="V42:Z42"/>
    <mergeCell ref="BG42:BJ42"/>
    <mergeCell ref="BG37:BJ37"/>
    <mergeCell ref="B39:F39"/>
    <mergeCell ref="G39:K39"/>
    <mergeCell ref="M39:T39"/>
    <mergeCell ref="V39:Z39"/>
    <mergeCell ref="AA39:AF39"/>
    <mergeCell ref="AG39:AK39"/>
    <mergeCell ref="BL37:BP37"/>
    <mergeCell ref="B38:K38"/>
    <mergeCell ref="M38:T38"/>
    <mergeCell ref="V38:Z38"/>
    <mergeCell ref="AB38:AF38"/>
    <mergeCell ref="AG38:AK38"/>
    <mergeCell ref="AL38:AQ38"/>
    <mergeCell ref="BH38:BJ38"/>
    <mergeCell ref="BL38:BP38"/>
    <mergeCell ref="AL39:AQ39"/>
    <mergeCell ref="BG39:BJ39"/>
    <mergeCell ref="BL39:BP39"/>
    <mergeCell ref="B35:K35"/>
    <mergeCell ref="L35:Z35"/>
    <mergeCell ref="AB35:AF35"/>
    <mergeCell ref="AG35:AK35"/>
    <mergeCell ref="AL35:AQ35"/>
    <mergeCell ref="BG35:BJ35"/>
    <mergeCell ref="BL35:BP35"/>
    <mergeCell ref="B36:F36"/>
    <mergeCell ref="G36:K36"/>
    <mergeCell ref="L36:L39"/>
    <mergeCell ref="M36:T36"/>
    <mergeCell ref="V36:Z36"/>
    <mergeCell ref="AB36:AF36"/>
    <mergeCell ref="AG36:AK36"/>
    <mergeCell ref="AL36:AQ36"/>
    <mergeCell ref="BG36:BJ36"/>
    <mergeCell ref="BL36:BP36"/>
    <mergeCell ref="B37:F37"/>
    <mergeCell ref="G37:K37"/>
    <mergeCell ref="M37:T37"/>
    <mergeCell ref="V37:Z37"/>
    <mergeCell ref="AB37:AF37"/>
    <mergeCell ref="AG37:AK37"/>
    <mergeCell ref="AL37:AQ37"/>
    <mergeCell ref="BG32:BJ32"/>
    <mergeCell ref="BL32:BP32"/>
    <mergeCell ref="B33:F33"/>
    <mergeCell ref="G33:K33"/>
    <mergeCell ref="Q33:T33"/>
    <mergeCell ref="V33:Z33"/>
    <mergeCell ref="AL33:AQ33"/>
    <mergeCell ref="BG33:BJ33"/>
    <mergeCell ref="BL33:BP33"/>
    <mergeCell ref="B32:K32"/>
    <mergeCell ref="M32:P34"/>
    <mergeCell ref="Q32:T32"/>
    <mergeCell ref="V32:Z32"/>
    <mergeCell ref="AA32:AF33"/>
    <mergeCell ref="AG32:AK33"/>
    <mergeCell ref="B34:F34"/>
    <mergeCell ref="G34:K34"/>
    <mergeCell ref="Q34:T34"/>
    <mergeCell ref="V34:Z34"/>
    <mergeCell ref="AA34:AF34"/>
    <mergeCell ref="AG34:AK34"/>
    <mergeCell ref="AL34:AQ34"/>
    <mergeCell ref="BG34:BJ34"/>
    <mergeCell ref="BL34:BP34"/>
    <mergeCell ref="BG29:BP29"/>
    <mergeCell ref="B31:F31"/>
    <mergeCell ref="G31:K31"/>
    <mergeCell ref="M31:T31"/>
    <mergeCell ref="V31:Z31"/>
    <mergeCell ref="BG31:BJ31"/>
    <mergeCell ref="BL31:BP31"/>
    <mergeCell ref="B30:F30"/>
    <mergeCell ref="G30:K30"/>
    <mergeCell ref="M30:T30"/>
    <mergeCell ref="V30:Z30"/>
    <mergeCell ref="BG30:BK30"/>
    <mergeCell ref="BL30:BP30"/>
    <mergeCell ref="V29:Z29"/>
    <mergeCell ref="AA29:AF29"/>
    <mergeCell ref="AG29:AK29"/>
    <mergeCell ref="BG27:BH28"/>
    <mergeCell ref="BI27:BJ27"/>
    <mergeCell ref="BL27:BP27"/>
    <mergeCell ref="B28:K28"/>
    <mergeCell ref="Q28:T28"/>
    <mergeCell ref="V28:Z28"/>
    <mergeCell ref="AA28:AF28"/>
    <mergeCell ref="AG28:AK28"/>
    <mergeCell ref="AX28:BA28"/>
    <mergeCell ref="BB28:BF28"/>
    <mergeCell ref="BI28:BJ28"/>
    <mergeCell ref="BL28:BP28"/>
    <mergeCell ref="C27:F27"/>
    <mergeCell ref="G27:K27"/>
    <mergeCell ref="M27:P29"/>
    <mergeCell ref="Q27:T27"/>
    <mergeCell ref="V27:Z27"/>
    <mergeCell ref="AB27:AF27"/>
    <mergeCell ref="AG27:AK27"/>
    <mergeCell ref="AX27:BA27"/>
    <mergeCell ref="BB27:BF27"/>
    <mergeCell ref="B29:F29"/>
    <mergeCell ref="G29:K29"/>
    <mergeCell ref="Q29:T29"/>
    <mergeCell ref="BI25:BJ25"/>
    <mergeCell ref="BL25:BP25"/>
    <mergeCell ref="B26:F26"/>
    <mergeCell ref="G26:K26"/>
    <mergeCell ref="Q26:T26"/>
    <mergeCell ref="V26:Z26"/>
    <mergeCell ref="AB26:AF26"/>
    <mergeCell ref="AG26:AK26"/>
    <mergeCell ref="AY26:BA26"/>
    <mergeCell ref="BB26:BF26"/>
    <mergeCell ref="BI26:BJ26"/>
    <mergeCell ref="BL26:BP26"/>
    <mergeCell ref="C25:F25"/>
    <mergeCell ref="G25:K25"/>
    <mergeCell ref="Q25:T25"/>
    <mergeCell ref="V25:Z25"/>
    <mergeCell ref="AB25:AF25"/>
    <mergeCell ref="AG25:AK25"/>
    <mergeCell ref="AZ25:BA25"/>
    <mergeCell ref="BB25:BF25"/>
    <mergeCell ref="BG25:BH26"/>
    <mergeCell ref="V23:Z23"/>
    <mergeCell ref="AA23:AF23"/>
    <mergeCell ref="AG23:AK23"/>
    <mergeCell ref="BL23:BP23"/>
    <mergeCell ref="B24:F24"/>
    <mergeCell ref="G24:K24"/>
    <mergeCell ref="Q24:T24"/>
    <mergeCell ref="V24:Z24"/>
    <mergeCell ref="AB24:AF24"/>
    <mergeCell ref="AG24:AK24"/>
    <mergeCell ref="AY24:BA24"/>
    <mergeCell ref="BB24:BF24"/>
    <mergeCell ref="BI24:BJ24"/>
    <mergeCell ref="AL23:AQ23"/>
    <mergeCell ref="AR23:AV23"/>
    <mergeCell ref="AY23:BA23"/>
    <mergeCell ref="BB23:BF23"/>
    <mergeCell ref="BG23:BH24"/>
    <mergeCell ref="BI23:BJ23"/>
    <mergeCell ref="BL24:BP24"/>
    <mergeCell ref="B21:F21"/>
    <mergeCell ref="G21:K21"/>
    <mergeCell ref="L21:L34"/>
    <mergeCell ref="M21:T21"/>
    <mergeCell ref="V21:Z21"/>
    <mergeCell ref="AY21:BA21"/>
    <mergeCell ref="BB21:BF21"/>
    <mergeCell ref="BG21:BP21"/>
    <mergeCell ref="B22:K22"/>
    <mergeCell ref="M22:T22"/>
    <mergeCell ref="V22:Z22"/>
    <mergeCell ref="AA22:AF22"/>
    <mergeCell ref="AG22:AK22"/>
    <mergeCell ref="AL22:AQ22"/>
    <mergeCell ref="AR22:AV22"/>
    <mergeCell ref="AY22:BA22"/>
    <mergeCell ref="BB22:BF22"/>
    <mergeCell ref="BG22:BH22"/>
    <mergeCell ref="BI22:BJ22"/>
    <mergeCell ref="BL22:BP22"/>
    <mergeCell ref="B23:F23"/>
    <mergeCell ref="G23:K23"/>
    <mergeCell ref="M23:P26"/>
    <mergeCell ref="Q23:T23"/>
    <mergeCell ref="BH19:BK19"/>
    <mergeCell ref="BL19:BP19"/>
    <mergeCell ref="B20:F20"/>
    <mergeCell ref="G20:K20"/>
    <mergeCell ref="M20:T20"/>
    <mergeCell ref="V20:Z20"/>
    <mergeCell ref="AY20:BA20"/>
    <mergeCell ref="BB20:BF20"/>
    <mergeCell ref="BH20:BK20"/>
    <mergeCell ref="BL20:BP20"/>
    <mergeCell ref="B19:F19"/>
    <mergeCell ref="G19:K19"/>
    <mergeCell ref="L19:L20"/>
    <mergeCell ref="M19:T19"/>
    <mergeCell ref="V19:Z19"/>
    <mergeCell ref="AC19:AF19"/>
    <mergeCell ref="AG19:AK19"/>
    <mergeCell ref="AY19:BA19"/>
    <mergeCell ref="BB19:BF19"/>
    <mergeCell ref="C18:F18"/>
    <mergeCell ref="G18:K18"/>
    <mergeCell ref="L18:Z18"/>
    <mergeCell ref="AC18:AF18"/>
    <mergeCell ref="AG18:AK18"/>
    <mergeCell ref="AY18:BA18"/>
    <mergeCell ref="BB18:BF18"/>
    <mergeCell ref="BH18:BK18"/>
    <mergeCell ref="BL18:BP18"/>
    <mergeCell ref="AY16:BA16"/>
    <mergeCell ref="BB16:BF16"/>
    <mergeCell ref="BI16:BK16"/>
    <mergeCell ref="BL16:BP16"/>
    <mergeCell ref="C17:F17"/>
    <mergeCell ref="G17:K17"/>
    <mergeCell ref="O17:T17"/>
    <mergeCell ref="V17:Z17"/>
    <mergeCell ref="AC17:AF17"/>
    <mergeCell ref="AG17:AK17"/>
    <mergeCell ref="AY17:BA17"/>
    <mergeCell ref="BB17:BF17"/>
    <mergeCell ref="BH17:BK17"/>
    <mergeCell ref="BL17:BP17"/>
    <mergeCell ref="C16:F16"/>
    <mergeCell ref="G16:K16"/>
    <mergeCell ref="L16:N17"/>
    <mergeCell ref="O16:T16"/>
    <mergeCell ref="V16:Z16"/>
    <mergeCell ref="AC16:AF16"/>
    <mergeCell ref="AG16:AK16"/>
    <mergeCell ref="AL16:AQ16"/>
    <mergeCell ref="AR16:AV16"/>
    <mergeCell ref="C14:F14"/>
    <mergeCell ref="G14:K14"/>
    <mergeCell ref="M14:T14"/>
    <mergeCell ref="V14:Z14"/>
    <mergeCell ref="AC14:AF14"/>
    <mergeCell ref="BL14:BP14"/>
    <mergeCell ref="B15:F15"/>
    <mergeCell ref="G15:K15"/>
    <mergeCell ref="L15:N15"/>
    <mergeCell ref="O15:T15"/>
    <mergeCell ref="V15:Z15"/>
    <mergeCell ref="AB15:AF15"/>
    <mergeCell ref="AG15:AK15"/>
    <mergeCell ref="AY15:BA15"/>
    <mergeCell ref="BB15:BF15"/>
    <mergeCell ref="AG14:AK14"/>
    <mergeCell ref="AL14:AQ14"/>
    <mergeCell ref="AR14:AV14"/>
    <mergeCell ref="AY14:BA14"/>
    <mergeCell ref="BB14:BF14"/>
    <mergeCell ref="BH14:BK14"/>
    <mergeCell ref="BH15:BK15"/>
    <mergeCell ref="BL15:BP15"/>
    <mergeCell ref="BB12:BF12"/>
    <mergeCell ref="BH12:BK12"/>
    <mergeCell ref="BL12:BP12"/>
    <mergeCell ref="C13:F13"/>
    <mergeCell ref="G13:K13"/>
    <mergeCell ref="M13:T13"/>
    <mergeCell ref="V13:Z13"/>
    <mergeCell ref="AD13:AF13"/>
    <mergeCell ref="AG13:AK13"/>
    <mergeCell ref="AN13:AQ13"/>
    <mergeCell ref="AR13:AV13"/>
    <mergeCell ref="AY13:BA13"/>
    <mergeCell ref="BB13:BF13"/>
    <mergeCell ref="BG13:BK13"/>
    <mergeCell ref="BL13:BP13"/>
    <mergeCell ref="AD10:AF10"/>
    <mergeCell ref="AG10:AK10"/>
    <mergeCell ref="BL11:BP11"/>
    <mergeCell ref="C12:F12"/>
    <mergeCell ref="G12:K12"/>
    <mergeCell ref="M12:T12"/>
    <mergeCell ref="V12:Z12"/>
    <mergeCell ref="AC12:AF12"/>
    <mergeCell ref="AG12:AK12"/>
    <mergeCell ref="AM12:AQ12"/>
    <mergeCell ref="AR12:AV12"/>
    <mergeCell ref="AY12:BA12"/>
    <mergeCell ref="AG11:AK11"/>
    <mergeCell ref="AN11:AQ11"/>
    <mergeCell ref="AR11:AV11"/>
    <mergeCell ref="AY11:BA11"/>
    <mergeCell ref="BB11:BF11"/>
    <mergeCell ref="BH11:BK11"/>
    <mergeCell ref="B11:F11"/>
    <mergeCell ref="G11:K11"/>
    <mergeCell ref="L11:L14"/>
    <mergeCell ref="M11:T11"/>
    <mergeCell ref="V11:Z11"/>
    <mergeCell ref="AD11:AF11"/>
    <mergeCell ref="AY8:BA8"/>
    <mergeCell ref="BB8:BF8"/>
    <mergeCell ref="BH8:BK8"/>
    <mergeCell ref="BL8:BP8"/>
    <mergeCell ref="AN10:AQ10"/>
    <mergeCell ref="AR10:AV10"/>
    <mergeCell ref="AY10:BA10"/>
    <mergeCell ref="BB10:BF10"/>
    <mergeCell ref="BH10:BK10"/>
    <mergeCell ref="BL10:BP10"/>
    <mergeCell ref="AC9:AF9"/>
    <mergeCell ref="AG9:AK9"/>
    <mergeCell ref="BH7:BK7"/>
    <mergeCell ref="BL7:BP7"/>
    <mergeCell ref="C8:F8"/>
    <mergeCell ref="G8:K8"/>
    <mergeCell ref="M8:T8"/>
    <mergeCell ref="V8:Z8"/>
    <mergeCell ref="AB8:AF8"/>
    <mergeCell ref="AG8:AK8"/>
    <mergeCell ref="AM8:AQ8"/>
    <mergeCell ref="AR8:AV8"/>
    <mergeCell ref="AA7:AF7"/>
    <mergeCell ref="AG7:AK7"/>
    <mergeCell ref="AL7:AQ7"/>
    <mergeCell ref="AR7:AV7"/>
    <mergeCell ref="AW7:BA7"/>
    <mergeCell ref="BB7:BF7"/>
    <mergeCell ref="AN9:AQ9"/>
    <mergeCell ref="AR9:AV9"/>
    <mergeCell ref="AY9:BA9"/>
    <mergeCell ref="BB9:BF9"/>
    <mergeCell ref="BH9:BK9"/>
    <mergeCell ref="BL9:BP9"/>
    <mergeCell ref="B7:F7"/>
    <mergeCell ref="G7:K7"/>
    <mergeCell ref="L7:L10"/>
    <mergeCell ref="M7:T7"/>
    <mergeCell ref="V7:Z7"/>
    <mergeCell ref="C9:F9"/>
    <mergeCell ref="G9:K9"/>
    <mergeCell ref="M9:T9"/>
    <mergeCell ref="V9:Z9"/>
    <mergeCell ref="C10:F10"/>
    <mergeCell ref="G10:K10"/>
    <mergeCell ref="M10:T10"/>
    <mergeCell ref="V10:Z10"/>
    <mergeCell ref="BG3:BP3"/>
    <mergeCell ref="BG4:BP4"/>
    <mergeCell ref="B5:K5"/>
    <mergeCell ref="L5:Z5"/>
    <mergeCell ref="BG5:BP5"/>
    <mergeCell ref="B6:K6"/>
    <mergeCell ref="L6:Z6"/>
    <mergeCell ref="AA6:AF6"/>
    <mergeCell ref="AG6:AK6"/>
    <mergeCell ref="AL6:AQ6"/>
    <mergeCell ref="AR6:AV6"/>
    <mergeCell ref="AW6:BA6"/>
    <mergeCell ref="BB6:BF6"/>
    <mergeCell ref="BG6:BK6"/>
    <mergeCell ref="BL6:BP6"/>
  </mergeCells>
  <phoneticPr fontId="4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9" orientation="landscape" cellComments="asDisplaye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X55"/>
  <sheetViews>
    <sheetView view="pageBreakPreview" zoomScale="120" zoomScaleNormal="120" zoomScaleSheetLayoutView="120" workbookViewId="0"/>
  </sheetViews>
  <sheetFormatPr defaultColWidth="2.875" defaultRowHeight="14.25" customHeight="1" x14ac:dyDescent="0.15"/>
  <cols>
    <col min="1" max="1" width="2" style="1" customWidth="1"/>
    <col min="2" max="3" width="1.375" style="1" customWidth="1"/>
    <col min="4" max="4" width="1.875" style="1" customWidth="1"/>
    <col min="5" max="5" width="2.625" style="1" customWidth="1"/>
    <col min="6" max="6" width="2.375" style="1" customWidth="1"/>
    <col min="7" max="10" width="1.875" style="1" customWidth="1"/>
    <col min="11" max="11" width="2.5" style="1" customWidth="1"/>
    <col min="12" max="16" width="1.875" style="1" customWidth="1"/>
    <col min="17" max="18" width="1.5" style="1" customWidth="1"/>
    <col min="19" max="19" width="2.125" style="1" customWidth="1"/>
    <col min="20" max="20" width="2.625" style="1" customWidth="1"/>
    <col min="21" max="21" width="1.5" style="1" customWidth="1"/>
    <col min="22" max="25" width="1.875" style="1" customWidth="1"/>
    <col min="26" max="26" width="2.125" style="1" customWidth="1"/>
    <col min="27" max="33" width="1.875" style="1" customWidth="1"/>
    <col min="34" max="34" width="1.125" style="1" customWidth="1"/>
    <col min="35" max="35" width="1.875" style="1" customWidth="1"/>
    <col min="36" max="36" width="2.875" style="1" customWidth="1"/>
    <col min="37" max="46" width="1.875" style="1" customWidth="1"/>
    <col min="47" max="47" width="0.875" style="1" customWidth="1"/>
    <col min="48" max="48" width="2.375" style="1" customWidth="1"/>
    <col min="49" max="49" width="1.125" style="1" customWidth="1"/>
    <col min="50" max="50" width="1.875" style="1" customWidth="1"/>
    <col min="51" max="51" width="3.375" style="1" customWidth="1"/>
    <col min="52" max="54" width="0.875" style="1" customWidth="1"/>
    <col min="55" max="55" width="2.875" style="1" customWidth="1"/>
    <col min="56" max="56" width="3.5" style="1" customWidth="1"/>
    <col min="57" max="61" width="1.875" style="1" customWidth="1"/>
    <col min="62" max="63" width="1.125" style="1" customWidth="1"/>
    <col min="64" max="65" width="1.875" style="1" customWidth="1"/>
    <col min="66" max="66" width="3.5" style="1" customWidth="1"/>
    <col min="67" max="76" width="1.875" style="1" customWidth="1"/>
    <col min="77" max="16384" width="2.875" style="1"/>
  </cols>
  <sheetData>
    <row r="1" spans="1:76" ht="14.25" customHeight="1" x14ac:dyDescent="0.15">
      <c r="B1" s="162" t="str">
        <f>'No1'!B5&amp;"年　農業経営統計調査（営農類型別経営統計（農業経営体））　個別結果表No.５"</f>
        <v>年　農業経営統計調査（営農類型別経営統計（農業経営体））　個別結果表No.５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</row>
    <row r="2" spans="1:76" ht="14.25" customHeight="1" thickBot="1" x14ac:dyDescent="0.2"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</row>
    <row r="3" spans="1:76" ht="10.5" customHeight="1" x14ac:dyDescent="0.15">
      <c r="A3" s="2"/>
      <c r="B3" s="150"/>
      <c r="C3" s="150"/>
      <c r="D3" s="150"/>
      <c r="E3" s="150"/>
      <c r="F3" s="150"/>
      <c r="G3" s="3"/>
      <c r="H3" s="3"/>
      <c r="I3" s="3"/>
      <c r="J3" s="3"/>
      <c r="K3" s="3"/>
      <c r="L3" s="3"/>
      <c r="M3" s="3"/>
      <c r="N3" s="3"/>
      <c r="O3" s="3"/>
      <c r="P3" s="3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BO3" s="1287" t="s">
        <v>2</v>
      </c>
      <c r="BP3" s="1204"/>
      <c r="BQ3" s="1204"/>
      <c r="BR3" s="1204"/>
      <c r="BS3" s="1204"/>
      <c r="BT3" s="1204"/>
      <c r="BU3" s="1204"/>
      <c r="BV3" s="1204"/>
      <c r="BW3" s="1204"/>
      <c r="BX3" s="1288"/>
    </row>
    <row r="4" spans="1:76" ht="10.5" customHeight="1" thickBot="1" x14ac:dyDescent="0.2">
      <c r="A4" s="2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4"/>
      <c r="AG4" s="4"/>
      <c r="AH4" s="4"/>
      <c r="AI4" s="4"/>
      <c r="AJ4" s="4"/>
      <c r="BO4" s="1289" t="str">
        <f>IF('No1'!L5&lt;&gt;"",'No1'!L5,"")</f>
        <v/>
      </c>
      <c r="BP4" s="1290"/>
      <c r="BQ4" s="1290"/>
      <c r="BR4" s="1290"/>
      <c r="BS4" s="1290"/>
      <c r="BT4" s="1290"/>
      <c r="BU4" s="1290"/>
      <c r="BV4" s="1290"/>
      <c r="BW4" s="1290"/>
      <c r="BX4" s="1291"/>
    </row>
    <row r="5" spans="1:76" ht="10.5" customHeight="1" x14ac:dyDescent="0.15">
      <c r="A5" s="2"/>
      <c r="B5" s="1525" t="s">
        <v>225</v>
      </c>
      <c r="C5" s="1526"/>
      <c r="D5" s="1526"/>
      <c r="E5" s="1526"/>
      <c r="F5" s="1526"/>
      <c r="G5" s="1526"/>
      <c r="H5" s="1526"/>
      <c r="I5" s="1526"/>
      <c r="J5" s="1526"/>
      <c r="K5" s="1526"/>
      <c r="L5" s="1526"/>
      <c r="M5" s="1526"/>
      <c r="N5" s="1526"/>
      <c r="O5" s="1526"/>
      <c r="P5" s="1526"/>
      <c r="Q5" s="1526"/>
      <c r="R5" s="1526"/>
      <c r="S5" s="1526"/>
      <c r="T5" s="1526"/>
      <c r="U5" s="1526"/>
      <c r="V5" s="1526"/>
      <c r="W5" s="1526"/>
      <c r="X5" s="1526"/>
      <c r="Y5" s="1526"/>
      <c r="Z5" s="1526"/>
      <c r="AA5" s="1526"/>
      <c r="AB5" s="1526"/>
      <c r="AC5" s="1526"/>
      <c r="AD5" s="1526"/>
      <c r="AE5" s="1527"/>
      <c r="AF5" s="547" t="s">
        <v>546</v>
      </c>
      <c r="AG5" s="547"/>
      <c r="AH5" s="547"/>
      <c r="AI5" s="547"/>
      <c r="AJ5" s="547"/>
      <c r="AK5" s="1528"/>
      <c r="AL5" s="1528"/>
      <c r="AM5" s="1528"/>
      <c r="AN5" s="1528"/>
      <c r="AO5" s="1528"/>
      <c r="AP5" s="547"/>
      <c r="AQ5" s="547"/>
      <c r="AR5" s="547"/>
      <c r="AS5" s="547"/>
      <c r="AT5" s="547"/>
      <c r="AU5" s="547"/>
      <c r="AV5" s="547"/>
      <c r="AW5" s="547"/>
      <c r="AX5" s="547"/>
      <c r="AY5" s="547"/>
      <c r="AZ5" s="1528"/>
      <c r="BA5" s="1528"/>
      <c r="BB5" s="1528"/>
      <c r="BC5" s="1528"/>
      <c r="BD5" s="1528"/>
      <c r="BE5" s="547"/>
      <c r="BF5" s="547"/>
      <c r="BG5" s="547"/>
      <c r="BH5" s="547"/>
      <c r="BI5" s="547"/>
      <c r="BJ5" s="867" t="s">
        <v>227</v>
      </c>
      <c r="BK5" s="868"/>
      <c r="BL5" s="868"/>
      <c r="BM5" s="868"/>
      <c r="BN5" s="868"/>
      <c r="BO5" s="868"/>
      <c r="BP5" s="868"/>
      <c r="BQ5" s="868"/>
      <c r="BR5" s="868"/>
      <c r="BS5" s="868"/>
      <c r="BT5" s="868"/>
      <c r="BU5" s="868"/>
      <c r="BV5" s="868"/>
      <c r="BW5" s="868"/>
      <c r="BX5" s="869"/>
    </row>
    <row r="6" spans="1:76" ht="10.5" customHeight="1" x14ac:dyDescent="0.15">
      <c r="A6" s="2">
        <v>1</v>
      </c>
      <c r="B6" s="1529" t="s">
        <v>228</v>
      </c>
      <c r="C6" s="941"/>
      <c r="D6" s="1532" t="s">
        <v>229</v>
      </c>
      <c r="E6" s="1533"/>
      <c r="F6" s="946" t="s">
        <v>507</v>
      </c>
      <c r="G6" s="884"/>
      <c r="H6" s="884"/>
      <c r="I6" s="884"/>
      <c r="J6" s="885"/>
      <c r="K6" s="172" t="s">
        <v>230</v>
      </c>
      <c r="L6" s="1314"/>
      <c r="M6" s="1315"/>
      <c r="N6" s="1315"/>
      <c r="O6" s="1315"/>
      <c r="P6" s="1472"/>
      <c r="Q6" s="1534" t="s">
        <v>246</v>
      </c>
      <c r="R6" s="941"/>
      <c r="S6" s="1538" t="s">
        <v>247</v>
      </c>
      <c r="T6" s="1539"/>
      <c r="U6" s="946" t="s">
        <v>248</v>
      </c>
      <c r="V6" s="884"/>
      <c r="W6" s="884"/>
      <c r="X6" s="884"/>
      <c r="Y6" s="885"/>
      <c r="Z6" s="19" t="s">
        <v>230</v>
      </c>
      <c r="AA6" s="1314"/>
      <c r="AB6" s="1315"/>
      <c r="AC6" s="1315"/>
      <c r="AD6" s="1315"/>
      <c r="AE6" s="1341"/>
      <c r="AF6" s="906"/>
      <c r="AG6" s="906"/>
      <c r="AH6" s="906"/>
      <c r="AI6" s="906"/>
      <c r="AJ6" s="906"/>
      <c r="AK6" s="1519" t="s">
        <v>235</v>
      </c>
      <c r="AL6" s="1520"/>
      <c r="AM6" s="1520"/>
      <c r="AN6" s="1520"/>
      <c r="AO6" s="1521"/>
      <c r="AP6" s="906" t="s">
        <v>547</v>
      </c>
      <c r="AQ6" s="906"/>
      <c r="AR6" s="906"/>
      <c r="AS6" s="906"/>
      <c r="AT6" s="907"/>
      <c r="AU6" s="911"/>
      <c r="AV6" s="911"/>
      <c r="AW6" s="911"/>
      <c r="AX6" s="911"/>
      <c r="AY6" s="1463"/>
      <c r="AZ6" s="1535" t="s">
        <v>237</v>
      </c>
      <c r="BA6" s="1536"/>
      <c r="BB6" s="1536"/>
      <c r="BC6" s="1536"/>
      <c r="BD6" s="1537"/>
      <c r="BE6" s="906" t="s">
        <v>547</v>
      </c>
      <c r="BF6" s="906"/>
      <c r="BG6" s="906"/>
      <c r="BH6" s="906"/>
      <c r="BI6" s="906"/>
      <c r="BJ6" s="886" t="s">
        <v>238</v>
      </c>
      <c r="BK6" s="887"/>
      <c r="BL6" s="887"/>
      <c r="BM6" s="887"/>
      <c r="BN6" s="888"/>
      <c r="BO6" s="889" t="s">
        <v>239</v>
      </c>
      <c r="BP6" s="890"/>
      <c r="BQ6" s="890"/>
      <c r="BR6" s="890"/>
      <c r="BS6" s="891"/>
      <c r="BT6" s="889" t="s">
        <v>240</v>
      </c>
      <c r="BU6" s="890"/>
      <c r="BV6" s="890"/>
      <c r="BW6" s="890"/>
      <c r="BX6" s="892"/>
    </row>
    <row r="7" spans="1:76" ht="10.5" customHeight="1" x14ac:dyDescent="0.15">
      <c r="A7" s="2">
        <v>2</v>
      </c>
      <c r="B7" s="1530"/>
      <c r="C7" s="871"/>
      <c r="D7" s="874"/>
      <c r="E7" s="875"/>
      <c r="F7" s="893" t="s">
        <v>241</v>
      </c>
      <c r="G7" s="894"/>
      <c r="H7" s="894"/>
      <c r="I7" s="894"/>
      <c r="J7" s="895"/>
      <c r="K7" s="159" t="s">
        <v>80</v>
      </c>
      <c r="L7" s="1328"/>
      <c r="M7" s="1329"/>
      <c r="N7" s="1329"/>
      <c r="O7" s="1329"/>
      <c r="P7" s="1474"/>
      <c r="Q7" s="1079"/>
      <c r="R7" s="871"/>
      <c r="S7" s="1540"/>
      <c r="T7" s="1541"/>
      <c r="U7" s="893" t="s">
        <v>241</v>
      </c>
      <c r="V7" s="894"/>
      <c r="W7" s="894"/>
      <c r="X7" s="894"/>
      <c r="Y7" s="895"/>
      <c r="Z7" s="20" t="s">
        <v>254</v>
      </c>
      <c r="AA7" s="1328"/>
      <c r="AB7" s="1329"/>
      <c r="AC7" s="1329"/>
      <c r="AD7" s="1329"/>
      <c r="AE7" s="1334"/>
      <c r="AF7" s="955" t="s">
        <v>243</v>
      </c>
      <c r="AG7" s="897"/>
      <c r="AH7" s="897"/>
      <c r="AI7" s="897"/>
      <c r="AJ7" s="1024"/>
      <c r="AK7" s="1544"/>
      <c r="AL7" s="900"/>
      <c r="AM7" s="900"/>
      <c r="AN7" s="900"/>
      <c r="AO7" s="1545"/>
      <c r="AP7" s="1522"/>
      <c r="AQ7" s="1522"/>
      <c r="AR7" s="1522"/>
      <c r="AS7" s="1522"/>
      <c r="AT7" s="1522"/>
      <c r="AU7" s="1543" t="s">
        <v>244</v>
      </c>
      <c r="AV7" s="903"/>
      <c r="AW7" s="903"/>
      <c r="AX7" s="903"/>
      <c r="AY7" s="1362"/>
      <c r="AZ7" s="1544"/>
      <c r="BA7" s="900"/>
      <c r="BB7" s="900"/>
      <c r="BC7" s="900"/>
      <c r="BD7" s="1545"/>
      <c r="BE7" s="1522"/>
      <c r="BF7" s="1522"/>
      <c r="BG7" s="1522"/>
      <c r="BH7" s="1522"/>
      <c r="BI7" s="1522"/>
      <c r="BJ7" s="1546" t="s">
        <v>548</v>
      </c>
      <c r="BK7" s="1547"/>
      <c r="BL7" s="1547"/>
      <c r="BM7" s="1547"/>
      <c r="BN7" s="1548"/>
      <c r="BO7" s="1549"/>
      <c r="BP7" s="1549"/>
      <c r="BQ7" s="1549"/>
      <c r="BR7" s="1549"/>
      <c r="BS7" s="1549"/>
      <c r="BT7" s="1549"/>
      <c r="BU7" s="1549"/>
      <c r="BV7" s="1549"/>
      <c r="BW7" s="1549"/>
      <c r="BX7" s="1550"/>
    </row>
    <row r="8" spans="1:76" ht="10.5" customHeight="1" x14ac:dyDescent="0.15">
      <c r="A8" s="2">
        <v>3</v>
      </c>
      <c r="B8" s="1530"/>
      <c r="C8" s="871"/>
      <c r="D8" s="874"/>
      <c r="E8" s="875"/>
      <c r="F8" s="893" t="s">
        <v>245</v>
      </c>
      <c r="G8" s="894"/>
      <c r="H8" s="894"/>
      <c r="I8" s="894"/>
      <c r="J8" s="895"/>
      <c r="K8" s="20" t="s">
        <v>80</v>
      </c>
      <c r="L8" s="1328"/>
      <c r="M8" s="1329"/>
      <c r="N8" s="1329"/>
      <c r="O8" s="1329"/>
      <c r="P8" s="1474"/>
      <c r="Q8" s="1079"/>
      <c r="R8" s="871"/>
      <c r="S8" s="1540"/>
      <c r="T8" s="1541"/>
      <c r="U8" s="893" t="s">
        <v>258</v>
      </c>
      <c r="V8" s="894"/>
      <c r="W8" s="894"/>
      <c r="X8" s="894"/>
      <c r="Y8" s="895"/>
      <c r="Z8" s="20" t="s">
        <v>254</v>
      </c>
      <c r="AA8" s="1328"/>
      <c r="AB8" s="1329"/>
      <c r="AC8" s="1329"/>
      <c r="AD8" s="1329"/>
      <c r="AE8" s="1334"/>
      <c r="AF8" s="871" t="s">
        <v>249</v>
      </c>
      <c r="AG8" s="928" t="s">
        <v>250</v>
      </c>
      <c r="AH8" s="853"/>
      <c r="AI8" s="931" t="s">
        <v>251</v>
      </c>
      <c r="AJ8" s="1523"/>
      <c r="AK8" s="1328"/>
      <c r="AL8" s="1329"/>
      <c r="AM8" s="1329"/>
      <c r="AN8" s="1329"/>
      <c r="AO8" s="1474"/>
      <c r="AP8" s="358"/>
      <c r="AQ8" s="359"/>
      <c r="AR8" s="359"/>
      <c r="AS8" s="359"/>
      <c r="AT8" s="368"/>
      <c r="AU8" s="584" t="s">
        <v>252</v>
      </c>
      <c r="AV8" s="853"/>
      <c r="AW8" s="913" t="s">
        <v>253</v>
      </c>
      <c r="AX8" s="913"/>
      <c r="AY8" s="766"/>
      <c r="AZ8" s="1551"/>
      <c r="BA8" s="916"/>
      <c r="BB8" s="916"/>
      <c r="BC8" s="916"/>
      <c r="BD8" s="1552"/>
      <c r="BE8" s="1524"/>
      <c r="BF8" s="359"/>
      <c r="BG8" s="359"/>
      <c r="BH8" s="359"/>
      <c r="BI8" s="360"/>
      <c r="BJ8" s="918"/>
      <c r="BK8" s="598"/>
      <c r="BL8" s="598"/>
      <c r="BM8" s="598"/>
      <c r="BN8" s="646"/>
      <c r="BO8" s="376"/>
      <c r="BP8" s="377"/>
      <c r="BQ8" s="377"/>
      <c r="BR8" s="377"/>
      <c r="BS8" s="378"/>
      <c r="BT8" s="376"/>
      <c r="BU8" s="377"/>
      <c r="BV8" s="377"/>
      <c r="BW8" s="377"/>
      <c r="BX8" s="416"/>
    </row>
    <row r="9" spans="1:76" ht="10.5" customHeight="1" x14ac:dyDescent="0.15">
      <c r="A9" s="2">
        <v>4</v>
      </c>
      <c r="B9" s="1530"/>
      <c r="C9" s="871"/>
      <c r="D9" s="874"/>
      <c r="E9" s="875"/>
      <c r="F9" s="893" t="s">
        <v>241</v>
      </c>
      <c r="G9" s="894"/>
      <c r="H9" s="894"/>
      <c r="I9" s="894"/>
      <c r="J9" s="895"/>
      <c r="K9" s="159" t="s">
        <v>80</v>
      </c>
      <c r="L9" s="1328"/>
      <c r="M9" s="1329"/>
      <c r="N9" s="1329"/>
      <c r="O9" s="1329"/>
      <c r="P9" s="1474"/>
      <c r="Q9" s="1079"/>
      <c r="R9" s="871"/>
      <c r="S9" s="1540"/>
      <c r="T9" s="1541"/>
      <c r="U9" s="893" t="s">
        <v>241</v>
      </c>
      <c r="V9" s="894"/>
      <c r="W9" s="894"/>
      <c r="X9" s="894"/>
      <c r="Y9" s="895"/>
      <c r="Z9" s="20" t="s">
        <v>254</v>
      </c>
      <c r="AA9" s="1328"/>
      <c r="AB9" s="1329"/>
      <c r="AC9" s="1329"/>
      <c r="AD9" s="1329"/>
      <c r="AE9" s="1334"/>
      <c r="AF9" s="871"/>
      <c r="AG9" s="929"/>
      <c r="AH9" s="930"/>
      <c r="AI9" s="924" t="s">
        <v>255</v>
      </c>
      <c r="AJ9" s="795"/>
      <c r="AK9" s="1328"/>
      <c r="AL9" s="1329"/>
      <c r="AM9" s="1329"/>
      <c r="AN9" s="1329"/>
      <c r="AO9" s="1474"/>
      <c r="AP9" s="376"/>
      <c r="AQ9" s="377"/>
      <c r="AR9" s="377"/>
      <c r="AS9" s="377"/>
      <c r="AT9" s="378"/>
      <c r="AU9" s="584"/>
      <c r="AV9" s="853"/>
      <c r="AW9" s="650" t="s">
        <v>256</v>
      </c>
      <c r="AX9" s="925"/>
      <c r="AY9" s="925"/>
      <c r="AZ9" s="376"/>
      <c r="BA9" s="377"/>
      <c r="BB9" s="377"/>
      <c r="BC9" s="377"/>
      <c r="BD9" s="378"/>
      <c r="BE9" s="376"/>
      <c r="BF9" s="377"/>
      <c r="BG9" s="377"/>
      <c r="BH9" s="377"/>
      <c r="BI9" s="416"/>
      <c r="BJ9" s="918"/>
      <c r="BK9" s="598"/>
      <c r="BL9" s="598"/>
      <c r="BM9" s="598"/>
      <c r="BN9" s="646"/>
      <c r="BO9" s="376"/>
      <c r="BP9" s="377"/>
      <c r="BQ9" s="377"/>
      <c r="BR9" s="377"/>
      <c r="BS9" s="378"/>
      <c r="BT9" s="376"/>
      <c r="BU9" s="377"/>
      <c r="BV9" s="377"/>
      <c r="BW9" s="377"/>
      <c r="BX9" s="416"/>
    </row>
    <row r="10" spans="1:76" ht="10.5" customHeight="1" x14ac:dyDescent="0.15">
      <c r="A10" s="2">
        <v>5</v>
      </c>
      <c r="B10" s="1530"/>
      <c r="C10" s="871"/>
      <c r="D10" s="876"/>
      <c r="E10" s="877"/>
      <c r="F10" s="893" t="s">
        <v>257</v>
      </c>
      <c r="G10" s="894"/>
      <c r="H10" s="894"/>
      <c r="I10" s="894"/>
      <c r="J10" s="895"/>
      <c r="K10" s="159" t="s">
        <v>80</v>
      </c>
      <c r="L10" s="1328"/>
      <c r="M10" s="1329"/>
      <c r="N10" s="1329"/>
      <c r="O10" s="1329"/>
      <c r="P10" s="1474"/>
      <c r="Q10" s="1079"/>
      <c r="R10" s="871"/>
      <c r="S10" s="1540"/>
      <c r="T10" s="1541"/>
      <c r="U10" s="893" t="s">
        <v>549</v>
      </c>
      <c r="V10" s="894"/>
      <c r="W10" s="894"/>
      <c r="X10" s="894"/>
      <c r="Y10" s="895"/>
      <c r="Z10" s="20" t="s">
        <v>254</v>
      </c>
      <c r="AA10" s="1328"/>
      <c r="AB10" s="1329"/>
      <c r="AC10" s="1329"/>
      <c r="AD10" s="1329"/>
      <c r="AE10" s="1334"/>
      <c r="AF10" s="871"/>
      <c r="AG10" s="932" t="s">
        <v>259</v>
      </c>
      <c r="AH10" s="932"/>
      <c r="AI10" s="932"/>
      <c r="AJ10" s="419"/>
      <c r="AK10" s="1554"/>
      <c r="AL10" s="591"/>
      <c r="AM10" s="591"/>
      <c r="AN10" s="591"/>
      <c r="AO10" s="1555"/>
      <c r="AP10" s="1556"/>
      <c r="AQ10" s="377"/>
      <c r="AR10" s="377"/>
      <c r="AS10" s="377"/>
      <c r="AT10" s="378"/>
      <c r="AU10" s="552"/>
      <c r="AV10" s="854"/>
      <c r="AW10" s="846" t="s">
        <v>260</v>
      </c>
      <c r="AX10" s="847"/>
      <c r="AY10" s="847"/>
      <c r="AZ10" s="1557"/>
      <c r="BA10" s="850"/>
      <c r="BB10" s="850"/>
      <c r="BC10" s="850"/>
      <c r="BD10" s="1558"/>
      <c r="BE10" s="1553"/>
      <c r="BF10" s="458"/>
      <c r="BG10" s="458"/>
      <c r="BH10" s="458"/>
      <c r="BI10" s="459"/>
      <c r="BJ10" s="918"/>
      <c r="BK10" s="598"/>
      <c r="BL10" s="598"/>
      <c r="BM10" s="598"/>
      <c r="BN10" s="646"/>
      <c r="BO10" s="376"/>
      <c r="BP10" s="377"/>
      <c r="BQ10" s="377"/>
      <c r="BR10" s="377"/>
      <c r="BS10" s="378"/>
      <c r="BT10" s="376"/>
      <c r="BU10" s="377"/>
      <c r="BV10" s="377"/>
      <c r="BW10" s="377"/>
      <c r="BX10" s="416"/>
    </row>
    <row r="11" spans="1:76" ht="10.5" customHeight="1" x14ac:dyDescent="0.15">
      <c r="A11" s="2">
        <v>6</v>
      </c>
      <c r="B11" s="1530"/>
      <c r="C11" s="871"/>
      <c r="D11" s="934" t="s">
        <v>232</v>
      </c>
      <c r="E11" s="935"/>
      <c r="F11" s="893" t="s">
        <v>508</v>
      </c>
      <c r="G11" s="894"/>
      <c r="H11" s="894"/>
      <c r="I11" s="894"/>
      <c r="J11" s="895"/>
      <c r="K11" s="20" t="s">
        <v>234</v>
      </c>
      <c r="L11" s="1328"/>
      <c r="M11" s="1329"/>
      <c r="N11" s="1329"/>
      <c r="O11" s="1329"/>
      <c r="P11" s="1474"/>
      <c r="Q11" s="1079"/>
      <c r="R11" s="871"/>
      <c r="S11" s="1540"/>
      <c r="T11" s="1541"/>
      <c r="U11" s="893" t="s">
        <v>241</v>
      </c>
      <c r="V11" s="894"/>
      <c r="W11" s="894"/>
      <c r="X11" s="894"/>
      <c r="Y11" s="895"/>
      <c r="Z11" s="20" t="s">
        <v>254</v>
      </c>
      <c r="AA11" s="1328"/>
      <c r="AB11" s="1329"/>
      <c r="AC11" s="1329"/>
      <c r="AD11" s="1329"/>
      <c r="AE11" s="1334"/>
      <c r="AF11" s="873"/>
      <c r="AG11" s="937" t="s">
        <v>257</v>
      </c>
      <c r="AH11" s="937"/>
      <c r="AI11" s="937"/>
      <c r="AJ11" s="611"/>
      <c r="AK11" s="1557"/>
      <c r="AL11" s="850"/>
      <c r="AM11" s="850"/>
      <c r="AN11" s="850"/>
      <c r="AO11" s="1558"/>
      <c r="AP11" s="1553"/>
      <c r="AQ11" s="458"/>
      <c r="AR11" s="458"/>
      <c r="AS11" s="458"/>
      <c r="AT11" s="845"/>
      <c r="AU11" s="1568" t="s">
        <v>261</v>
      </c>
      <c r="AV11" s="938"/>
      <c r="AW11" s="938"/>
      <c r="AX11" s="938"/>
      <c r="AY11" s="938"/>
      <c r="AZ11" s="838"/>
      <c r="BA11" s="839"/>
      <c r="BB11" s="839"/>
      <c r="BC11" s="839"/>
      <c r="BD11" s="855"/>
      <c r="BE11" s="838"/>
      <c r="BF11" s="839"/>
      <c r="BG11" s="839"/>
      <c r="BH11" s="839"/>
      <c r="BI11" s="840"/>
      <c r="BJ11" s="918"/>
      <c r="BK11" s="598"/>
      <c r="BL11" s="598"/>
      <c r="BM11" s="598"/>
      <c r="BN11" s="646"/>
      <c r="BO11" s="376"/>
      <c r="BP11" s="377"/>
      <c r="BQ11" s="377"/>
      <c r="BR11" s="377"/>
      <c r="BS11" s="378"/>
      <c r="BT11" s="376"/>
      <c r="BU11" s="377"/>
      <c r="BV11" s="377"/>
      <c r="BW11" s="377"/>
      <c r="BX11" s="416"/>
    </row>
    <row r="12" spans="1:76" ht="10.5" customHeight="1" x14ac:dyDescent="0.15">
      <c r="A12" s="2">
        <v>7</v>
      </c>
      <c r="B12" s="1531"/>
      <c r="C12" s="873"/>
      <c r="D12" s="936"/>
      <c r="E12" s="854"/>
      <c r="F12" s="947" t="s">
        <v>255</v>
      </c>
      <c r="G12" s="948"/>
      <c r="H12" s="948"/>
      <c r="I12" s="948"/>
      <c r="J12" s="949"/>
      <c r="K12" s="160" t="s">
        <v>80</v>
      </c>
      <c r="L12" s="1331"/>
      <c r="M12" s="1332"/>
      <c r="N12" s="1332"/>
      <c r="O12" s="1332"/>
      <c r="P12" s="1489"/>
      <c r="Q12" s="1079"/>
      <c r="R12" s="871"/>
      <c r="S12" s="1540"/>
      <c r="T12" s="1541"/>
      <c r="U12" s="1561" t="s">
        <v>273</v>
      </c>
      <c r="V12" s="894"/>
      <c r="W12" s="894"/>
      <c r="X12" s="894"/>
      <c r="Y12" s="895"/>
      <c r="Z12" s="159" t="s">
        <v>254</v>
      </c>
      <c r="AA12" s="1328"/>
      <c r="AB12" s="1329"/>
      <c r="AC12" s="1329"/>
      <c r="AD12" s="1329"/>
      <c r="AE12" s="1334"/>
      <c r="AF12" s="950" t="s">
        <v>263</v>
      </c>
      <c r="AG12" s="592" t="s">
        <v>264</v>
      </c>
      <c r="AH12" s="605"/>
      <c r="AI12" s="605"/>
      <c r="AJ12" s="605"/>
      <c r="AK12" s="1314"/>
      <c r="AL12" s="1315"/>
      <c r="AM12" s="1315"/>
      <c r="AN12" s="1315"/>
      <c r="AO12" s="1472"/>
      <c r="AP12" s="358"/>
      <c r="AQ12" s="359"/>
      <c r="AR12" s="359"/>
      <c r="AS12" s="359"/>
      <c r="AT12" s="368"/>
      <c r="AU12" s="1562" t="s">
        <v>550</v>
      </c>
      <c r="AV12" s="1563"/>
      <c r="AW12" s="1559" t="s">
        <v>551</v>
      </c>
      <c r="AX12" s="1560"/>
      <c r="AY12" s="1560"/>
      <c r="AZ12" s="358"/>
      <c r="BA12" s="359"/>
      <c r="BB12" s="359"/>
      <c r="BC12" s="359"/>
      <c r="BD12" s="368"/>
      <c r="BE12" s="358"/>
      <c r="BF12" s="359"/>
      <c r="BG12" s="359"/>
      <c r="BH12" s="359"/>
      <c r="BI12" s="360"/>
      <c r="BJ12" s="918"/>
      <c r="BK12" s="598"/>
      <c r="BL12" s="598"/>
      <c r="BM12" s="598"/>
      <c r="BN12" s="646"/>
      <c r="BO12" s="376"/>
      <c r="BP12" s="377"/>
      <c r="BQ12" s="377"/>
      <c r="BR12" s="377"/>
      <c r="BS12" s="378"/>
      <c r="BT12" s="376"/>
      <c r="BU12" s="377"/>
      <c r="BV12" s="377"/>
      <c r="BW12" s="377"/>
      <c r="BX12" s="416"/>
    </row>
    <row r="13" spans="1:76" ht="10.5" customHeight="1" x14ac:dyDescent="0.15">
      <c r="A13" s="2">
        <v>8</v>
      </c>
      <c r="B13" s="1529" t="s">
        <v>267</v>
      </c>
      <c r="C13" s="941"/>
      <c r="D13" s="942" t="s">
        <v>268</v>
      </c>
      <c r="E13" s="941"/>
      <c r="F13" s="946" t="s">
        <v>269</v>
      </c>
      <c r="G13" s="884"/>
      <c r="H13" s="884"/>
      <c r="I13" s="884"/>
      <c r="J13" s="885"/>
      <c r="K13" s="19" t="s">
        <v>270</v>
      </c>
      <c r="L13" s="1314"/>
      <c r="M13" s="1315"/>
      <c r="N13" s="1315"/>
      <c r="O13" s="1315"/>
      <c r="P13" s="1472"/>
      <c r="Q13" s="1079"/>
      <c r="R13" s="871"/>
      <c r="S13" s="921"/>
      <c r="T13" s="1542"/>
      <c r="U13" s="893" t="s">
        <v>241</v>
      </c>
      <c r="V13" s="894"/>
      <c r="W13" s="894"/>
      <c r="X13" s="894"/>
      <c r="Y13" s="895"/>
      <c r="Z13" s="159" t="s">
        <v>254</v>
      </c>
      <c r="AA13" s="1328"/>
      <c r="AB13" s="1329"/>
      <c r="AC13" s="1329"/>
      <c r="AD13" s="1329"/>
      <c r="AE13" s="1334"/>
      <c r="AF13" s="951"/>
      <c r="AG13" s="419" t="s">
        <v>271</v>
      </c>
      <c r="AH13" s="420"/>
      <c r="AI13" s="420"/>
      <c r="AJ13" s="420"/>
      <c r="AK13" s="1328"/>
      <c r="AL13" s="1329"/>
      <c r="AM13" s="1329"/>
      <c r="AN13" s="1329"/>
      <c r="AO13" s="1474"/>
      <c r="AP13" s="376"/>
      <c r="AQ13" s="377"/>
      <c r="AR13" s="377"/>
      <c r="AS13" s="377"/>
      <c r="AT13" s="378"/>
      <c r="AU13" s="1564"/>
      <c r="AV13" s="1565"/>
      <c r="AW13" s="173"/>
      <c r="AX13" s="1569" t="s">
        <v>266</v>
      </c>
      <c r="AY13" s="1215"/>
      <c r="AZ13" s="376"/>
      <c r="BA13" s="377"/>
      <c r="BB13" s="377"/>
      <c r="BC13" s="377"/>
      <c r="BD13" s="378"/>
      <c r="BE13" s="376"/>
      <c r="BF13" s="377"/>
      <c r="BG13" s="377"/>
      <c r="BH13" s="377"/>
      <c r="BI13" s="416"/>
      <c r="BJ13" s="918"/>
      <c r="BK13" s="598"/>
      <c r="BL13" s="598"/>
      <c r="BM13" s="598"/>
      <c r="BN13" s="646"/>
      <c r="BO13" s="376"/>
      <c r="BP13" s="377"/>
      <c r="BQ13" s="377"/>
      <c r="BR13" s="377"/>
      <c r="BS13" s="378"/>
      <c r="BT13" s="376"/>
      <c r="BU13" s="377"/>
      <c r="BV13" s="377"/>
      <c r="BW13" s="377"/>
      <c r="BX13" s="416"/>
    </row>
    <row r="14" spans="1:76" ht="10.5" customHeight="1" x14ac:dyDescent="0.15">
      <c r="A14" s="2">
        <v>9</v>
      </c>
      <c r="B14" s="1530"/>
      <c r="C14" s="871"/>
      <c r="D14" s="943"/>
      <c r="E14" s="871"/>
      <c r="F14" s="893" t="s">
        <v>241</v>
      </c>
      <c r="G14" s="894"/>
      <c r="H14" s="894"/>
      <c r="I14" s="894"/>
      <c r="J14" s="895"/>
      <c r="K14" s="20" t="s">
        <v>254</v>
      </c>
      <c r="L14" s="1328"/>
      <c r="M14" s="1329"/>
      <c r="N14" s="1329"/>
      <c r="O14" s="1329"/>
      <c r="P14" s="1474"/>
      <c r="Q14" s="1079"/>
      <c r="R14" s="871"/>
      <c r="S14" s="419" t="s">
        <v>277</v>
      </c>
      <c r="T14" s="420"/>
      <c r="U14" s="420"/>
      <c r="V14" s="420"/>
      <c r="W14" s="420"/>
      <c r="X14" s="420"/>
      <c r="Y14" s="933"/>
      <c r="Z14" s="159" t="s">
        <v>254</v>
      </c>
      <c r="AA14" s="1328"/>
      <c r="AB14" s="1329"/>
      <c r="AC14" s="1329"/>
      <c r="AD14" s="1329"/>
      <c r="AE14" s="1334"/>
      <c r="AF14" s="951"/>
      <c r="AG14" s="766" t="s">
        <v>274</v>
      </c>
      <c r="AH14" s="593"/>
      <c r="AI14" s="593"/>
      <c r="AJ14" s="593"/>
      <c r="AK14" s="1328"/>
      <c r="AL14" s="1329"/>
      <c r="AM14" s="1329"/>
      <c r="AN14" s="1329"/>
      <c r="AO14" s="1474"/>
      <c r="AP14" s="376"/>
      <c r="AQ14" s="377"/>
      <c r="AR14" s="377"/>
      <c r="AS14" s="377"/>
      <c r="AT14" s="378"/>
      <c r="AU14" s="1564"/>
      <c r="AV14" s="1565"/>
      <c r="AW14" s="57"/>
      <c r="AX14" s="419" t="s">
        <v>468</v>
      </c>
      <c r="AY14" s="420"/>
      <c r="AZ14" s="376"/>
      <c r="BA14" s="377"/>
      <c r="BB14" s="377"/>
      <c r="BC14" s="377"/>
      <c r="BD14" s="378"/>
      <c r="BE14" s="376"/>
      <c r="BF14" s="377"/>
      <c r="BG14" s="377"/>
      <c r="BH14" s="377"/>
      <c r="BI14" s="416"/>
      <c r="BJ14" s="918"/>
      <c r="BK14" s="598"/>
      <c r="BL14" s="598"/>
      <c r="BM14" s="598"/>
      <c r="BN14" s="646"/>
      <c r="BO14" s="376"/>
      <c r="BP14" s="377"/>
      <c r="BQ14" s="377"/>
      <c r="BR14" s="377"/>
      <c r="BS14" s="378"/>
      <c r="BT14" s="376"/>
      <c r="BU14" s="377"/>
      <c r="BV14" s="377"/>
      <c r="BW14" s="377"/>
      <c r="BX14" s="416"/>
    </row>
    <row r="15" spans="1:76" ht="10.5" customHeight="1" x14ac:dyDescent="0.15">
      <c r="A15" s="2">
        <v>10</v>
      </c>
      <c r="B15" s="1530"/>
      <c r="C15" s="871"/>
      <c r="D15" s="943"/>
      <c r="E15" s="871"/>
      <c r="F15" s="893" t="s">
        <v>276</v>
      </c>
      <c r="G15" s="894"/>
      <c r="H15" s="894"/>
      <c r="I15" s="894"/>
      <c r="J15" s="895"/>
      <c r="K15" s="20" t="s">
        <v>254</v>
      </c>
      <c r="L15" s="1328"/>
      <c r="M15" s="1329"/>
      <c r="N15" s="1329"/>
      <c r="O15" s="1329"/>
      <c r="P15" s="1474"/>
      <c r="Q15" s="1079"/>
      <c r="R15" s="871"/>
      <c r="S15" s="419" t="s">
        <v>464</v>
      </c>
      <c r="T15" s="420"/>
      <c r="U15" s="420"/>
      <c r="V15" s="420"/>
      <c r="W15" s="420"/>
      <c r="X15" s="420"/>
      <c r="Y15" s="933"/>
      <c r="Z15" s="20" t="s">
        <v>254</v>
      </c>
      <c r="AA15" s="1328"/>
      <c r="AB15" s="1329"/>
      <c r="AC15" s="1329"/>
      <c r="AD15" s="1329"/>
      <c r="AE15" s="1334"/>
      <c r="AF15" s="951"/>
      <c r="AG15" s="419" t="s">
        <v>278</v>
      </c>
      <c r="AH15" s="420"/>
      <c r="AI15" s="420"/>
      <c r="AJ15" s="420"/>
      <c r="AK15" s="1328"/>
      <c r="AL15" s="1329"/>
      <c r="AM15" s="1329"/>
      <c r="AN15" s="1329"/>
      <c r="AO15" s="1474"/>
      <c r="AP15" s="376"/>
      <c r="AQ15" s="377"/>
      <c r="AR15" s="377"/>
      <c r="AS15" s="377"/>
      <c r="AT15" s="378"/>
      <c r="AU15" s="1564"/>
      <c r="AV15" s="1565"/>
      <c r="AW15" s="419" t="s">
        <v>272</v>
      </c>
      <c r="AX15" s="420"/>
      <c r="AY15" s="420"/>
      <c r="AZ15" s="376"/>
      <c r="BA15" s="377"/>
      <c r="BB15" s="377"/>
      <c r="BC15" s="377"/>
      <c r="BD15" s="378"/>
      <c r="BE15" s="376"/>
      <c r="BF15" s="377"/>
      <c r="BG15" s="377"/>
      <c r="BH15" s="377"/>
      <c r="BI15" s="416"/>
      <c r="BJ15" s="918"/>
      <c r="BK15" s="598"/>
      <c r="BL15" s="598"/>
      <c r="BM15" s="598"/>
      <c r="BN15" s="646"/>
      <c r="BO15" s="376"/>
      <c r="BP15" s="377"/>
      <c r="BQ15" s="377"/>
      <c r="BR15" s="377"/>
      <c r="BS15" s="378"/>
      <c r="BT15" s="376"/>
      <c r="BU15" s="377"/>
      <c r="BV15" s="377"/>
      <c r="BW15" s="377"/>
      <c r="BX15" s="416"/>
    </row>
    <row r="16" spans="1:76" ht="10.5" customHeight="1" x14ac:dyDescent="0.15">
      <c r="A16" s="2">
        <v>11</v>
      </c>
      <c r="B16" s="1530"/>
      <c r="C16" s="871"/>
      <c r="D16" s="943"/>
      <c r="E16" s="871"/>
      <c r="F16" s="893" t="s">
        <v>241</v>
      </c>
      <c r="G16" s="894"/>
      <c r="H16" s="894"/>
      <c r="I16" s="894"/>
      <c r="J16" s="895"/>
      <c r="K16" s="20" t="s">
        <v>254</v>
      </c>
      <c r="L16" s="1328"/>
      <c r="M16" s="1329"/>
      <c r="N16" s="1329"/>
      <c r="O16" s="1329"/>
      <c r="P16" s="1474"/>
      <c r="Q16" s="1079"/>
      <c r="R16" s="871"/>
      <c r="S16" s="964" t="s">
        <v>232</v>
      </c>
      <c r="T16" s="965"/>
      <c r="U16" s="419" t="s">
        <v>283</v>
      </c>
      <c r="V16" s="420"/>
      <c r="W16" s="420"/>
      <c r="X16" s="420"/>
      <c r="Y16" s="933"/>
      <c r="Z16" s="21" t="s">
        <v>284</v>
      </c>
      <c r="AA16" s="1328"/>
      <c r="AB16" s="1329"/>
      <c r="AC16" s="1329"/>
      <c r="AD16" s="1329"/>
      <c r="AE16" s="1334"/>
      <c r="AF16" s="951"/>
      <c r="AG16" s="419" t="s">
        <v>552</v>
      </c>
      <c r="AH16" s="420"/>
      <c r="AI16" s="420"/>
      <c r="AJ16" s="420"/>
      <c r="AK16" s="1328"/>
      <c r="AL16" s="1329"/>
      <c r="AM16" s="1329"/>
      <c r="AN16" s="1329"/>
      <c r="AO16" s="1474"/>
      <c r="AP16" s="376"/>
      <c r="AQ16" s="377"/>
      <c r="AR16" s="377"/>
      <c r="AS16" s="377"/>
      <c r="AT16" s="378"/>
      <c r="AU16" s="1566"/>
      <c r="AV16" s="1567"/>
      <c r="AW16" s="846" t="s">
        <v>275</v>
      </c>
      <c r="AX16" s="847"/>
      <c r="AY16" s="847"/>
      <c r="AZ16" s="1557"/>
      <c r="BA16" s="850"/>
      <c r="BB16" s="850"/>
      <c r="BC16" s="850"/>
      <c r="BD16" s="1558"/>
      <c r="BE16" s="1553"/>
      <c r="BF16" s="458"/>
      <c r="BG16" s="458"/>
      <c r="BH16" s="458"/>
      <c r="BI16" s="459"/>
      <c r="BJ16" s="918"/>
      <c r="BK16" s="598"/>
      <c r="BL16" s="598"/>
      <c r="BM16" s="598"/>
      <c r="BN16" s="646"/>
      <c r="BO16" s="376"/>
      <c r="BP16" s="377"/>
      <c r="BQ16" s="377"/>
      <c r="BR16" s="377"/>
      <c r="BS16" s="378"/>
      <c r="BT16" s="376"/>
      <c r="BU16" s="377"/>
      <c r="BV16" s="377"/>
      <c r="BW16" s="377"/>
      <c r="BX16" s="416"/>
    </row>
    <row r="17" spans="1:76" ht="10.5" customHeight="1" x14ac:dyDescent="0.15">
      <c r="A17" s="2">
        <v>12</v>
      </c>
      <c r="B17" s="1530"/>
      <c r="C17" s="871"/>
      <c r="D17" s="943"/>
      <c r="E17" s="871"/>
      <c r="F17" s="893" t="s">
        <v>282</v>
      </c>
      <c r="G17" s="894"/>
      <c r="H17" s="894"/>
      <c r="I17" s="894"/>
      <c r="J17" s="895"/>
      <c r="K17" s="20" t="s">
        <v>254</v>
      </c>
      <c r="L17" s="1328"/>
      <c r="M17" s="1329"/>
      <c r="N17" s="1329"/>
      <c r="O17" s="1329"/>
      <c r="P17" s="1474"/>
      <c r="Q17" s="1079"/>
      <c r="R17" s="871"/>
      <c r="S17" s="964"/>
      <c r="T17" s="965"/>
      <c r="U17" s="419" t="s">
        <v>287</v>
      </c>
      <c r="V17" s="420"/>
      <c r="W17" s="420"/>
      <c r="X17" s="420"/>
      <c r="Y17" s="933"/>
      <c r="Z17" s="20" t="s">
        <v>254</v>
      </c>
      <c r="AA17" s="1328"/>
      <c r="AB17" s="1329"/>
      <c r="AC17" s="1329"/>
      <c r="AD17" s="1329"/>
      <c r="AE17" s="1334"/>
      <c r="AF17" s="952"/>
      <c r="AG17" s="611" t="s">
        <v>285</v>
      </c>
      <c r="AH17" s="612"/>
      <c r="AI17" s="612"/>
      <c r="AJ17" s="612"/>
      <c r="AK17" s="1331"/>
      <c r="AL17" s="1332"/>
      <c r="AM17" s="1332"/>
      <c r="AN17" s="1332"/>
      <c r="AO17" s="1489"/>
      <c r="AP17" s="457"/>
      <c r="AQ17" s="458"/>
      <c r="AR17" s="458"/>
      <c r="AS17" s="458"/>
      <c r="AT17" s="845"/>
      <c r="AU17" s="583" t="s">
        <v>279</v>
      </c>
      <c r="AV17" s="852"/>
      <c r="AW17" s="766" t="s">
        <v>280</v>
      </c>
      <c r="AX17" s="593"/>
      <c r="AY17" s="593"/>
      <c r="AZ17" s="358"/>
      <c r="BA17" s="359"/>
      <c r="BB17" s="359"/>
      <c r="BC17" s="359"/>
      <c r="BD17" s="368"/>
      <c r="BE17" s="358"/>
      <c r="BF17" s="359"/>
      <c r="BG17" s="359"/>
      <c r="BH17" s="359"/>
      <c r="BI17" s="360"/>
      <c r="BJ17" s="918"/>
      <c r="BK17" s="598"/>
      <c r="BL17" s="598"/>
      <c r="BM17" s="598"/>
      <c r="BN17" s="646"/>
      <c r="BO17" s="376"/>
      <c r="BP17" s="377"/>
      <c r="BQ17" s="377"/>
      <c r="BR17" s="377"/>
      <c r="BS17" s="378"/>
      <c r="BT17" s="376"/>
      <c r="BU17" s="377"/>
      <c r="BV17" s="377"/>
      <c r="BW17" s="377"/>
      <c r="BX17" s="416"/>
    </row>
    <row r="18" spans="1:76" ht="10.5" customHeight="1" x14ac:dyDescent="0.15">
      <c r="A18" s="2">
        <v>13</v>
      </c>
      <c r="B18" s="1530"/>
      <c r="C18" s="871"/>
      <c r="D18" s="943"/>
      <c r="E18" s="871"/>
      <c r="F18" s="893" t="s">
        <v>241</v>
      </c>
      <c r="G18" s="894"/>
      <c r="H18" s="894"/>
      <c r="I18" s="894"/>
      <c r="J18" s="895"/>
      <c r="K18" s="20" t="s">
        <v>254</v>
      </c>
      <c r="L18" s="1328"/>
      <c r="M18" s="1329"/>
      <c r="N18" s="1329"/>
      <c r="O18" s="1329"/>
      <c r="P18" s="1474"/>
      <c r="Q18" s="1080"/>
      <c r="R18" s="873"/>
      <c r="S18" s="966"/>
      <c r="T18" s="967"/>
      <c r="U18" s="611" t="s">
        <v>292</v>
      </c>
      <c r="V18" s="612"/>
      <c r="W18" s="612"/>
      <c r="X18" s="612"/>
      <c r="Y18" s="972"/>
      <c r="Z18" s="161" t="s">
        <v>254</v>
      </c>
      <c r="AA18" s="1331"/>
      <c r="AB18" s="1332"/>
      <c r="AC18" s="1332"/>
      <c r="AD18" s="1332"/>
      <c r="AE18" s="1355"/>
      <c r="AF18" s="950" t="s">
        <v>288</v>
      </c>
      <c r="AG18" s="968" t="s">
        <v>289</v>
      </c>
      <c r="AH18" s="495"/>
      <c r="AI18" s="495"/>
      <c r="AJ18" s="495"/>
      <c r="AK18" s="1314"/>
      <c r="AL18" s="1315"/>
      <c r="AM18" s="1315"/>
      <c r="AN18" s="1315"/>
      <c r="AO18" s="1472"/>
      <c r="AP18" s="358"/>
      <c r="AQ18" s="359"/>
      <c r="AR18" s="359"/>
      <c r="AS18" s="359"/>
      <c r="AT18" s="368"/>
      <c r="AU18" s="584"/>
      <c r="AV18" s="853"/>
      <c r="AW18" s="419" t="s">
        <v>281</v>
      </c>
      <c r="AX18" s="420"/>
      <c r="AY18" s="420"/>
      <c r="AZ18" s="376"/>
      <c r="BA18" s="377"/>
      <c r="BB18" s="377"/>
      <c r="BC18" s="377"/>
      <c r="BD18" s="378"/>
      <c r="BE18" s="376"/>
      <c r="BF18" s="377"/>
      <c r="BG18" s="377"/>
      <c r="BH18" s="377"/>
      <c r="BI18" s="416"/>
      <c r="BJ18" s="918"/>
      <c r="BK18" s="598"/>
      <c r="BL18" s="598"/>
      <c r="BM18" s="598"/>
      <c r="BN18" s="646"/>
      <c r="BO18" s="376"/>
      <c r="BP18" s="377"/>
      <c r="BQ18" s="377"/>
      <c r="BR18" s="377"/>
      <c r="BS18" s="378"/>
      <c r="BT18" s="376"/>
      <c r="BU18" s="377"/>
      <c r="BV18" s="377"/>
      <c r="BW18" s="377"/>
      <c r="BX18" s="416"/>
    </row>
    <row r="19" spans="1:76" ht="10.5" customHeight="1" x14ac:dyDescent="0.15">
      <c r="A19" s="2">
        <v>14</v>
      </c>
      <c r="B19" s="1530"/>
      <c r="C19" s="871"/>
      <c r="D19" s="943"/>
      <c r="E19" s="871"/>
      <c r="F19" s="893" t="s">
        <v>291</v>
      </c>
      <c r="G19" s="894"/>
      <c r="H19" s="894"/>
      <c r="I19" s="894"/>
      <c r="J19" s="895"/>
      <c r="K19" s="20" t="s">
        <v>254</v>
      </c>
      <c r="L19" s="1328"/>
      <c r="M19" s="1329"/>
      <c r="N19" s="1329"/>
      <c r="O19" s="1329"/>
      <c r="P19" s="1474"/>
      <c r="Q19" s="1079" t="s">
        <v>294</v>
      </c>
      <c r="R19" s="871"/>
      <c r="S19" s="992" t="s">
        <v>295</v>
      </c>
      <c r="T19" s="993"/>
      <c r="U19" s="766" t="s">
        <v>296</v>
      </c>
      <c r="V19" s="593"/>
      <c r="W19" s="593"/>
      <c r="X19" s="593"/>
      <c r="Y19" s="993"/>
      <c r="Z19" s="158" t="s">
        <v>230</v>
      </c>
      <c r="AA19" s="1314"/>
      <c r="AB19" s="1315"/>
      <c r="AC19" s="1315"/>
      <c r="AD19" s="1315"/>
      <c r="AE19" s="1341"/>
      <c r="AF19" s="951"/>
      <c r="AG19" s="795" t="s">
        <v>553</v>
      </c>
      <c r="AH19" s="796"/>
      <c r="AI19" s="796"/>
      <c r="AJ19" s="796"/>
      <c r="AK19" s="1554"/>
      <c r="AL19" s="591"/>
      <c r="AM19" s="591"/>
      <c r="AN19" s="591"/>
      <c r="AO19" s="1555"/>
      <c r="AP19" s="1556"/>
      <c r="AQ19" s="377"/>
      <c r="AR19" s="377"/>
      <c r="AS19" s="377"/>
      <c r="AT19" s="378"/>
      <c r="AU19" s="552"/>
      <c r="AV19" s="854"/>
      <c r="AW19" s="969" t="s">
        <v>286</v>
      </c>
      <c r="AX19" s="970"/>
      <c r="AY19" s="970"/>
      <c r="AZ19" s="1557"/>
      <c r="BA19" s="850"/>
      <c r="BB19" s="850"/>
      <c r="BC19" s="850"/>
      <c r="BD19" s="1558"/>
      <c r="BE19" s="1553"/>
      <c r="BF19" s="458"/>
      <c r="BG19" s="458"/>
      <c r="BH19" s="458"/>
      <c r="BI19" s="459"/>
      <c r="BJ19" s="956"/>
      <c r="BK19" s="957"/>
      <c r="BL19" s="957"/>
      <c r="BM19" s="957"/>
      <c r="BN19" s="958"/>
      <c r="BO19" s="376"/>
      <c r="BP19" s="377"/>
      <c r="BQ19" s="377"/>
      <c r="BR19" s="377"/>
      <c r="BS19" s="378"/>
      <c r="BT19" s="376"/>
      <c r="BU19" s="377"/>
      <c r="BV19" s="377"/>
      <c r="BW19" s="377"/>
      <c r="BX19" s="416"/>
    </row>
    <row r="20" spans="1:76" ht="10.5" customHeight="1" x14ac:dyDescent="0.15">
      <c r="A20" s="2">
        <v>15</v>
      </c>
      <c r="B20" s="1530"/>
      <c r="C20" s="871"/>
      <c r="D20" s="943"/>
      <c r="E20" s="871"/>
      <c r="F20" s="893" t="s">
        <v>241</v>
      </c>
      <c r="G20" s="894"/>
      <c r="H20" s="894"/>
      <c r="I20" s="894"/>
      <c r="J20" s="895"/>
      <c r="K20" s="20" t="s">
        <v>254</v>
      </c>
      <c r="L20" s="1328"/>
      <c r="M20" s="1329"/>
      <c r="N20" s="1329"/>
      <c r="O20" s="1329"/>
      <c r="P20" s="1474"/>
      <c r="Q20" s="1079"/>
      <c r="R20" s="871"/>
      <c r="S20" s="419"/>
      <c r="T20" s="933"/>
      <c r="U20" s="419" t="s">
        <v>300</v>
      </c>
      <c r="V20" s="420"/>
      <c r="W20" s="420"/>
      <c r="X20" s="420"/>
      <c r="Y20" s="933"/>
      <c r="Z20" s="159" t="s">
        <v>301</v>
      </c>
      <c r="AA20" s="1328"/>
      <c r="AB20" s="1329"/>
      <c r="AC20" s="1329"/>
      <c r="AD20" s="1329"/>
      <c r="AE20" s="1334"/>
      <c r="AF20" s="952"/>
      <c r="AG20" s="611" t="s">
        <v>297</v>
      </c>
      <c r="AH20" s="612"/>
      <c r="AI20" s="612"/>
      <c r="AJ20" s="612"/>
      <c r="AK20" s="1557"/>
      <c r="AL20" s="850"/>
      <c r="AM20" s="850"/>
      <c r="AN20" s="850"/>
      <c r="AO20" s="1558"/>
      <c r="AP20" s="1553"/>
      <c r="AQ20" s="458"/>
      <c r="AR20" s="458"/>
      <c r="AS20" s="458"/>
      <c r="AT20" s="845"/>
      <c r="AU20" s="1570" t="s">
        <v>290</v>
      </c>
      <c r="AV20" s="959"/>
      <c r="AW20" s="959"/>
      <c r="AX20" s="959"/>
      <c r="AY20" s="959"/>
      <c r="AZ20" s="1544"/>
      <c r="BA20" s="900"/>
      <c r="BB20" s="900"/>
      <c r="BC20" s="900"/>
      <c r="BD20" s="1545"/>
      <c r="BE20" s="1571"/>
      <c r="BF20" s="839"/>
      <c r="BG20" s="839"/>
      <c r="BH20" s="839"/>
      <c r="BI20" s="840"/>
      <c r="BJ20" s="918"/>
      <c r="BK20" s="598"/>
      <c r="BL20" s="598"/>
      <c r="BM20" s="598"/>
      <c r="BN20" s="646"/>
      <c r="BO20" s="376"/>
      <c r="BP20" s="377"/>
      <c r="BQ20" s="377"/>
      <c r="BR20" s="377"/>
      <c r="BS20" s="378"/>
      <c r="BT20" s="376"/>
      <c r="BU20" s="377"/>
      <c r="BV20" s="377"/>
      <c r="BW20" s="377"/>
      <c r="BX20" s="416"/>
    </row>
    <row r="21" spans="1:76" ht="10.5" customHeight="1" x14ac:dyDescent="0.15">
      <c r="A21" s="2">
        <v>16</v>
      </c>
      <c r="B21" s="1530"/>
      <c r="C21" s="871"/>
      <c r="D21" s="943"/>
      <c r="E21" s="871"/>
      <c r="F21" s="893" t="s">
        <v>554</v>
      </c>
      <c r="G21" s="894"/>
      <c r="H21" s="894"/>
      <c r="I21" s="894"/>
      <c r="J21" s="895"/>
      <c r="K21" s="20" t="s">
        <v>254</v>
      </c>
      <c r="L21" s="1328"/>
      <c r="M21" s="1329"/>
      <c r="N21" s="1329"/>
      <c r="O21" s="1329"/>
      <c r="P21" s="1474"/>
      <c r="Q21" s="1080"/>
      <c r="R21" s="873"/>
      <c r="S21" s="611"/>
      <c r="T21" s="972"/>
      <c r="U21" s="611" t="s">
        <v>304</v>
      </c>
      <c r="V21" s="612"/>
      <c r="W21" s="612"/>
      <c r="X21" s="612"/>
      <c r="Y21" s="972"/>
      <c r="Z21" s="161" t="s">
        <v>230</v>
      </c>
      <c r="AA21" s="1331"/>
      <c r="AB21" s="1332"/>
      <c r="AC21" s="1332"/>
      <c r="AD21" s="1332"/>
      <c r="AE21" s="1355"/>
      <c r="AF21" s="941" t="s">
        <v>302</v>
      </c>
      <c r="AG21" s="766" t="s">
        <v>303</v>
      </c>
      <c r="AH21" s="593"/>
      <c r="AI21" s="593"/>
      <c r="AJ21" s="593"/>
      <c r="AK21" s="1314"/>
      <c r="AL21" s="1315"/>
      <c r="AM21" s="1315"/>
      <c r="AN21" s="1315"/>
      <c r="AO21" s="1472"/>
      <c r="AP21" s="358"/>
      <c r="AQ21" s="359"/>
      <c r="AR21" s="359"/>
      <c r="AS21" s="359"/>
      <c r="AT21" s="368"/>
      <c r="AU21" s="1573" t="s">
        <v>293</v>
      </c>
      <c r="AV21" s="897"/>
      <c r="AW21" s="897"/>
      <c r="AX21" s="897"/>
      <c r="AY21" s="1024"/>
      <c r="AZ21" s="838"/>
      <c r="BA21" s="839"/>
      <c r="BB21" s="839"/>
      <c r="BC21" s="839"/>
      <c r="BD21" s="855"/>
      <c r="BE21" s="838"/>
      <c r="BF21" s="839"/>
      <c r="BG21" s="839"/>
      <c r="BH21" s="839"/>
      <c r="BI21" s="840"/>
      <c r="BJ21" s="956"/>
      <c r="BK21" s="957"/>
      <c r="BL21" s="957"/>
      <c r="BM21" s="957"/>
      <c r="BN21" s="958"/>
      <c r="BO21" s="376"/>
      <c r="BP21" s="377"/>
      <c r="BQ21" s="377"/>
      <c r="BR21" s="377"/>
      <c r="BS21" s="378"/>
      <c r="BT21" s="376"/>
      <c r="BU21" s="377"/>
      <c r="BV21" s="377"/>
      <c r="BW21" s="377"/>
      <c r="BX21" s="416"/>
    </row>
    <row r="22" spans="1:76" ht="10.5" customHeight="1" x14ac:dyDescent="0.15">
      <c r="A22" s="2">
        <v>17</v>
      </c>
      <c r="B22" s="1530"/>
      <c r="C22" s="871"/>
      <c r="D22" s="943"/>
      <c r="E22" s="871"/>
      <c r="F22" s="893" t="s">
        <v>241</v>
      </c>
      <c r="G22" s="894"/>
      <c r="H22" s="894"/>
      <c r="I22" s="894"/>
      <c r="J22" s="895"/>
      <c r="K22" s="20" t="s">
        <v>254</v>
      </c>
      <c r="L22" s="1328"/>
      <c r="M22" s="1329"/>
      <c r="N22" s="1329"/>
      <c r="O22" s="1329"/>
      <c r="P22" s="1474"/>
      <c r="Q22" s="1079" t="s">
        <v>306</v>
      </c>
      <c r="R22" s="919"/>
      <c r="S22" s="968" t="s">
        <v>307</v>
      </c>
      <c r="T22" s="495"/>
      <c r="U22" s="495"/>
      <c r="V22" s="495"/>
      <c r="W22" s="495"/>
      <c r="X22" s="495"/>
      <c r="Y22" s="976"/>
      <c r="Z22" s="22" t="s">
        <v>230</v>
      </c>
      <c r="AA22" s="1314"/>
      <c r="AB22" s="1315"/>
      <c r="AC22" s="1315"/>
      <c r="AD22" s="1315"/>
      <c r="AE22" s="1341"/>
      <c r="AF22" s="871"/>
      <c r="AG22" s="1572" t="s">
        <v>555</v>
      </c>
      <c r="AH22" s="1242"/>
      <c r="AI22" s="1242"/>
      <c r="AJ22" s="1242"/>
      <c r="AK22" s="1328"/>
      <c r="AL22" s="1329"/>
      <c r="AM22" s="1329"/>
      <c r="AN22" s="1329"/>
      <c r="AO22" s="1474"/>
      <c r="AP22" s="376"/>
      <c r="AQ22" s="377"/>
      <c r="AR22" s="377"/>
      <c r="AS22" s="377"/>
      <c r="AT22" s="378"/>
      <c r="AU22" s="1574" t="s">
        <v>298</v>
      </c>
      <c r="AV22" s="984"/>
      <c r="AW22" s="1577" t="s">
        <v>299</v>
      </c>
      <c r="AX22" s="1578"/>
      <c r="AY22" s="1578"/>
      <c r="AZ22" s="1579"/>
      <c r="BA22" s="787"/>
      <c r="BB22" s="787"/>
      <c r="BC22" s="787"/>
      <c r="BD22" s="1580"/>
      <c r="BE22" s="1524"/>
      <c r="BF22" s="359"/>
      <c r="BG22" s="359"/>
      <c r="BH22" s="359"/>
      <c r="BI22" s="360"/>
      <c r="BJ22" s="918"/>
      <c r="BK22" s="598"/>
      <c r="BL22" s="598"/>
      <c r="BM22" s="598"/>
      <c r="BN22" s="646"/>
      <c r="BO22" s="376"/>
      <c r="BP22" s="377"/>
      <c r="BQ22" s="377"/>
      <c r="BR22" s="377"/>
      <c r="BS22" s="378"/>
      <c r="BT22" s="376"/>
      <c r="BU22" s="377"/>
      <c r="BV22" s="377"/>
      <c r="BW22" s="377"/>
      <c r="BX22" s="416"/>
    </row>
    <row r="23" spans="1:76" ht="10.5" customHeight="1" x14ac:dyDescent="0.15">
      <c r="A23" s="2">
        <v>18</v>
      </c>
      <c r="B23" s="1530"/>
      <c r="C23" s="871"/>
      <c r="D23" s="943"/>
      <c r="E23" s="871"/>
      <c r="F23" s="893" t="s">
        <v>305</v>
      </c>
      <c r="G23" s="894"/>
      <c r="H23" s="894"/>
      <c r="I23" s="894"/>
      <c r="J23" s="895"/>
      <c r="K23" s="20" t="s">
        <v>254</v>
      </c>
      <c r="L23" s="1328"/>
      <c r="M23" s="1329"/>
      <c r="N23" s="1329"/>
      <c r="O23" s="1329"/>
      <c r="P23" s="1474"/>
      <c r="Q23" s="1080"/>
      <c r="R23" s="920"/>
      <c r="S23" s="611" t="s">
        <v>466</v>
      </c>
      <c r="T23" s="612"/>
      <c r="U23" s="612"/>
      <c r="V23" s="612"/>
      <c r="W23" s="612"/>
      <c r="X23" s="612"/>
      <c r="Y23" s="972"/>
      <c r="Z23" s="24" t="s">
        <v>80</v>
      </c>
      <c r="AA23" s="1331"/>
      <c r="AB23" s="1332"/>
      <c r="AC23" s="1332"/>
      <c r="AD23" s="1332"/>
      <c r="AE23" s="1355"/>
      <c r="AF23" s="871"/>
      <c r="AG23" s="419" t="s">
        <v>556</v>
      </c>
      <c r="AH23" s="420"/>
      <c r="AI23" s="420"/>
      <c r="AJ23" s="420"/>
      <c r="AK23" s="1554"/>
      <c r="AL23" s="591"/>
      <c r="AM23" s="591"/>
      <c r="AN23" s="591"/>
      <c r="AO23" s="1555"/>
      <c r="AP23" s="1556"/>
      <c r="AQ23" s="377"/>
      <c r="AR23" s="377"/>
      <c r="AS23" s="377"/>
      <c r="AT23" s="378"/>
      <c r="AU23" s="1575"/>
      <c r="AV23" s="986"/>
      <c r="AW23" s="419" t="s">
        <v>101</v>
      </c>
      <c r="AX23" s="420"/>
      <c r="AY23" s="420"/>
      <c r="AZ23" s="1554"/>
      <c r="BA23" s="591"/>
      <c r="BB23" s="591"/>
      <c r="BC23" s="591"/>
      <c r="BD23" s="1555"/>
      <c r="BE23" s="1556"/>
      <c r="BF23" s="377"/>
      <c r="BG23" s="377"/>
      <c r="BH23" s="377"/>
      <c r="BI23" s="416"/>
      <c r="BJ23" s="918"/>
      <c r="BK23" s="598"/>
      <c r="BL23" s="598"/>
      <c r="BM23" s="598"/>
      <c r="BN23" s="646"/>
      <c r="BO23" s="376"/>
      <c r="BP23" s="377"/>
      <c r="BQ23" s="377"/>
      <c r="BR23" s="377"/>
      <c r="BS23" s="378"/>
      <c r="BT23" s="376"/>
      <c r="BU23" s="377"/>
      <c r="BV23" s="377"/>
      <c r="BW23" s="377"/>
      <c r="BX23" s="416"/>
    </row>
    <row r="24" spans="1:76" ht="10.5" customHeight="1" x14ac:dyDescent="0.15">
      <c r="A24" s="2">
        <v>19</v>
      </c>
      <c r="B24" s="1530"/>
      <c r="C24" s="871"/>
      <c r="D24" s="944"/>
      <c r="E24" s="945"/>
      <c r="F24" s="893" t="s">
        <v>241</v>
      </c>
      <c r="G24" s="894"/>
      <c r="H24" s="894"/>
      <c r="I24" s="894"/>
      <c r="J24" s="895"/>
      <c r="K24" s="159" t="s">
        <v>254</v>
      </c>
      <c r="L24" s="1328"/>
      <c r="M24" s="1329"/>
      <c r="N24" s="1329"/>
      <c r="O24" s="1329"/>
      <c r="P24" s="1474"/>
      <c r="Q24" s="1079" t="s">
        <v>312</v>
      </c>
      <c r="R24" s="871"/>
      <c r="S24" s="1008" t="s">
        <v>229</v>
      </c>
      <c r="T24" s="1009"/>
      <c r="U24" s="878" t="s">
        <v>313</v>
      </c>
      <c r="V24" s="879"/>
      <c r="W24" s="879"/>
      <c r="X24" s="879"/>
      <c r="Y24" s="880"/>
      <c r="Z24" s="158" t="s">
        <v>270</v>
      </c>
      <c r="AA24" s="1314"/>
      <c r="AB24" s="1315"/>
      <c r="AC24" s="1315"/>
      <c r="AD24" s="1315"/>
      <c r="AE24" s="1341"/>
      <c r="AF24" s="873"/>
      <c r="AG24" s="611" t="s">
        <v>308</v>
      </c>
      <c r="AH24" s="612"/>
      <c r="AI24" s="612"/>
      <c r="AJ24" s="612"/>
      <c r="AK24" s="1331"/>
      <c r="AL24" s="1332"/>
      <c r="AM24" s="1332"/>
      <c r="AN24" s="1332"/>
      <c r="AO24" s="1489"/>
      <c r="AP24" s="457"/>
      <c r="AQ24" s="458"/>
      <c r="AR24" s="458"/>
      <c r="AS24" s="458"/>
      <c r="AT24" s="845"/>
      <c r="AU24" s="1576"/>
      <c r="AV24" s="988"/>
      <c r="AW24" s="973" t="s">
        <v>71</v>
      </c>
      <c r="AX24" s="974"/>
      <c r="AY24" s="974"/>
      <c r="AZ24" s="1557"/>
      <c r="BA24" s="850"/>
      <c r="BB24" s="850"/>
      <c r="BC24" s="850"/>
      <c r="BD24" s="1558"/>
      <c r="BE24" s="1553"/>
      <c r="BF24" s="458"/>
      <c r="BG24" s="458"/>
      <c r="BH24" s="458"/>
      <c r="BI24" s="459"/>
      <c r="BJ24" s="549"/>
      <c r="BK24" s="550"/>
      <c r="BL24" s="550"/>
      <c r="BM24" s="550"/>
      <c r="BN24" s="551"/>
      <c r="BO24" s="376"/>
      <c r="BP24" s="377"/>
      <c r="BQ24" s="377"/>
      <c r="BR24" s="377"/>
      <c r="BS24" s="378"/>
      <c r="BT24" s="376"/>
      <c r="BU24" s="377"/>
      <c r="BV24" s="377"/>
      <c r="BW24" s="377"/>
      <c r="BX24" s="416"/>
    </row>
    <row r="25" spans="1:76" ht="10.5" customHeight="1" x14ac:dyDescent="0.15">
      <c r="A25" s="2">
        <v>20</v>
      </c>
      <c r="B25" s="1530"/>
      <c r="C25" s="871"/>
      <c r="D25" s="994" t="s">
        <v>232</v>
      </c>
      <c r="E25" s="995"/>
      <c r="F25" s="893" t="s">
        <v>264</v>
      </c>
      <c r="G25" s="894"/>
      <c r="H25" s="894"/>
      <c r="I25" s="894"/>
      <c r="J25" s="895"/>
      <c r="K25" s="23" t="s">
        <v>234</v>
      </c>
      <c r="L25" s="1328"/>
      <c r="M25" s="1329"/>
      <c r="N25" s="1329"/>
      <c r="O25" s="1329"/>
      <c r="P25" s="1474"/>
      <c r="Q25" s="1079"/>
      <c r="R25" s="871"/>
      <c r="S25" s="964"/>
      <c r="T25" s="965"/>
      <c r="U25" s="893" t="s">
        <v>315</v>
      </c>
      <c r="V25" s="894"/>
      <c r="W25" s="894"/>
      <c r="X25" s="894"/>
      <c r="Y25" s="895"/>
      <c r="Z25" s="20" t="s">
        <v>254</v>
      </c>
      <c r="AA25" s="1328"/>
      <c r="AB25" s="1329"/>
      <c r="AC25" s="1329"/>
      <c r="AD25" s="1329"/>
      <c r="AE25" s="1334"/>
      <c r="AF25" s="997" t="s">
        <v>310</v>
      </c>
      <c r="AG25" s="766" t="s">
        <v>233</v>
      </c>
      <c r="AH25" s="593"/>
      <c r="AI25" s="593"/>
      <c r="AJ25" s="593"/>
      <c r="AK25" s="1314"/>
      <c r="AL25" s="1315"/>
      <c r="AM25" s="1315"/>
      <c r="AN25" s="1315"/>
      <c r="AO25" s="1472"/>
      <c r="AP25" s="358"/>
      <c r="AQ25" s="359"/>
      <c r="AR25" s="359"/>
      <c r="AS25" s="359"/>
      <c r="AT25" s="368"/>
      <c r="AU25" s="499" t="s">
        <v>557</v>
      </c>
      <c r="AV25" s="640"/>
      <c r="AW25" s="640"/>
      <c r="AX25" s="640"/>
      <c r="AY25" s="640"/>
      <c r="AZ25" s="1544"/>
      <c r="BA25" s="900"/>
      <c r="BB25" s="900"/>
      <c r="BC25" s="900"/>
      <c r="BD25" s="1545"/>
      <c r="BE25" s="1571"/>
      <c r="BF25" s="839"/>
      <c r="BG25" s="839"/>
      <c r="BH25" s="839"/>
      <c r="BI25" s="840"/>
      <c r="BJ25" s="918"/>
      <c r="BK25" s="598"/>
      <c r="BL25" s="598"/>
      <c r="BM25" s="598"/>
      <c r="BN25" s="646"/>
      <c r="BO25" s="376"/>
      <c r="BP25" s="377"/>
      <c r="BQ25" s="377"/>
      <c r="BR25" s="377"/>
      <c r="BS25" s="378"/>
      <c r="BT25" s="376"/>
      <c r="BU25" s="377"/>
      <c r="BV25" s="377"/>
      <c r="BW25" s="377"/>
      <c r="BX25" s="416"/>
    </row>
    <row r="26" spans="1:76" ht="10.5" customHeight="1" x14ac:dyDescent="0.15">
      <c r="A26" s="2">
        <v>21</v>
      </c>
      <c r="B26" s="1530"/>
      <c r="C26" s="871"/>
      <c r="D26" s="943"/>
      <c r="E26" s="871"/>
      <c r="F26" s="893" t="s">
        <v>271</v>
      </c>
      <c r="G26" s="894"/>
      <c r="H26" s="894"/>
      <c r="I26" s="894"/>
      <c r="J26" s="895"/>
      <c r="K26" s="159" t="s">
        <v>254</v>
      </c>
      <c r="L26" s="1328"/>
      <c r="M26" s="1329"/>
      <c r="N26" s="1329"/>
      <c r="O26" s="1329"/>
      <c r="P26" s="1474"/>
      <c r="Q26" s="1079"/>
      <c r="R26" s="871"/>
      <c r="S26" s="964"/>
      <c r="T26" s="965"/>
      <c r="U26" s="893" t="s">
        <v>317</v>
      </c>
      <c r="V26" s="894"/>
      <c r="W26" s="894"/>
      <c r="X26" s="894"/>
      <c r="Y26" s="895"/>
      <c r="Z26" s="20" t="s">
        <v>254</v>
      </c>
      <c r="AA26" s="1328"/>
      <c r="AB26" s="1329"/>
      <c r="AC26" s="1329"/>
      <c r="AD26" s="1329"/>
      <c r="AE26" s="1334"/>
      <c r="AF26" s="919"/>
      <c r="AG26" s="419" t="s">
        <v>242</v>
      </c>
      <c r="AH26" s="420"/>
      <c r="AI26" s="420"/>
      <c r="AJ26" s="420"/>
      <c r="AK26" s="1328"/>
      <c r="AL26" s="1329"/>
      <c r="AM26" s="1329"/>
      <c r="AN26" s="1329"/>
      <c r="AO26" s="1474"/>
      <c r="AP26" s="376"/>
      <c r="AQ26" s="377"/>
      <c r="AR26" s="377"/>
      <c r="AS26" s="377"/>
      <c r="AT26" s="378"/>
      <c r="AU26" s="1587" t="s">
        <v>311</v>
      </c>
      <c r="AV26" s="1588"/>
      <c r="AW26" s="1588"/>
      <c r="AX26" s="1588"/>
      <c r="AY26" s="1589"/>
      <c r="AZ26" s="1590"/>
      <c r="BA26" s="1591"/>
      <c r="BB26" s="1591"/>
      <c r="BC26" s="1591"/>
      <c r="BD26" s="1592"/>
      <c r="BE26" s="1524"/>
      <c r="BF26" s="359"/>
      <c r="BG26" s="359"/>
      <c r="BH26" s="359"/>
      <c r="BI26" s="360"/>
      <c r="BJ26" s="918"/>
      <c r="BK26" s="598"/>
      <c r="BL26" s="598"/>
      <c r="BM26" s="598"/>
      <c r="BN26" s="646"/>
      <c r="BO26" s="376"/>
      <c r="BP26" s="377"/>
      <c r="BQ26" s="377"/>
      <c r="BR26" s="377"/>
      <c r="BS26" s="378"/>
      <c r="BT26" s="376"/>
      <c r="BU26" s="377"/>
      <c r="BV26" s="377"/>
      <c r="BW26" s="377"/>
      <c r="BX26" s="416"/>
    </row>
    <row r="27" spans="1:76" ht="10.5" customHeight="1" x14ac:dyDescent="0.15">
      <c r="A27" s="2">
        <v>22</v>
      </c>
      <c r="B27" s="1530"/>
      <c r="C27" s="871"/>
      <c r="D27" s="943"/>
      <c r="E27" s="871"/>
      <c r="F27" s="893" t="s">
        <v>274</v>
      </c>
      <c r="G27" s="894"/>
      <c r="H27" s="894"/>
      <c r="I27" s="894"/>
      <c r="J27" s="895"/>
      <c r="K27" s="159" t="s">
        <v>254</v>
      </c>
      <c r="L27" s="1328"/>
      <c r="M27" s="1329"/>
      <c r="N27" s="1329"/>
      <c r="O27" s="1329"/>
      <c r="P27" s="1474"/>
      <c r="Q27" s="1079"/>
      <c r="R27" s="871"/>
      <c r="S27" s="964"/>
      <c r="T27" s="965"/>
      <c r="U27" s="893" t="s">
        <v>320</v>
      </c>
      <c r="V27" s="894"/>
      <c r="W27" s="894"/>
      <c r="X27" s="894"/>
      <c r="Y27" s="895"/>
      <c r="Z27" s="20" t="s">
        <v>301</v>
      </c>
      <c r="AA27" s="1328"/>
      <c r="AB27" s="1329"/>
      <c r="AC27" s="1329"/>
      <c r="AD27" s="1329"/>
      <c r="AE27" s="1334"/>
      <c r="AF27" s="920"/>
      <c r="AG27" s="500" t="s">
        <v>316</v>
      </c>
      <c r="AH27" s="501"/>
      <c r="AI27" s="501"/>
      <c r="AJ27" s="501"/>
      <c r="AK27" s="1331"/>
      <c r="AL27" s="1332"/>
      <c r="AM27" s="1332"/>
      <c r="AN27" s="1332"/>
      <c r="AO27" s="1489"/>
      <c r="AP27" s="457"/>
      <c r="AQ27" s="458"/>
      <c r="AR27" s="458"/>
      <c r="AS27" s="458"/>
      <c r="AT27" s="845"/>
      <c r="AU27" s="174"/>
      <c r="AV27" s="1593" t="s">
        <v>314</v>
      </c>
      <c r="AW27" s="1593"/>
      <c r="AX27" s="1593"/>
      <c r="AY27" s="1594"/>
      <c r="AZ27" s="1595"/>
      <c r="BA27" s="1596"/>
      <c r="BB27" s="1596"/>
      <c r="BC27" s="1596"/>
      <c r="BD27" s="1597"/>
      <c r="BE27" s="1553"/>
      <c r="BF27" s="458"/>
      <c r="BG27" s="458"/>
      <c r="BH27" s="458"/>
      <c r="BI27" s="459"/>
      <c r="BJ27" s="918"/>
      <c r="BK27" s="598"/>
      <c r="BL27" s="598"/>
      <c r="BM27" s="598"/>
      <c r="BN27" s="646"/>
      <c r="BO27" s="376"/>
      <c r="BP27" s="377"/>
      <c r="BQ27" s="377"/>
      <c r="BR27" s="377"/>
      <c r="BS27" s="378"/>
      <c r="BT27" s="376"/>
      <c r="BU27" s="377"/>
      <c r="BV27" s="377"/>
      <c r="BW27" s="377"/>
      <c r="BX27" s="416"/>
    </row>
    <row r="28" spans="1:76" ht="10.5" customHeight="1" x14ac:dyDescent="0.15">
      <c r="A28" s="2">
        <v>23</v>
      </c>
      <c r="B28" s="1530"/>
      <c r="C28" s="871"/>
      <c r="D28" s="943"/>
      <c r="E28" s="871"/>
      <c r="F28" s="893" t="s">
        <v>278</v>
      </c>
      <c r="G28" s="894"/>
      <c r="H28" s="894"/>
      <c r="I28" s="894"/>
      <c r="J28" s="895"/>
      <c r="K28" s="159" t="s">
        <v>254</v>
      </c>
      <c r="L28" s="1328"/>
      <c r="M28" s="1329"/>
      <c r="N28" s="1329"/>
      <c r="O28" s="1329"/>
      <c r="P28" s="1474"/>
      <c r="Q28" s="1079"/>
      <c r="R28" s="871"/>
      <c r="S28" s="964"/>
      <c r="T28" s="965"/>
      <c r="U28" s="893" t="s">
        <v>323</v>
      </c>
      <c r="V28" s="894"/>
      <c r="W28" s="894"/>
      <c r="X28" s="894"/>
      <c r="Y28" s="895"/>
      <c r="Z28" s="158" t="s">
        <v>80</v>
      </c>
      <c r="AA28" s="1328"/>
      <c r="AB28" s="1329"/>
      <c r="AC28" s="1329"/>
      <c r="AD28" s="1329"/>
      <c r="AE28" s="1334"/>
      <c r="AF28" s="1012" t="s">
        <v>318</v>
      </c>
      <c r="AG28" s="1015" t="s">
        <v>283</v>
      </c>
      <c r="AH28" s="1015"/>
      <c r="AI28" s="1015"/>
      <c r="AJ28" s="968"/>
      <c r="AK28" s="1314"/>
      <c r="AL28" s="1315"/>
      <c r="AM28" s="1315"/>
      <c r="AN28" s="1315"/>
      <c r="AO28" s="1472"/>
      <c r="AP28" s="358"/>
      <c r="AQ28" s="359"/>
      <c r="AR28" s="359"/>
      <c r="AS28" s="359"/>
      <c r="AT28" s="368"/>
      <c r="AU28" s="1605" t="s">
        <v>319</v>
      </c>
      <c r="AV28" s="1606"/>
      <c r="AW28" s="1606"/>
      <c r="AX28" s="1606"/>
      <c r="AY28" s="1606"/>
      <c r="AZ28" s="1607"/>
      <c r="BA28" s="1608"/>
      <c r="BB28" s="1608"/>
      <c r="BC28" s="1608"/>
      <c r="BD28" s="1609"/>
      <c r="BE28" s="1571"/>
      <c r="BF28" s="839"/>
      <c r="BG28" s="839"/>
      <c r="BH28" s="839"/>
      <c r="BI28" s="840"/>
      <c r="BJ28" s="918"/>
      <c r="BK28" s="598"/>
      <c r="BL28" s="598"/>
      <c r="BM28" s="598"/>
      <c r="BN28" s="646"/>
      <c r="BO28" s="376"/>
      <c r="BP28" s="377"/>
      <c r="BQ28" s="377"/>
      <c r="BR28" s="377"/>
      <c r="BS28" s="378"/>
      <c r="BT28" s="376"/>
      <c r="BU28" s="377"/>
      <c r="BV28" s="377"/>
      <c r="BW28" s="377"/>
      <c r="BX28" s="416"/>
    </row>
    <row r="29" spans="1:76" ht="10.5" customHeight="1" x14ac:dyDescent="0.15">
      <c r="A29" s="2">
        <v>24</v>
      </c>
      <c r="B29" s="1530"/>
      <c r="C29" s="871"/>
      <c r="D29" s="943"/>
      <c r="E29" s="871"/>
      <c r="F29" s="893" t="s">
        <v>322</v>
      </c>
      <c r="G29" s="894"/>
      <c r="H29" s="894"/>
      <c r="I29" s="894"/>
      <c r="J29" s="895"/>
      <c r="K29" s="20" t="s">
        <v>254</v>
      </c>
      <c r="L29" s="1328"/>
      <c r="M29" s="1329"/>
      <c r="N29" s="1329"/>
      <c r="O29" s="1329"/>
      <c r="P29" s="1474"/>
      <c r="Q29" s="1079"/>
      <c r="R29" s="871"/>
      <c r="S29" s="964"/>
      <c r="T29" s="965"/>
      <c r="U29" s="893" t="s">
        <v>325</v>
      </c>
      <c r="V29" s="894"/>
      <c r="W29" s="894"/>
      <c r="X29" s="894"/>
      <c r="Y29" s="895"/>
      <c r="Z29" s="158" t="s">
        <v>80</v>
      </c>
      <c r="AA29" s="1328"/>
      <c r="AB29" s="1329"/>
      <c r="AC29" s="1329"/>
      <c r="AD29" s="1329"/>
      <c r="AE29" s="1334"/>
      <c r="AF29" s="1013"/>
      <c r="AG29" s="932" t="s">
        <v>287</v>
      </c>
      <c r="AH29" s="932"/>
      <c r="AI29" s="932"/>
      <c r="AJ29" s="419"/>
      <c r="AK29" s="1328"/>
      <c r="AL29" s="1329"/>
      <c r="AM29" s="1329"/>
      <c r="AN29" s="1329"/>
      <c r="AO29" s="1474"/>
      <c r="AP29" s="376"/>
      <c r="AQ29" s="377"/>
      <c r="AR29" s="377"/>
      <c r="AS29" s="377"/>
      <c r="AT29" s="378"/>
      <c r="AU29" s="1603" t="s">
        <v>321</v>
      </c>
      <c r="AV29" s="1604"/>
      <c r="AW29" s="1604"/>
      <c r="AX29" s="1604"/>
      <c r="AY29" s="1604"/>
      <c r="AZ29" s="1590"/>
      <c r="BA29" s="1591"/>
      <c r="BB29" s="1591"/>
      <c r="BC29" s="1591"/>
      <c r="BD29" s="1592"/>
      <c r="BE29" s="1524"/>
      <c r="BF29" s="359"/>
      <c r="BG29" s="359"/>
      <c r="BH29" s="359"/>
      <c r="BI29" s="360"/>
      <c r="BJ29" s="918"/>
      <c r="BK29" s="598"/>
      <c r="BL29" s="598"/>
      <c r="BM29" s="598"/>
      <c r="BN29" s="646"/>
      <c r="BO29" s="376"/>
      <c r="BP29" s="377"/>
      <c r="BQ29" s="377"/>
      <c r="BR29" s="377"/>
      <c r="BS29" s="378"/>
      <c r="BT29" s="376"/>
      <c r="BU29" s="377"/>
      <c r="BV29" s="377"/>
      <c r="BW29" s="377"/>
      <c r="BX29" s="416"/>
    </row>
    <row r="30" spans="1:76" ht="10.5" customHeight="1" thickBot="1" x14ac:dyDescent="0.2">
      <c r="A30" s="2">
        <v>25</v>
      </c>
      <c r="B30" s="1531"/>
      <c r="C30" s="873"/>
      <c r="D30" s="996"/>
      <c r="E30" s="873"/>
      <c r="F30" s="947" t="s">
        <v>305</v>
      </c>
      <c r="G30" s="948"/>
      <c r="H30" s="948"/>
      <c r="I30" s="948"/>
      <c r="J30" s="949"/>
      <c r="K30" s="161" t="s">
        <v>254</v>
      </c>
      <c r="L30" s="1331"/>
      <c r="M30" s="1332"/>
      <c r="N30" s="1332"/>
      <c r="O30" s="1332"/>
      <c r="P30" s="1489"/>
      <c r="Q30" s="1080"/>
      <c r="R30" s="873"/>
      <c r="S30" s="966"/>
      <c r="T30" s="967"/>
      <c r="U30" s="947" t="s">
        <v>328</v>
      </c>
      <c r="V30" s="948"/>
      <c r="W30" s="948"/>
      <c r="X30" s="948"/>
      <c r="Y30" s="949"/>
      <c r="Z30" s="161" t="s">
        <v>270</v>
      </c>
      <c r="AA30" s="1331"/>
      <c r="AB30" s="1332"/>
      <c r="AC30" s="1332"/>
      <c r="AD30" s="1332"/>
      <c r="AE30" s="1355"/>
      <c r="AF30" s="1013"/>
      <c r="AG30" s="1005" t="s">
        <v>324</v>
      </c>
      <c r="AH30" s="1006"/>
      <c r="AI30" s="1006"/>
      <c r="AJ30" s="1006"/>
      <c r="AK30" s="1328"/>
      <c r="AL30" s="1329"/>
      <c r="AM30" s="1329"/>
      <c r="AN30" s="1329"/>
      <c r="AO30" s="1474"/>
      <c r="AP30" s="376"/>
      <c r="AQ30" s="377"/>
      <c r="AR30" s="377"/>
      <c r="AS30" s="377"/>
      <c r="AT30" s="378"/>
      <c r="AU30" s="175"/>
      <c r="AV30" s="1610" t="s">
        <v>510</v>
      </c>
      <c r="AW30" s="1610"/>
      <c r="AX30" s="1610"/>
      <c r="AY30" s="1610"/>
      <c r="AZ30" s="1581"/>
      <c r="BA30" s="1582"/>
      <c r="BB30" s="1582"/>
      <c r="BC30" s="1582"/>
      <c r="BD30" s="1583"/>
      <c r="BE30" s="1584"/>
      <c r="BF30" s="1585"/>
      <c r="BG30" s="1585"/>
      <c r="BH30" s="1585"/>
      <c r="BI30" s="1586"/>
      <c r="BJ30" s="918"/>
      <c r="BK30" s="598"/>
      <c r="BL30" s="598"/>
      <c r="BM30" s="598"/>
      <c r="BN30" s="646"/>
      <c r="BO30" s="376"/>
      <c r="BP30" s="377"/>
      <c r="BQ30" s="377"/>
      <c r="BR30" s="377"/>
      <c r="BS30" s="378"/>
      <c r="BT30" s="376"/>
      <c r="BU30" s="377"/>
      <c r="BV30" s="377"/>
      <c r="BW30" s="377"/>
      <c r="BX30" s="416"/>
    </row>
    <row r="31" spans="1:76" ht="10.5" customHeight="1" thickBot="1" x14ac:dyDescent="0.2">
      <c r="A31" s="2">
        <v>26</v>
      </c>
      <c r="B31" s="1529" t="s">
        <v>326</v>
      </c>
      <c r="C31" s="941"/>
      <c r="D31" s="942" t="s">
        <v>229</v>
      </c>
      <c r="E31" s="941"/>
      <c r="F31" s="946" t="s">
        <v>327</v>
      </c>
      <c r="G31" s="884"/>
      <c r="H31" s="884"/>
      <c r="I31" s="884"/>
      <c r="J31" s="885"/>
      <c r="K31" s="19" t="s">
        <v>270</v>
      </c>
      <c r="L31" s="1314"/>
      <c r="M31" s="1315"/>
      <c r="N31" s="1315"/>
      <c r="O31" s="1315"/>
      <c r="P31" s="1472"/>
      <c r="Q31" s="1534" t="s">
        <v>329</v>
      </c>
      <c r="R31" s="997"/>
      <c r="S31" s="1598" t="s">
        <v>229</v>
      </c>
      <c r="T31" s="1599"/>
      <c r="U31" s="946" t="s">
        <v>330</v>
      </c>
      <c r="V31" s="884"/>
      <c r="W31" s="884"/>
      <c r="X31" s="884"/>
      <c r="Y31" s="885"/>
      <c r="Z31" s="19" t="s">
        <v>230</v>
      </c>
      <c r="AA31" s="1314"/>
      <c r="AB31" s="1315"/>
      <c r="AC31" s="1315"/>
      <c r="AD31" s="1315"/>
      <c r="AE31" s="1341"/>
      <c r="AF31" s="1013"/>
      <c r="AG31" s="1601" t="s">
        <v>558</v>
      </c>
      <c r="AH31" s="1602"/>
      <c r="AI31" s="1602"/>
      <c r="AJ31" s="1602"/>
      <c r="AK31" s="1554"/>
      <c r="AL31" s="591"/>
      <c r="AM31" s="591"/>
      <c r="AN31" s="591"/>
      <c r="AO31" s="1555"/>
      <c r="AP31" s="1556"/>
      <c r="AQ31" s="377"/>
      <c r="AR31" s="377"/>
      <c r="AS31" s="377"/>
      <c r="AT31" s="1612"/>
      <c r="BJ31" s="918"/>
      <c r="BK31" s="598"/>
      <c r="BL31" s="598"/>
      <c r="BM31" s="598"/>
      <c r="BN31" s="646"/>
      <c r="BO31" s="376"/>
      <c r="BP31" s="377"/>
      <c r="BQ31" s="377"/>
      <c r="BR31" s="377"/>
      <c r="BS31" s="378"/>
      <c r="BT31" s="376"/>
      <c r="BU31" s="377"/>
      <c r="BV31" s="377"/>
      <c r="BW31" s="377"/>
      <c r="BX31" s="416"/>
    </row>
    <row r="32" spans="1:76" ht="10.5" customHeight="1" x14ac:dyDescent="0.15">
      <c r="A32" s="2">
        <v>27</v>
      </c>
      <c r="B32" s="1530"/>
      <c r="C32" s="871"/>
      <c r="D32" s="943"/>
      <c r="E32" s="871"/>
      <c r="F32" s="893" t="s">
        <v>241</v>
      </c>
      <c r="G32" s="894"/>
      <c r="H32" s="894"/>
      <c r="I32" s="894"/>
      <c r="J32" s="895"/>
      <c r="K32" s="20" t="s">
        <v>80</v>
      </c>
      <c r="L32" s="1328"/>
      <c r="M32" s="1329"/>
      <c r="N32" s="1329"/>
      <c r="O32" s="1329"/>
      <c r="P32" s="1474"/>
      <c r="Q32" s="1079"/>
      <c r="R32" s="919"/>
      <c r="S32" s="964"/>
      <c r="T32" s="965"/>
      <c r="U32" s="893" t="s">
        <v>331</v>
      </c>
      <c r="V32" s="894"/>
      <c r="W32" s="894"/>
      <c r="X32" s="894"/>
      <c r="Y32" s="895"/>
      <c r="Z32" s="20" t="s">
        <v>80</v>
      </c>
      <c r="AA32" s="1328"/>
      <c r="AB32" s="1329"/>
      <c r="AC32" s="1329"/>
      <c r="AD32" s="1329"/>
      <c r="AE32" s="1334"/>
      <c r="AF32" s="1014"/>
      <c r="AG32" s="1017" t="s">
        <v>273</v>
      </c>
      <c r="AH32" s="1018"/>
      <c r="AI32" s="1018"/>
      <c r="AJ32" s="1018"/>
      <c r="AK32" s="1557"/>
      <c r="AL32" s="850"/>
      <c r="AM32" s="850"/>
      <c r="AN32" s="850"/>
      <c r="AO32" s="1558"/>
      <c r="AP32" s="1553"/>
      <c r="AQ32" s="458"/>
      <c r="AR32" s="458"/>
      <c r="AS32" s="458"/>
      <c r="AT32" s="1600"/>
      <c r="AZ32" s="546" t="s">
        <v>559</v>
      </c>
      <c r="BA32" s="547"/>
      <c r="BB32" s="547"/>
      <c r="BC32" s="547"/>
      <c r="BD32" s="547"/>
      <c r="BE32" s="547"/>
      <c r="BF32" s="547"/>
      <c r="BG32" s="547"/>
      <c r="BH32" s="547"/>
      <c r="BI32" s="547"/>
      <c r="BJ32" s="918"/>
      <c r="BK32" s="598"/>
      <c r="BL32" s="598"/>
      <c r="BM32" s="598"/>
      <c r="BN32" s="646"/>
      <c r="BO32" s="376"/>
      <c r="BP32" s="377"/>
      <c r="BQ32" s="377"/>
      <c r="BR32" s="377"/>
      <c r="BS32" s="378"/>
      <c r="BT32" s="376"/>
      <c r="BU32" s="377"/>
      <c r="BV32" s="377"/>
      <c r="BW32" s="377"/>
      <c r="BX32" s="416"/>
    </row>
    <row r="33" spans="1:76" ht="10.5" customHeight="1" x14ac:dyDescent="0.15">
      <c r="A33" s="2">
        <v>28</v>
      </c>
      <c r="B33" s="1530"/>
      <c r="C33" s="871"/>
      <c r="D33" s="943"/>
      <c r="E33" s="871"/>
      <c r="F33" s="1019" t="s">
        <v>297</v>
      </c>
      <c r="G33" s="1020"/>
      <c r="H33" s="1020"/>
      <c r="I33" s="1020"/>
      <c r="J33" s="1021"/>
      <c r="K33" s="20" t="s">
        <v>80</v>
      </c>
      <c r="L33" s="1328"/>
      <c r="M33" s="1329"/>
      <c r="N33" s="1329"/>
      <c r="O33" s="1329"/>
      <c r="P33" s="1474"/>
      <c r="Q33" s="1079"/>
      <c r="R33" s="919"/>
      <c r="S33" s="964"/>
      <c r="T33" s="965"/>
      <c r="U33" s="893" t="s">
        <v>101</v>
      </c>
      <c r="V33" s="894"/>
      <c r="W33" s="894"/>
      <c r="X33" s="894"/>
      <c r="Y33" s="895"/>
      <c r="Z33" s="20" t="s">
        <v>80</v>
      </c>
      <c r="AA33" s="1328"/>
      <c r="AB33" s="1329"/>
      <c r="AC33" s="1329"/>
      <c r="AD33" s="1329"/>
      <c r="AE33" s="1334"/>
      <c r="AF33" s="997" t="s">
        <v>294</v>
      </c>
      <c r="AG33" s="968" t="s">
        <v>296</v>
      </c>
      <c r="AH33" s="495"/>
      <c r="AI33" s="495"/>
      <c r="AJ33" s="495"/>
      <c r="AK33" s="1579"/>
      <c r="AL33" s="787"/>
      <c r="AM33" s="787"/>
      <c r="AN33" s="787"/>
      <c r="AO33" s="1580"/>
      <c r="AP33" s="1524"/>
      <c r="AQ33" s="359"/>
      <c r="AR33" s="359"/>
      <c r="AS33" s="359"/>
      <c r="AT33" s="1611"/>
      <c r="AZ33" s="815" t="s">
        <v>363</v>
      </c>
      <c r="BA33" s="816"/>
      <c r="BB33" s="816"/>
      <c r="BC33" s="816"/>
      <c r="BD33" s="817"/>
      <c r="BE33" s="358"/>
      <c r="BF33" s="359"/>
      <c r="BG33" s="359"/>
      <c r="BH33" s="359"/>
      <c r="BI33" s="360"/>
      <c r="BJ33" s="918"/>
      <c r="BK33" s="598"/>
      <c r="BL33" s="598"/>
      <c r="BM33" s="598"/>
      <c r="BN33" s="646"/>
      <c r="BO33" s="376"/>
      <c r="BP33" s="377"/>
      <c r="BQ33" s="377"/>
      <c r="BR33" s="377"/>
      <c r="BS33" s="378"/>
      <c r="BT33" s="376"/>
      <c r="BU33" s="377"/>
      <c r="BV33" s="377"/>
      <c r="BW33" s="377"/>
      <c r="BX33" s="416"/>
    </row>
    <row r="34" spans="1:76" ht="10.5" customHeight="1" x14ac:dyDescent="0.15">
      <c r="A34" s="2">
        <v>29</v>
      </c>
      <c r="B34" s="1530"/>
      <c r="C34" s="871"/>
      <c r="D34" s="944"/>
      <c r="E34" s="945"/>
      <c r="F34" s="1019" t="s">
        <v>241</v>
      </c>
      <c r="G34" s="1020"/>
      <c r="H34" s="1020"/>
      <c r="I34" s="1020"/>
      <c r="J34" s="1021"/>
      <c r="K34" s="159" t="s">
        <v>80</v>
      </c>
      <c r="L34" s="1328"/>
      <c r="M34" s="1329"/>
      <c r="N34" s="1329"/>
      <c r="O34" s="1329"/>
      <c r="P34" s="1474"/>
      <c r="Q34" s="1079"/>
      <c r="R34" s="919"/>
      <c r="S34" s="964"/>
      <c r="T34" s="965"/>
      <c r="U34" s="893" t="s">
        <v>241</v>
      </c>
      <c r="V34" s="894"/>
      <c r="W34" s="894"/>
      <c r="X34" s="894"/>
      <c r="Y34" s="895"/>
      <c r="Z34" s="20" t="s">
        <v>80</v>
      </c>
      <c r="AA34" s="1328"/>
      <c r="AB34" s="1329"/>
      <c r="AC34" s="1329"/>
      <c r="AD34" s="1329"/>
      <c r="AE34" s="1334"/>
      <c r="AF34" s="919"/>
      <c r="AG34" s="419" t="s">
        <v>300</v>
      </c>
      <c r="AH34" s="420"/>
      <c r="AI34" s="420"/>
      <c r="AJ34" s="420"/>
      <c r="AK34" s="1613"/>
      <c r="AL34" s="1614"/>
      <c r="AM34" s="1614"/>
      <c r="AN34" s="1614"/>
      <c r="AO34" s="1615"/>
      <c r="AP34" s="1556"/>
      <c r="AQ34" s="377"/>
      <c r="AR34" s="377"/>
      <c r="AS34" s="377"/>
      <c r="AT34" s="1612"/>
      <c r="AZ34" s="15"/>
      <c r="BA34" s="1019" t="s">
        <v>367</v>
      </c>
      <c r="BB34" s="1020"/>
      <c r="BC34" s="1020"/>
      <c r="BD34" s="1023"/>
      <c r="BE34" s="376"/>
      <c r="BF34" s="377"/>
      <c r="BG34" s="377"/>
      <c r="BH34" s="377"/>
      <c r="BI34" s="416"/>
      <c r="BJ34" s="918"/>
      <c r="BK34" s="598"/>
      <c r="BL34" s="598"/>
      <c r="BM34" s="598"/>
      <c r="BN34" s="646"/>
      <c r="BO34" s="376"/>
      <c r="BP34" s="377"/>
      <c r="BQ34" s="377"/>
      <c r="BR34" s="377"/>
      <c r="BS34" s="378"/>
      <c r="BT34" s="376"/>
      <c r="BU34" s="377"/>
      <c r="BV34" s="377"/>
      <c r="BW34" s="377"/>
      <c r="BX34" s="416"/>
    </row>
    <row r="35" spans="1:76" ht="10.5" customHeight="1" x14ac:dyDescent="0.15">
      <c r="A35" s="2">
        <v>30</v>
      </c>
      <c r="B35" s="1530"/>
      <c r="C35" s="871"/>
      <c r="D35" s="934" t="s">
        <v>232</v>
      </c>
      <c r="E35" s="935"/>
      <c r="F35" s="1019" t="s">
        <v>289</v>
      </c>
      <c r="G35" s="1020"/>
      <c r="H35" s="1020"/>
      <c r="I35" s="1020"/>
      <c r="J35" s="1021"/>
      <c r="K35" s="20" t="s">
        <v>234</v>
      </c>
      <c r="L35" s="1328"/>
      <c r="M35" s="1329"/>
      <c r="N35" s="1329"/>
      <c r="O35" s="1329"/>
      <c r="P35" s="1474"/>
      <c r="Q35" s="1079"/>
      <c r="R35" s="919"/>
      <c r="S35" s="964"/>
      <c r="T35" s="965"/>
      <c r="U35" s="1019" t="s">
        <v>333</v>
      </c>
      <c r="V35" s="1020"/>
      <c r="W35" s="1020"/>
      <c r="X35" s="1020"/>
      <c r="Y35" s="1021"/>
      <c r="Z35" s="159" t="s">
        <v>80</v>
      </c>
      <c r="AA35" s="1328"/>
      <c r="AB35" s="1329"/>
      <c r="AC35" s="1329"/>
      <c r="AD35" s="1329"/>
      <c r="AE35" s="1334"/>
      <c r="AF35" s="920"/>
      <c r="AG35" s="1024" t="s">
        <v>304</v>
      </c>
      <c r="AH35" s="1025"/>
      <c r="AI35" s="1025"/>
      <c r="AJ35" s="1025"/>
      <c r="AK35" s="1557"/>
      <c r="AL35" s="850"/>
      <c r="AM35" s="850"/>
      <c r="AN35" s="850"/>
      <c r="AO35" s="1558"/>
      <c r="AP35" s="1553"/>
      <c r="AQ35" s="458"/>
      <c r="AR35" s="458"/>
      <c r="AS35" s="458"/>
      <c r="AT35" s="1600"/>
      <c r="AZ35" s="15"/>
      <c r="BA35" s="1616" t="s">
        <v>373</v>
      </c>
      <c r="BB35" s="1617"/>
      <c r="BC35" s="1617"/>
      <c r="BD35" s="1618"/>
      <c r="BE35" s="376"/>
      <c r="BF35" s="377"/>
      <c r="BG35" s="377"/>
      <c r="BH35" s="377"/>
      <c r="BI35" s="416"/>
      <c r="BJ35" s="918"/>
      <c r="BK35" s="598"/>
      <c r="BL35" s="598"/>
      <c r="BM35" s="598"/>
      <c r="BN35" s="646"/>
      <c r="BO35" s="376"/>
      <c r="BP35" s="377"/>
      <c r="BQ35" s="377"/>
      <c r="BR35" s="377"/>
      <c r="BS35" s="378"/>
      <c r="BT35" s="376"/>
      <c r="BU35" s="377"/>
      <c r="BV35" s="377"/>
      <c r="BW35" s="377"/>
      <c r="BX35" s="416"/>
    </row>
    <row r="36" spans="1:76" ht="10.5" customHeight="1" x14ac:dyDescent="0.15">
      <c r="A36" s="2">
        <v>31</v>
      </c>
      <c r="B36" s="1531"/>
      <c r="C36" s="873"/>
      <c r="D36" s="936"/>
      <c r="E36" s="854"/>
      <c r="F36" s="846" t="s">
        <v>297</v>
      </c>
      <c r="G36" s="847"/>
      <c r="H36" s="847"/>
      <c r="I36" s="847"/>
      <c r="J36" s="1022"/>
      <c r="K36" s="161" t="s">
        <v>80</v>
      </c>
      <c r="L36" s="1331"/>
      <c r="M36" s="1332"/>
      <c r="N36" s="1332"/>
      <c r="O36" s="1332"/>
      <c r="P36" s="1489"/>
      <c r="Q36" s="1080"/>
      <c r="R36" s="920"/>
      <c r="S36" s="611" t="s">
        <v>339</v>
      </c>
      <c r="T36" s="612"/>
      <c r="U36" s="612"/>
      <c r="V36" s="612"/>
      <c r="W36" s="612"/>
      <c r="X36" s="612"/>
      <c r="Y36" s="972"/>
      <c r="Z36" s="161" t="s">
        <v>234</v>
      </c>
      <c r="AA36" s="1331"/>
      <c r="AB36" s="1332"/>
      <c r="AC36" s="1332"/>
      <c r="AD36" s="1332"/>
      <c r="AE36" s="1355"/>
      <c r="AF36" s="1001" t="s">
        <v>306</v>
      </c>
      <c r="AG36" s="1001"/>
      <c r="AH36" s="1001"/>
      <c r="AI36" s="1001"/>
      <c r="AJ36" s="1001"/>
      <c r="AK36" s="1551"/>
      <c r="AL36" s="916"/>
      <c r="AM36" s="916"/>
      <c r="AN36" s="916"/>
      <c r="AO36" s="1552"/>
      <c r="AP36" s="1571"/>
      <c r="AQ36" s="839"/>
      <c r="AR36" s="839"/>
      <c r="AS36" s="839"/>
      <c r="AT36" s="1619"/>
      <c r="AZ36" s="15"/>
      <c r="BA36" s="1049" t="s">
        <v>560</v>
      </c>
      <c r="BB36" s="1050"/>
      <c r="BC36" s="1050"/>
      <c r="BD36" s="1051"/>
      <c r="BE36" s="376"/>
      <c r="BF36" s="377"/>
      <c r="BG36" s="377"/>
      <c r="BH36" s="377"/>
      <c r="BI36" s="416"/>
      <c r="BJ36" s="918"/>
      <c r="BK36" s="598"/>
      <c r="BL36" s="598"/>
      <c r="BM36" s="598"/>
      <c r="BN36" s="646"/>
      <c r="BO36" s="376"/>
      <c r="BP36" s="377"/>
      <c r="BQ36" s="377"/>
      <c r="BR36" s="377"/>
      <c r="BS36" s="378"/>
      <c r="BT36" s="376"/>
      <c r="BU36" s="377"/>
      <c r="BV36" s="377"/>
      <c r="BW36" s="377"/>
      <c r="BX36" s="416"/>
    </row>
    <row r="37" spans="1:76" ht="10.5" customHeight="1" x14ac:dyDescent="0.15">
      <c r="A37" s="2">
        <v>32</v>
      </c>
      <c r="B37" s="1620" t="s">
        <v>337</v>
      </c>
      <c r="C37" s="1621"/>
      <c r="D37" s="1626" t="s">
        <v>229</v>
      </c>
      <c r="E37" s="1627"/>
      <c r="F37" s="1632" t="s">
        <v>338</v>
      </c>
      <c r="G37" s="1633"/>
      <c r="H37" s="1633"/>
      <c r="I37" s="1633"/>
      <c r="J37" s="1634"/>
      <c r="K37" s="176" t="s">
        <v>270</v>
      </c>
      <c r="L37" s="1314"/>
      <c r="M37" s="1315"/>
      <c r="N37" s="1315"/>
      <c r="O37" s="1315"/>
      <c r="P37" s="1472"/>
      <c r="Q37" s="499" t="s">
        <v>561</v>
      </c>
      <c r="R37" s="640"/>
      <c r="S37" s="640"/>
      <c r="T37" s="640"/>
      <c r="U37" s="640"/>
      <c r="V37" s="640"/>
      <c r="W37" s="640"/>
      <c r="X37" s="640"/>
      <c r="Y37" s="1635"/>
      <c r="Z37" s="22" t="s">
        <v>230</v>
      </c>
      <c r="AA37" s="1314"/>
      <c r="AB37" s="1315"/>
      <c r="AC37" s="1315"/>
      <c r="AD37" s="1315"/>
      <c r="AE37" s="1341"/>
      <c r="AF37" s="733" t="s">
        <v>334</v>
      </c>
      <c r="AG37" s="1032" t="s">
        <v>335</v>
      </c>
      <c r="AH37" s="1033"/>
      <c r="AI37" s="1040" t="s">
        <v>336</v>
      </c>
      <c r="AJ37" s="1649"/>
      <c r="AK37" s="1579"/>
      <c r="AL37" s="787"/>
      <c r="AM37" s="787"/>
      <c r="AN37" s="787"/>
      <c r="AO37" s="1580"/>
      <c r="AP37" s="1524"/>
      <c r="AQ37" s="359"/>
      <c r="AR37" s="359"/>
      <c r="AS37" s="359"/>
      <c r="AT37" s="1611"/>
      <c r="AZ37" s="15"/>
      <c r="BA37" s="10"/>
      <c r="BB37" s="1019" t="s">
        <v>380</v>
      </c>
      <c r="BC37" s="1020"/>
      <c r="BD37" s="1023"/>
      <c r="BE37" s="376"/>
      <c r="BF37" s="377"/>
      <c r="BG37" s="377"/>
      <c r="BH37" s="377"/>
      <c r="BI37" s="416"/>
      <c r="BJ37" s="918"/>
      <c r="BK37" s="598"/>
      <c r="BL37" s="598"/>
      <c r="BM37" s="598"/>
      <c r="BN37" s="646"/>
      <c r="BO37" s="376"/>
      <c r="BP37" s="377"/>
      <c r="BQ37" s="377"/>
      <c r="BR37" s="377"/>
      <c r="BS37" s="378"/>
      <c r="BT37" s="376"/>
      <c r="BU37" s="377"/>
      <c r="BV37" s="377"/>
      <c r="BW37" s="377"/>
      <c r="BX37" s="416"/>
    </row>
    <row r="38" spans="1:76" ht="10.5" customHeight="1" x14ac:dyDescent="0.15">
      <c r="A38" s="2">
        <v>33</v>
      </c>
      <c r="B38" s="1622"/>
      <c r="C38" s="1623"/>
      <c r="D38" s="1628"/>
      <c r="E38" s="1629"/>
      <c r="F38" s="1646" t="s">
        <v>241</v>
      </c>
      <c r="G38" s="1647"/>
      <c r="H38" s="1647"/>
      <c r="I38" s="1647"/>
      <c r="J38" s="1648"/>
      <c r="K38" s="177" t="s">
        <v>254</v>
      </c>
      <c r="L38" s="1328"/>
      <c r="M38" s="1329"/>
      <c r="N38" s="1329"/>
      <c r="O38" s="1329"/>
      <c r="P38" s="1474"/>
      <c r="Q38" s="178"/>
      <c r="R38" s="38"/>
      <c r="S38" s="611" t="s">
        <v>562</v>
      </c>
      <c r="T38" s="612"/>
      <c r="U38" s="612"/>
      <c r="V38" s="612"/>
      <c r="W38" s="612"/>
      <c r="X38" s="612"/>
      <c r="Y38" s="972"/>
      <c r="Z38" s="24" t="s">
        <v>80</v>
      </c>
      <c r="AA38" s="1331"/>
      <c r="AB38" s="1332"/>
      <c r="AC38" s="1332"/>
      <c r="AD38" s="1332"/>
      <c r="AE38" s="1355"/>
      <c r="AF38" s="723"/>
      <c r="AG38" s="1034"/>
      <c r="AH38" s="1035"/>
      <c r="AI38" s="419" t="s">
        <v>340</v>
      </c>
      <c r="AJ38" s="420"/>
      <c r="AK38" s="1554"/>
      <c r="AL38" s="591"/>
      <c r="AM38" s="591"/>
      <c r="AN38" s="591"/>
      <c r="AO38" s="1555"/>
      <c r="AP38" s="1556"/>
      <c r="AQ38" s="377"/>
      <c r="AR38" s="377"/>
      <c r="AS38" s="377"/>
      <c r="AT38" s="1612"/>
      <c r="AZ38" s="15"/>
      <c r="BA38" s="10"/>
      <c r="BB38" s="1099" t="s">
        <v>382</v>
      </c>
      <c r="BC38" s="1100"/>
      <c r="BD38" s="1101"/>
      <c r="BE38" s="376"/>
      <c r="BF38" s="377"/>
      <c r="BG38" s="377"/>
      <c r="BH38" s="377"/>
      <c r="BI38" s="416"/>
      <c r="BJ38" s="918"/>
      <c r="BK38" s="598"/>
      <c r="BL38" s="598"/>
      <c r="BM38" s="598"/>
      <c r="BN38" s="646"/>
      <c r="BO38" s="376"/>
      <c r="BP38" s="377"/>
      <c r="BQ38" s="377"/>
      <c r="BR38" s="377"/>
      <c r="BS38" s="378"/>
      <c r="BT38" s="376"/>
      <c r="BU38" s="377"/>
      <c r="BV38" s="377"/>
      <c r="BW38" s="377"/>
      <c r="BX38" s="416"/>
    </row>
    <row r="39" spans="1:76" ht="10.5" customHeight="1" x14ac:dyDescent="0.15">
      <c r="A39" s="2">
        <v>34</v>
      </c>
      <c r="B39" s="1622"/>
      <c r="C39" s="1623"/>
      <c r="D39" s="1628"/>
      <c r="E39" s="1629"/>
      <c r="F39" s="1642" t="s">
        <v>509</v>
      </c>
      <c r="G39" s="1643"/>
      <c r="H39" s="1643"/>
      <c r="I39" s="1643"/>
      <c r="J39" s="1644"/>
      <c r="K39" s="177" t="s">
        <v>254</v>
      </c>
      <c r="L39" s="1328"/>
      <c r="M39" s="1329"/>
      <c r="N39" s="1329"/>
      <c r="O39" s="1329"/>
      <c r="P39" s="1474"/>
      <c r="Q39" s="1079" t="s">
        <v>252</v>
      </c>
      <c r="R39" s="919"/>
      <c r="S39" s="878" t="s">
        <v>577</v>
      </c>
      <c r="T39" s="879"/>
      <c r="U39" s="879"/>
      <c r="V39" s="879"/>
      <c r="W39" s="879"/>
      <c r="X39" s="879"/>
      <c r="Y39" s="880"/>
      <c r="Z39" s="158" t="s">
        <v>342</v>
      </c>
      <c r="AA39" s="1314"/>
      <c r="AB39" s="1315"/>
      <c r="AC39" s="1315"/>
      <c r="AD39" s="1315"/>
      <c r="AE39" s="1341"/>
      <c r="AF39" s="723"/>
      <c r="AG39" s="1034"/>
      <c r="AH39" s="1035"/>
      <c r="AI39" s="1042" t="s">
        <v>343</v>
      </c>
      <c r="AJ39" s="1645"/>
      <c r="AK39" s="1613"/>
      <c r="AL39" s="1614"/>
      <c r="AM39" s="1614"/>
      <c r="AN39" s="1614"/>
      <c r="AO39" s="1615"/>
      <c r="AP39" s="1556"/>
      <c r="AQ39" s="377"/>
      <c r="AR39" s="377"/>
      <c r="AS39" s="377"/>
      <c r="AT39" s="1612"/>
      <c r="AZ39" s="15"/>
      <c r="BA39" s="10"/>
      <c r="BB39" s="1102" t="s">
        <v>385</v>
      </c>
      <c r="BC39" s="1103"/>
      <c r="BD39" s="1104"/>
      <c r="BE39" s="376"/>
      <c r="BF39" s="377"/>
      <c r="BG39" s="377"/>
      <c r="BH39" s="377"/>
      <c r="BI39" s="416"/>
      <c r="BJ39" s="918"/>
      <c r="BK39" s="598"/>
      <c r="BL39" s="598"/>
      <c r="BM39" s="598"/>
      <c r="BN39" s="646"/>
      <c r="BO39" s="376"/>
      <c r="BP39" s="377"/>
      <c r="BQ39" s="377"/>
      <c r="BR39" s="377"/>
      <c r="BS39" s="378"/>
      <c r="BT39" s="376"/>
      <c r="BU39" s="377"/>
      <c r="BV39" s="377"/>
      <c r="BW39" s="377"/>
      <c r="BX39" s="416"/>
    </row>
    <row r="40" spans="1:76" ht="10.5" customHeight="1" x14ac:dyDescent="0.15">
      <c r="A40" s="2">
        <v>35</v>
      </c>
      <c r="B40" s="1622"/>
      <c r="C40" s="1623"/>
      <c r="D40" s="1628"/>
      <c r="E40" s="1629"/>
      <c r="F40" s="1642" t="s">
        <v>241</v>
      </c>
      <c r="G40" s="1643"/>
      <c r="H40" s="1643"/>
      <c r="I40" s="1643"/>
      <c r="J40" s="1644"/>
      <c r="K40" s="177" t="s">
        <v>254</v>
      </c>
      <c r="L40" s="1328"/>
      <c r="M40" s="1329"/>
      <c r="N40" s="1329"/>
      <c r="O40" s="1329"/>
      <c r="P40" s="1474"/>
      <c r="Q40" s="1080"/>
      <c r="R40" s="920"/>
      <c r="S40" s="611" t="s">
        <v>345</v>
      </c>
      <c r="T40" s="612"/>
      <c r="U40" s="612"/>
      <c r="V40" s="612"/>
      <c r="W40" s="612"/>
      <c r="X40" s="612"/>
      <c r="Y40" s="972"/>
      <c r="Z40" s="161" t="s">
        <v>234</v>
      </c>
      <c r="AA40" s="1331"/>
      <c r="AB40" s="1332"/>
      <c r="AC40" s="1332"/>
      <c r="AD40" s="1332"/>
      <c r="AE40" s="1355"/>
      <c r="AF40" s="723"/>
      <c r="AG40" s="1057" t="s">
        <v>346</v>
      </c>
      <c r="AH40" s="1058"/>
      <c r="AI40" s="795" t="s">
        <v>336</v>
      </c>
      <c r="AJ40" s="796"/>
      <c r="AK40" s="1554"/>
      <c r="AL40" s="591"/>
      <c r="AM40" s="591"/>
      <c r="AN40" s="591"/>
      <c r="AO40" s="1555"/>
      <c r="AP40" s="1556"/>
      <c r="AQ40" s="377"/>
      <c r="AR40" s="377"/>
      <c r="AS40" s="377"/>
      <c r="AT40" s="1612"/>
      <c r="AZ40" s="15"/>
      <c r="BA40" s="9"/>
      <c r="BB40" s="1019" t="s">
        <v>389</v>
      </c>
      <c r="BC40" s="1020"/>
      <c r="BD40" s="1023"/>
      <c r="BE40" s="376"/>
      <c r="BF40" s="377"/>
      <c r="BG40" s="377"/>
      <c r="BH40" s="377"/>
      <c r="BI40" s="416"/>
      <c r="BJ40" s="918"/>
      <c r="BK40" s="598"/>
      <c r="BL40" s="598"/>
      <c r="BM40" s="598"/>
      <c r="BN40" s="646"/>
      <c r="BO40" s="376"/>
      <c r="BP40" s="377"/>
      <c r="BQ40" s="377"/>
      <c r="BR40" s="377"/>
      <c r="BS40" s="378"/>
      <c r="BT40" s="376"/>
      <c r="BU40" s="377"/>
      <c r="BV40" s="377"/>
      <c r="BW40" s="377"/>
      <c r="BX40" s="416"/>
    </row>
    <row r="41" spans="1:76" ht="10.5" customHeight="1" thickBot="1" x14ac:dyDescent="0.2">
      <c r="A41" s="2">
        <v>36</v>
      </c>
      <c r="B41" s="1622"/>
      <c r="C41" s="1623"/>
      <c r="D41" s="1628"/>
      <c r="E41" s="1629"/>
      <c r="F41" s="1642" t="s">
        <v>308</v>
      </c>
      <c r="G41" s="1643"/>
      <c r="H41" s="1643"/>
      <c r="I41" s="1643"/>
      <c r="J41" s="1644"/>
      <c r="K41" s="177" t="s">
        <v>254</v>
      </c>
      <c r="L41" s="1328"/>
      <c r="M41" s="1329"/>
      <c r="N41" s="1329"/>
      <c r="O41" s="1329"/>
      <c r="P41" s="1474"/>
      <c r="Q41" s="1534" t="s">
        <v>348</v>
      </c>
      <c r="R41" s="941"/>
      <c r="S41" s="878" t="s">
        <v>349</v>
      </c>
      <c r="T41" s="879"/>
      <c r="U41" s="879"/>
      <c r="V41" s="879"/>
      <c r="W41" s="879"/>
      <c r="X41" s="879"/>
      <c r="Y41" s="880"/>
      <c r="Z41" s="158" t="s">
        <v>350</v>
      </c>
      <c r="AA41" s="1314"/>
      <c r="AB41" s="1315"/>
      <c r="AC41" s="1315"/>
      <c r="AD41" s="1315"/>
      <c r="AE41" s="1341"/>
      <c r="AF41" s="723"/>
      <c r="AG41" s="1034"/>
      <c r="AH41" s="1035"/>
      <c r="AI41" s="419" t="s">
        <v>340</v>
      </c>
      <c r="AJ41" s="420"/>
      <c r="AK41" s="1554"/>
      <c r="AL41" s="591"/>
      <c r="AM41" s="591"/>
      <c r="AN41" s="591"/>
      <c r="AO41" s="1555"/>
      <c r="AP41" s="1556"/>
      <c r="AQ41" s="377"/>
      <c r="AR41" s="377"/>
      <c r="AS41" s="377"/>
      <c r="AT41" s="1612"/>
      <c r="AZ41" s="27"/>
      <c r="BA41" s="1091" t="s">
        <v>101</v>
      </c>
      <c r="BB41" s="1092"/>
      <c r="BC41" s="1092"/>
      <c r="BD41" s="1093"/>
      <c r="BE41" s="379"/>
      <c r="BF41" s="380"/>
      <c r="BG41" s="380"/>
      <c r="BH41" s="380"/>
      <c r="BI41" s="422"/>
      <c r="BJ41" s="956"/>
      <c r="BK41" s="957"/>
      <c r="BL41" s="957"/>
      <c r="BM41" s="957"/>
      <c r="BN41" s="958"/>
      <c r="BO41" s="376"/>
      <c r="BP41" s="377"/>
      <c r="BQ41" s="377"/>
      <c r="BR41" s="377"/>
      <c r="BS41" s="378"/>
      <c r="BT41" s="376"/>
      <c r="BU41" s="377"/>
      <c r="BV41" s="377"/>
      <c r="BW41" s="377"/>
      <c r="BX41" s="416"/>
    </row>
    <row r="42" spans="1:76" ht="10.5" customHeight="1" thickBot="1" x14ac:dyDescent="0.2">
      <c r="A42" s="2">
        <v>37</v>
      </c>
      <c r="B42" s="1622"/>
      <c r="C42" s="1623"/>
      <c r="D42" s="1630"/>
      <c r="E42" s="1631"/>
      <c r="F42" s="1642" t="s">
        <v>241</v>
      </c>
      <c r="G42" s="1643"/>
      <c r="H42" s="1643"/>
      <c r="I42" s="1643"/>
      <c r="J42" s="1644"/>
      <c r="K42" s="179" t="s">
        <v>254</v>
      </c>
      <c r="L42" s="1328"/>
      <c r="M42" s="1329"/>
      <c r="N42" s="1329"/>
      <c r="O42" s="1329"/>
      <c r="P42" s="1474"/>
      <c r="Q42" s="1079"/>
      <c r="R42" s="871"/>
      <c r="S42" s="1650" t="s">
        <v>563</v>
      </c>
      <c r="T42" s="1651"/>
      <c r="U42" s="1561" t="s">
        <v>564</v>
      </c>
      <c r="V42" s="894"/>
      <c r="W42" s="894"/>
      <c r="X42" s="894"/>
      <c r="Y42" s="895"/>
      <c r="Z42" s="20" t="s">
        <v>254</v>
      </c>
      <c r="AA42" s="1328"/>
      <c r="AB42" s="1329"/>
      <c r="AC42" s="1329"/>
      <c r="AD42" s="1329"/>
      <c r="AE42" s="1334"/>
      <c r="AF42" s="723"/>
      <c r="AG42" s="992"/>
      <c r="AH42" s="1059"/>
      <c r="AI42" s="1042" t="s">
        <v>353</v>
      </c>
      <c r="AJ42" s="1645"/>
      <c r="AK42" s="1554"/>
      <c r="AL42" s="591"/>
      <c r="AM42" s="591"/>
      <c r="AN42" s="591"/>
      <c r="AO42" s="1555"/>
      <c r="AP42" s="1556"/>
      <c r="AQ42" s="377"/>
      <c r="AR42" s="377"/>
      <c r="AS42" s="377"/>
      <c r="AT42" s="1612"/>
      <c r="BJ42" s="1044"/>
      <c r="BK42" s="1045"/>
      <c r="BL42" s="1045"/>
      <c r="BM42" s="1045"/>
      <c r="BN42" s="1046"/>
      <c r="BO42" s="379"/>
      <c r="BP42" s="380"/>
      <c r="BQ42" s="380"/>
      <c r="BR42" s="380"/>
      <c r="BS42" s="381"/>
      <c r="BT42" s="379"/>
      <c r="BU42" s="380"/>
      <c r="BV42" s="380"/>
      <c r="BW42" s="380"/>
      <c r="BX42" s="422"/>
    </row>
    <row r="43" spans="1:76" ht="10.5" customHeight="1" x14ac:dyDescent="0.15">
      <c r="A43" s="2">
        <v>38</v>
      </c>
      <c r="B43" s="1622"/>
      <c r="C43" s="1623"/>
      <c r="D43" s="1636" t="s">
        <v>232</v>
      </c>
      <c r="E43" s="1637"/>
      <c r="F43" s="1642" t="s">
        <v>303</v>
      </c>
      <c r="G43" s="1643"/>
      <c r="H43" s="1643"/>
      <c r="I43" s="1643"/>
      <c r="J43" s="1644"/>
      <c r="K43" s="177" t="s">
        <v>234</v>
      </c>
      <c r="L43" s="1328"/>
      <c r="M43" s="1329"/>
      <c r="N43" s="1329"/>
      <c r="O43" s="1329"/>
      <c r="P43" s="1474"/>
      <c r="Q43" s="1079"/>
      <c r="R43" s="871"/>
      <c r="S43" s="1652"/>
      <c r="T43" s="1653"/>
      <c r="U43" s="180"/>
      <c r="V43" s="893" t="s">
        <v>352</v>
      </c>
      <c r="W43" s="894"/>
      <c r="X43" s="894"/>
      <c r="Y43" s="895"/>
      <c r="Z43" s="20" t="s">
        <v>254</v>
      </c>
      <c r="AA43" s="1328"/>
      <c r="AB43" s="1329"/>
      <c r="AC43" s="1329"/>
      <c r="AD43" s="1329"/>
      <c r="AE43" s="1334"/>
      <c r="AF43" s="725"/>
      <c r="AG43" s="611" t="s">
        <v>328</v>
      </c>
      <c r="AH43" s="612"/>
      <c r="AI43" s="612"/>
      <c r="AJ43" s="612"/>
      <c r="AK43" s="1557"/>
      <c r="AL43" s="850"/>
      <c r="AM43" s="850"/>
      <c r="AN43" s="850"/>
      <c r="AO43" s="1558"/>
      <c r="AP43" s="1553"/>
      <c r="AQ43" s="458"/>
      <c r="AR43" s="458"/>
      <c r="AS43" s="458"/>
      <c r="AT43" s="1600"/>
      <c r="BX43" s="14"/>
    </row>
    <row r="44" spans="1:76" ht="10.5" customHeight="1" x14ac:dyDescent="0.15">
      <c r="A44" s="2">
        <v>39</v>
      </c>
      <c r="B44" s="1622"/>
      <c r="C44" s="1623"/>
      <c r="D44" s="1638"/>
      <c r="E44" s="1639"/>
      <c r="F44" s="1646" t="s">
        <v>355</v>
      </c>
      <c r="G44" s="1647"/>
      <c r="H44" s="1647"/>
      <c r="I44" s="1647"/>
      <c r="J44" s="1648"/>
      <c r="K44" s="181" t="s">
        <v>80</v>
      </c>
      <c r="L44" s="1328"/>
      <c r="M44" s="1329"/>
      <c r="N44" s="1329"/>
      <c r="O44" s="1329"/>
      <c r="P44" s="1474"/>
      <c r="Q44" s="1079"/>
      <c r="R44" s="871"/>
      <c r="S44" s="1652"/>
      <c r="T44" s="1653"/>
      <c r="U44" s="182"/>
      <c r="V44" s="893" t="s">
        <v>565</v>
      </c>
      <c r="W44" s="894"/>
      <c r="X44" s="894"/>
      <c r="Y44" s="895"/>
      <c r="Z44" s="20" t="s">
        <v>254</v>
      </c>
      <c r="AA44" s="1328"/>
      <c r="AB44" s="1329"/>
      <c r="AC44" s="1329"/>
      <c r="AD44" s="1329"/>
      <c r="AE44" s="1334"/>
      <c r="AF44" s="723" t="s">
        <v>361</v>
      </c>
      <c r="AG44" s="1065" t="s">
        <v>330</v>
      </c>
      <c r="AH44" s="1065"/>
      <c r="AI44" s="1065"/>
      <c r="AJ44" s="592"/>
      <c r="AK44" s="1551"/>
      <c r="AL44" s="916"/>
      <c r="AM44" s="916"/>
      <c r="AN44" s="916"/>
      <c r="AO44" s="1552"/>
      <c r="AP44" s="1524"/>
      <c r="AQ44" s="359"/>
      <c r="AR44" s="359"/>
      <c r="AS44" s="359"/>
      <c r="AT44" s="1611"/>
      <c r="BX44" s="14"/>
    </row>
    <row r="45" spans="1:76" ht="10.5" customHeight="1" x14ac:dyDescent="0.15">
      <c r="A45" s="2">
        <v>40</v>
      </c>
      <c r="B45" s="1624"/>
      <c r="C45" s="1625"/>
      <c r="D45" s="1640"/>
      <c r="E45" s="1641"/>
      <c r="F45" s="1646" t="s">
        <v>308</v>
      </c>
      <c r="G45" s="1647"/>
      <c r="H45" s="1647"/>
      <c r="I45" s="1647"/>
      <c r="J45" s="1648"/>
      <c r="K45" s="183" t="s">
        <v>80</v>
      </c>
      <c r="L45" s="1331"/>
      <c r="M45" s="1332"/>
      <c r="N45" s="1332"/>
      <c r="O45" s="1332"/>
      <c r="P45" s="1489"/>
      <c r="Q45" s="1080"/>
      <c r="R45" s="873"/>
      <c r="S45" s="1654"/>
      <c r="T45" s="1655"/>
      <c r="U45" s="611" t="s">
        <v>272</v>
      </c>
      <c r="V45" s="612"/>
      <c r="W45" s="612"/>
      <c r="X45" s="612"/>
      <c r="Y45" s="972"/>
      <c r="Z45" s="24" t="s">
        <v>80</v>
      </c>
      <c r="AA45" s="1331"/>
      <c r="AB45" s="1332"/>
      <c r="AC45" s="1332"/>
      <c r="AD45" s="1332"/>
      <c r="AE45" s="1355"/>
      <c r="AF45" s="723"/>
      <c r="AG45" s="1048" t="s">
        <v>365</v>
      </c>
      <c r="AH45" s="1048"/>
      <c r="AI45" s="1048"/>
      <c r="AJ45" s="500"/>
      <c r="AK45" s="1554"/>
      <c r="AL45" s="591"/>
      <c r="AM45" s="591"/>
      <c r="AN45" s="591"/>
      <c r="AO45" s="1555"/>
      <c r="AP45" s="1556"/>
      <c r="AQ45" s="377"/>
      <c r="AR45" s="377"/>
      <c r="AS45" s="377"/>
      <c r="AT45" s="1612"/>
      <c r="BX45" s="14"/>
    </row>
    <row r="46" spans="1:76" ht="10.5" customHeight="1" x14ac:dyDescent="0.15">
      <c r="A46" s="2">
        <v>41</v>
      </c>
      <c r="B46" s="1620" t="s">
        <v>566</v>
      </c>
      <c r="C46" s="1621"/>
      <c r="D46" s="1626" t="s">
        <v>229</v>
      </c>
      <c r="E46" s="1627"/>
      <c r="F46" s="1657" t="s">
        <v>359</v>
      </c>
      <c r="G46" s="1657"/>
      <c r="H46" s="1657"/>
      <c r="I46" s="1657"/>
      <c r="J46" s="1658"/>
      <c r="K46" s="176" t="s">
        <v>270</v>
      </c>
      <c r="L46" s="1314"/>
      <c r="M46" s="1315"/>
      <c r="N46" s="1315"/>
      <c r="O46" s="1315"/>
      <c r="P46" s="1472"/>
      <c r="Q46" s="1079" t="s">
        <v>279</v>
      </c>
      <c r="R46" s="919"/>
      <c r="S46" s="992" t="s">
        <v>567</v>
      </c>
      <c r="T46" s="1059"/>
      <c r="U46" s="766" t="s">
        <v>360</v>
      </c>
      <c r="V46" s="593"/>
      <c r="W46" s="593"/>
      <c r="X46" s="593"/>
      <c r="Y46" s="993"/>
      <c r="Z46" s="22" t="s">
        <v>342</v>
      </c>
      <c r="AA46" s="1314"/>
      <c r="AB46" s="1315"/>
      <c r="AC46" s="1315"/>
      <c r="AD46" s="1315"/>
      <c r="AE46" s="1341"/>
      <c r="AF46" s="723"/>
      <c r="AG46" s="1656" t="s">
        <v>568</v>
      </c>
      <c r="AH46" s="1656"/>
      <c r="AI46" s="1656"/>
      <c r="AJ46" s="1042"/>
      <c r="AK46" s="1554"/>
      <c r="AL46" s="591"/>
      <c r="AM46" s="591"/>
      <c r="AN46" s="591"/>
      <c r="AO46" s="1555"/>
      <c r="AP46" s="1556"/>
      <c r="AQ46" s="377"/>
      <c r="AR46" s="377"/>
      <c r="AS46" s="377"/>
      <c r="AT46" s="1612"/>
      <c r="BX46" s="14"/>
    </row>
    <row r="47" spans="1:76" ht="10.5" customHeight="1" x14ac:dyDescent="0.15">
      <c r="A47" s="2">
        <v>42</v>
      </c>
      <c r="B47" s="1622"/>
      <c r="C47" s="1623"/>
      <c r="D47" s="1628"/>
      <c r="E47" s="1629"/>
      <c r="F47" s="1642" t="s">
        <v>241</v>
      </c>
      <c r="G47" s="1643"/>
      <c r="H47" s="1643"/>
      <c r="I47" s="1643"/>
      <c r="J47" s="1644"/>
      <c r="K47" s="177" t="s">
        <v>254</v>
      </c>
      <c r="L47" s="1328"/>
      <c r="M47" s="1329"/>
      <c r="N47" s="1329"/>
      <c r="O47" s="1329"/>
      <c r="P47" s="1474"/>
      <c r="Q47" s="1080"/>
      <c r="R47" s="920"/>
      <c r="S47" s="1659"/>
      <c r="T47" s="1660"/>
      <c r="U47" s="947" t="s">
        <v>364</v>
      </c>
      <c r="V47" s="948"/>
      <c r="W47" s="948"/>
      <c r="X47" s="948"/>
      <c r="Y47" s="949"/>
      <c r="Z47" s="160" t="s">
        <v>80</v>
      </c>
      <c r="AA47" s="1331"/>
      <c r="AB47" s="1332"/>
      <c r="AC47" s="1332"/>
      <c r="AD47" s="1332"/>
      <c r="AE47" s="1355"/>
      <c r="AF47" s="725"/>
      <c r="AG47" s="937" t="s">
        <v>333</v>
      </c>
      <c r="AH47" s="937"/>
      <c r="AI47" s="937"/>
      <c r="AJ47" s="611"/>
      <c r="AK47" s="1557"/>
      <c r="AL47" s="850"/>
      <c r="AM47" s="850"/>
      <c r="AN47" s="850"/>
      <c r="AO47" s="1558"/>
      <c r="AP47" s="1553"/>
      <c r="AQ47" s="458"/>
      <c r="AR47" s="458"/>
      <c r="AS47" s="458"/>
      <c r="AT47" s="1600"/>
      <c r="BX47" s="14"/>
    </row>
    <row r="48" spans="1:76" ht="10.5" customHeight="1" thickBot="1" x14ac:dyDescent="0.2">
      <c r="A48" s="2">
        <v>43</v>
      </c>
      <c r="B48" s="1622"/>
      <c r="C48" s="1623"/>
      <c r="D48" s="1628"/>
      <c r="E48" s="1629"/>
      <c r="F48" s="1642" t="s">
        <v>368</v>
      </c>
      <c r="G48" s="1643"/>
      <c r="H48" s="1643"/>
      <c r="I48" s="1643"/>
      <c r="J48" s="1644"/>
      <c r="K48" s="177" t="s">
        <v>254</v>
      </c>
      <c r="L48" s="1328"/>
      <c r="M48" s="1329"/>
      <c r="N48" s="1329"/>
      <c r="O48" s="1329"/>
      <c r="P48" s="1474"/>
      <c r="Q48" s="1534" t="s">
        <v>369</v>
      </c>
      <c r="R48" s="941"/>
      <c r="S48" s="968" t="s">
        <v>370</v>
      </c>
      <c r="T48" s="495"/>
      <c r="U48" s="495"/>
      <c r="V48" s="495"/>
      <c r="W48" s="495"/>
      <c r="X48" s="495"/>
      <c r="Y48" s="976"/>
      <c r="Z48" s="19" t="s">
        <v>371</v>
      </c>
      <c r="AA48" s="1314"/>
      <c r="AB48" s="1315"/>
      <c r="AC48" s="1315"/>
      <c r="AD48" s="1315"/>
      <c r="AE48" s="1341"/>
      <c r="AF48" s="1095" t="s">
        <v>378</v>
      </c>
      <c r="AG48" s="1095"/>
      <c r="AH48" s="1095"/>
      <c r="AI48" s="1095"/>
      <c r="AJ48" s="1095"/>
      <c r="AK48" s="1661"/>
      <c r="AL48" s="1662"/>
      <c r="AM48" s="1662"/>
      <c r="AN48" s="1662"/>
      <c r="AO48" s="1663"/>
      <c r="AP48" s="1664"/>
      <c r="AQ48" s="1665"/>
      <c r="AR48" s="1665"/>
      <c r="AS48" s="1665"/>
      <c r="AT48" s="1666"/>
      <c r="BX48" s="14"/>
    </row>
    <row r="49" spans="1:76" ht="10.5" customHeight="1" x14ac:dyDescent="0.15">
      <c r="A49" s="2">
        <v>44</v>
      </c>
      <c r="B49" s="1622"/>
      <c r="C49" s="1623"/>
      <c r="D49" s="1628"/>
      <c r="E49" s="1629"/>
      <c r="F49" s="1642" t="s">
        <v>469</v>
      </c>
      <c r="G49" s="1643"/>
      <c r="H49" s="1643"/>
      <c r="I49" s="1643"/>
      <c r="J49" s="1644"/>
      <c r="K49" s="179" t="s">
        <v>254</v>
      </c>
      <c r="L49" s="1328"/>
      <c r="M49" s="1329"/>
      <c r="N49" s="1329"/>
      <c r="O49" s="1329"/>
      <c r="P49" s="1474"/>
      <c r="Q49" s="1079"/>
      <c r="R49" s="871"/>
      <c r="S49" s="500" t="s">
        <v>374</v>
      </c>
      <c r="T49" s="501"/>
      <c r="U49" s="501"/>
      <c r="V49" s="501"/>
      <c r="W49" s="501"/>
      <c r="X49" s="501"/>
      <c r="Y49" s="1667"/>
      <c r="Z49" s="159" t="s">
        <v>234</v>
      </c>
      <c r="AA49" s="1328"/>
      <c r="AB49" s="1329"/>
      <c r="AC49" s="1329"/>
      <c r="AD49" s="1329"/>
      <c r="AE49" s="1334"/>
      <c r="AF49" s="184"/>
      <c r="AG49" s="184"/>
      <c r="AH49" s="184"/>
      <c r="AI49" s="184"/>
      <c r="AJ49" s="184"/>
      <c r="BX49" s="14"/>
    </row>
    <row r="50" spans="1:76" ht="9.75" customHeight="1" thickBot="1" x14ac:dyDescent="0.2">
      <c r="A50" s="2">
        <v>45</v>
      </c>
      <c r="B50" s="1622"/>
      <c r="C50" s="1623"/>
      <c r="D50" s="1628"/>
      <c r="E50" s="1629"/>
      <c r="F50" s="1642" t="s">
        <v>316</v>
      </c>
      <c r="G50" s="1643"/>
      <c r="H50" s="1643"/>
      <c r="I50" s="1643"/>
      <c r="J50" s="1644"/>
      <c r="K50" s="177" t="s">
        <v>254</v>
      </c>
      <c r="L50" s="1328"/>
      <c r="M50" s="1329"/>
      <c r="N50" s="1329"/>
      <c r="O50" s="1329"/>
      <c r="P50" s="1474"/>
      <c r="Q50" s="1677"/>
      <c r="R50" s="1076"/>
      <c r="S50" s="686" t="s">
        <v>569</v>
      </c>
      <c r="T50" s="687"/>
      <c r="U50" s="687"/>
      <c r="V50" s="687"/>
      <c r="W50" s="687"/>
      <c r="X50" s="687"/>
      <c r="Y50" s="1085"/>
      <c r="Z50" s="26" t="s">
        <v>371</v>
      </c>
      <c r="AA50" s="1376"/>
      <c r="AB50" s="1377"/>
      <c r="AC50" s="1377"/>
      <c r="AD50" s="1377"/>
      <c r="AE50" s="1444"/>
      <c r="BX50" s="14"/>
    </row>
    <row r="51" spans="1:76" ht="10.5" customHeight="1" x14ac:dyDescent="0.15">
      <c r="A51" s="2">
        <v>46</v>
      </c>
      <c r="B51" s="1622"/>
      <c r="C51" s="1623"/>
      <c r="D51" s="1628"/>
      <c r="E51" s="1629"/>
      <c r="F51" s="1675" t="s">
        <v>469</v>
      </c>
      <c r="G51" s="1675"/>
      <c r="H51" s="1675"/>
      <c r="I51" s="1675"/>
      <c r="J51" s="1676"/>
      <c r="K51" s="179" t="s">
        <v>254</v>
      </c>
      <c r="L51" s="1328"/>
      <c r="M51" s="1329"/>
      <c r="N51" s="1329"/>
      <c r="O51" s="1329"/>
      <c r="P51" s="1330"/>
      <c r="Q51" s="185"/>
      <c r="BX51" s="14"/>
    </row>
    <row r="52" spans="1:76" ht="9.75" customHeight="1" x14ac:dyDescent="0.15">
      <c r="A52" s="2">
        <v>47</v>
      </c>
      <c r="B52" s="1622"/>
      <c r="C52" s="1623"/>
      <c r="D52" s="1636" t="s">
        <v>232</v>
      </c>
      <c r="E52" s="1637"/>
      <c r="F52" s="1642" t="s">
        <v>233</v>
      </c>
      <c r="G52" s="1643"/>
      <c r="H52" s="1643"/>
      <c r="I52" s="1643"/>
      <c r="J52" s="1644"/>
      <c r="K52" s="177" t="s">
        <v>234</v>
      </c>
      <c r="L52" s="1328"/>
      <c r="M52" s="1329"/>
      <c r="N52" s="1329"/>
      <c r="O52" s="1329"/>
      <c r="P52" s="1330"/>
      <c r="Q52" s="186"/>
      <c r="BX52" s="14"/>
    </row>
    <row r="53" spans="1:76" ht="9.75" customHeight="1" x14ac:dyDescent="0.15">
      <c r="A53" s="2">
        <v>48</v>
      </c>
      <c r="B53" s="1622"/>
      <c r="C53" s="1623"/>
      <c r="D53" s="1638"/>
      <c r="E53" s="1639"/>
      <c r="F53" s="1646" t="s">
        <v>242</v>
      </c>
      <c r="G53" s="1647"/>
      <c r="H53" s="1647"/>
      <c r="I53" s="1647"/>
      <c r="J53" s="1648"/>
      <c r="K53" s="181" t="s">
        <v>80</v>
      </c>
      <c r="L53" s="1328"/>
      <c r="M53" s="1329"/>
      <c r="N53" s="1329"/>
      <c r="O53" s="1329"/>
      <c r="P53" s="1330"/>
      <c r="Q53" s="186"/>
      <c r="BX53" s="14"/>
    </row>
    <row r="54" spans="1:76" ht="9.75" customHeight="1" thickBot="1" x14ac:dyDescent="0.2">
      <c r="A54" s="2">
        <v>49</v>
      </c>
      <c r="B54" s="1671"/>
      <c r="C54" s="1672"/>
      <c r="D54" s="1673"/>
      <c r="E54" s="1674"/>
      <c r="F54" s="1668" t="s">
        <v>570</v>
      </c>
      <c r="G54" s="1669"/>
      <c r="H54" s="1669"/>
      <c r="I54" s="1669"/>
      <c r="J54" s="1670"/>
      <c r="K54" s="187" t="s">
        <v>80</v>
      </c>
      <c r="L54" s="1376"/>
      <c r="M54" s="1377"/>
      <c r="N54" s="1377"/>
      <c r="O54" s="1377"/>
      <c r="P54" s="1378"/>
      <c r="Q54" s="188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8"/>
    </row>
    <row r="55" spans="1:76" ht="10.5" customHeight="1" x14ac:dyDescent="0.15">
      <c r="A55" s="2"/>
      <c r="B55" s="1148">
        <v>1</v>
      </c>
      <c r="C55" s="1148"/>
      <c r="D55" s="1148"/>
      <c r="E55" s="1148"/>
      <c r="F55" s="1148"/>
      <c r="G55" s="1148">
        <v>2</v>
      </c>
      <c r="H55" s="1148"/>
      <c r="I55" s="1148"/>
      <c r="J55" s="1148"/>
      <c r="K55" s="1148"/>
      <c r="L55" s="1148">
        <v>3</v>
      </c>
      <c r="M55" s="1148"/>
      <c r="N55" s="1148"/>
      <c r="O55" s="1148"/>
      <c r="P55" s="1148"/>
      <c r="Q55" s="1148">
        <v>4</v>
      </c>
      <c r="R55" s="1148"/>
      <c r="S55" s="1148"/>
      <c r="T55" s="1148"/>
      <c r="U55" s="1148"/>
      <c r="V55" s="1148">
        <v>5</v>
      </c>
      <c r="W55" s="1148"/>
      <c r="X55" s="1148"/>
      <c r="Y55" s="1148"/>
      <c r="Z55" s="1148"/>
      <c r="AA55" s="1148">
        <v>6</v>
      </c>
      <c r="AB55" s="1148"/>
      <c r="AC55" s="1148"/>
      <c r="AD55" s="1148"/>
      <c r="AE55" s="1148"/>
      <c r="AF55" s="1148">
        <v>7</v>
      </c>
      <c r="AG55" s="1148"/>
      <c r="AH55" s="1148"/>
      <c r="AI55" s="1148"/>
      <c r="AJ55" s="1148"/>
      <c r="AK55" s="1148">
        <v>8</v>
      </c>
      <c r="AL55" s="1148"/>
      <c r="AM55" s="1148"/>
      <c r="AN55" s="1148"/>
      <c r="AO55" s="1148"/>
      <c r="AP55" s="1148">
        <v>9</v>
      </c>
      <c r="AQ55" s="1148"/>
      <c r="AR55" s="1148"/>
      <c r="AS55" s="1148"/>
      <c r="AT55" s="1148"/>
      <c r="AU55" s="1148">
        <v>10</v>
      </c>
      <c r="AV55" s="1148"/>
      <c r="AW55" s="1148"/>
      <c r="AX55" s="1148"/>
      <c r="AY55" s="1148"/>
      <c r="AZ55" s="1148">
        <v>11</v>
      </c>
      <c r="BA55" s="1148"/>
      <c r="BB55" s="1148"/>
      <c r="BC55" s="1148"/>
      <c r="BD55" s="1148"/>
      <c r="BE55" s="1148">
        <v>12</v>
      </c>
      <c r="BF55" s="1148"/>
      <c r="BG55" s="1148"/>
      <c r="BH55" s="1148"/>
      <c r="BI55" s="1148"/>
      <c r="BJ55" s="1148">
        <v>13</v>
      </c>
      <c r="BK55" s="1148"/>
      <c r="BL55" s="1148"/>
      <c r="BM55" s="1148"/>
      <c r="BN55" s="1148"/>
      <c r="BO55" s="1148">
        <v>14</v>
      </c>
      <c r="BP55" s="1148"/>
      <c r="BQ55" s="1148"/>
      <c r="BR55" s="1148"/>
      <c r="BS55" s="1148"/>
      <c r="BT55" s="1148">
        <v>15</v>
      </c>
      <c r="BU55" s="1148"/>
      <c r="BV55" s="1148"/>
      <c r="BW55" s="1148"/>
      <c r="BX55" s="1148"/>
    </row>
  </sheetData>
  <mergeCells count="589">
    <mergeCell ref="BJ55:BN55"/>
    <mergeCell ref="BO55:BS55"/>
    <mergeCell ref="BT55:BX55"/>
    <mergeCell ref="AF55:AJ55"/>
    <mergeCell ref="AK55:AO55"/>
    <mergeCell ref="AP55:AT55"/>
    <mergeCell ref="AU55:AY55"/>
    <mergeCell ref="AZ55:BD55"/>
    <mergeCell ref="BE55:BI55"/>
    <mergeCell ref="B55:F55"/>
    <mergeCell ref="G55:K55"/>
    <mergeCell ref="L55:P55"/>
    <mergeCell ref="Q55:U55"/>
    <mergeCell ref="V55:Z55"/>
    <mergeCell ref="AA55:AE55"/>
    <mergeCell ref="F52:J52"/>
    <mergeCell ref="L52:P52"/>
    <mergeCell ref="F53:J53"/>
    <mergeCell ref="L53:P53"/>
    <mergeCell ref="F54:J54"/>
    <mergeCell ref="L54:P54"/>
    <mergeCell ref="B46:C54"/>
    <mergeCell ref="D46:E51"/>
    <mergeCell ref="D52:E54"/>
    <mergeCell ref="L46:P46"/>
    <mergeCell ref="F51:J51"/>
    <mergeCell ref="L51:P51"/>
    <mergeCell ref="F48:J48"/>
    <mergeCell ref="L48:P48"/>
    <mergeCell ref="Q48:R50"/>
    <mergeCell ref="S48:Y48"/>
    <mergeCell ref="AA48:AE48"/>
    <mergeCell ref="U46:Y46"/>
    <mergeCell ref="AF48:AJ48"/>
    <mergeCell ref="AK48:AO48"/>
    <mergeCell ref="AP48:AT48"/>
    <mergeCell ref="F49:J49"/>
    <mergeCell ref="L49:P49"/>
    <mergeCell ref="S49:Y49"/>
    <mergeCell ref="AA49:AE49"/>
    <mergeCell ref="F50:J50"/>
    <mergeCell ref="L50:P50"/>
    <mergeCell ref="S50:Y50"/>
    <mergeCell ref="AA50:AE50"/>
    <mergeCell ref="AA46:AE46"/>
    <mergeCell ref="AG46:AJ46"/>
    <mergeCell ref="AK46:AO46"/>
    <mergeCell ref="AP46:AT46"/>
    <mergeCell ref="F47:J47"/>
    <mergeCell ref="L47:P47"/>
    <mergeCell ref="U47:Y47"/>
    <mergeCell ref="AA47:AE47"/>
    <mergeCell ref="AG47:AJ47"/>
    <mergeCell ref="F46:J46"/>
    <mergeCell ref="AK47:AO47"/>
    <mergeCell ref="AP47:AT47"/>
    <mergeCell ref="Q46:R47"/>
    <mergeCell ref="S46:T47"/>
    <mergeCell ref="AP43:AT43"/>
    <mergeCell ref="AP41:AT41"/>
    <mergeCell ref="AI41:AJ41"/>
    <mergeCell ref="AK41:AO41"/>
    <mergeCell ref="AF44:AF47"/>
    <mergeCell ref="AG44:AJ44"/>
    <mergeCell ref="AK44:AO44"/>
    <mergeCell ref="AP44:AT44"/>
    <mergeCell ref="AG45:AJ45"/>
    <mergeCell ref="AK45:AO45"/>
    <mergeCell ref="AP45:AT45"/>
    <mergeCell ref="BT40:BX40"/>
    <mergeCell ref="F41:J41"/>
    <mergeCell ref="L41:P41"/>
    <mergeCell ref="Q41:R45"/>
    <mergeCell ref="S41:Y41"/>
    <mergeCell ref="AI40:AJ40"/>
    <mergeCell ref="AK40:AO40"/>
    <mergeCell ref="AP40:AT40"/>
    <mergeCell ref="BB40:BD40"/>
    <mergeCell ref="BE40:BI40"/>
    <mergeCell ref="BJ40:BN40"/>
    <mergeCell ref="AI42:AJ42"/>
    <mergeCell ref="AK42:AO42"/>
    <mergeCell ref="AP42:AT42"/>
    <mergeCell ref="BJ42:BN42"/>
    <mergeCell ref="BO42:BS42"/>
    <mergeCell ref="BT42:BX42"/>
    <mergeCell ref="BA41:BD41"/>
    <mergeCell ref="BE41:BI41"/>
    <mergeCell ref="BJ41:BN41"/>
    <mergeCell ref="BO41:BS41"/>
    <mergeCell ref="BT41:BX41"/>
    <mergeCell ref="AA43:AE43"/>
    <mergeCell ref="AK43:AO43"/>
    <mergeCell ref="BO38:BS38"/>
    <mergeCell ref="BT38:BX38"/>
    <mergeCell ref="BB39:BD39"/>
    <mergeCell ref="BE39:BI39"/>
    <mergeCell ref="BJ39:BN39"/>
    <mergeCell ref="BO39:BS39"/>
    <mergeCell ref="BT39:BX39"/>
    <mergeCell ref="F40:J40"/>
    <mergeCell ref="L40:P40"/>
    <mergeCell ref="S40:Y40"/>
    <mergeCell ref="AA40:AE40"/>
    <mergeCell ref="AG40:AH42"/>
    <mergeCell ref="F42:J42"/>
    <mergeCell ref="L42:P42"/>
    <mergeCell ref="S42:T45"/>
    <mergeCell ref="U42:Y42"/>
    <mergeCell ref="AA42:AE42"/>
    <mergeCell ref="AG43:AJ43"/>
    <mergeCell ref="F45:J45"/>
    <mergeCell ref="L45:P45"/>
    <mergeCell ref="U45:Y45"/>
    <mergeCell ref="AA45:AE45"/>
    <mergeCell ref="AA44:AE44"/>
    <mergeCell ref="BO40:BS40"/>
    <mergeCell ref="F44:J44"/>
    <mergeCell ref="L44:P44"/>
    <mergeCell ref="BE37:BI37"/>
    <mergeCell ref="BJ37:BN37"/>
    <mergeCell ref="BO37:BS37"/>
    <mergeCell ref="BT37:BX37"/>
    <mergeCell ref="F38:J38"/>
    <mergeCell ref="L38:P38"/>
    <mergeCell ref="S38:Y38"/>
    <mergeCell ref="AA38:AE38"/>
    <mergeCell ref="AI38:AJ38"/>
    <mergeCell ref="AK38:AO38"/>
    <mergeCell ref="AF37:AF43"/>
    <mergeCell ref="AG37:AH39"/>
    <mergeCell ref="AI37:AJ37"/>
    <mergeCell ref="AK37:AO37"/>
    <mergeCell ref="AP37:AT37"/>
    <mergeCell ref="BB37:BD37"/>
    <mergeCell ref="AP38:AT38"/>
    <mergeCell ref="BB38:BD38"/>
    <mergeCell ref="AK39:AO39"/>
    <mergeCell ref="AP39:AT39"/>
    <mergeCell ref="BE38:BI38"/>
    <mergeCell ref="BJ38:BN38"/>
    <mergeCell ref="AP36:AT36"/>
    <mergeCell ref="BA36:BD36"/>
    <mergeCell ref="BE36:BI36"/>
    <mergeCell ref="BJ36:BN36"/>
    <mergeCell ref="BO36:BS36"/>
    <mergeCell ref="BT36:BX36"/>
    <mergeCell ref="B37:C45"/>
    <mergeCell ref="D37:E42"/>
    <mergeCell ref="F37:J37"/>
    <mergeCell ref="L37:P37"/>
    <mergeCell ref="Q37:Y37"/>
    <mergeCell ref="AA37:AE37"/>
    <mergeCell ref="D43:E45"/>
    <mergeCell ref="F43:J43"/>
    <mergeCell ref="L43:P43"/>
    <mergeCell ref="V43:Y43"/>
    <mergeCell ref="F39:J39"/>
    <mergeCell ref="L39:P39"/>
    <mergeCell ref="Q39:R40"/>
    <mergeCell ref="S39:Y39"/>
    <mergeCell ref="AA39:AE39"/>
    <mergeCell ref="AA41:AE41"/>
    <mergeCell ref="V44:Y44"/>
    <mergeCell ref="AI39:AJ39"/>
    <mergeCell ref="BE33:BI33"/>
    <mergeCell ref="BJ33:BN33"/>
    <mergeCell ref="BO33:BS33"/>
    <mergeCell ref="F33:J33"/>
    <mergeCell ref="BO35:BS35"/>
    <mergeCell ref="BT35:BX35"/>
    <mergeCell ref="BJ34:BN34"/>
    <mergeCell ref="BO34:BS34"/>
    <mergeCell ref="BT34:BX34"/>
    <mergeCell ref="F34:J34"/>
    <mergeCell ref="L34:P34"/>
    <mergeCell ref="U34:Y34"/>
    <mergeCell ref="AA34:AE34"/>
    <mergeCell ref="AG34:AJ34"/>
    <mergeCell ref="AK34:AO34"/>
    <mergeCell ref="AP34:AT34"/>
    <mergeCell ref="BA34:BD34"/>
    <mergeCell ref="BE34:BI34"/>
    <mergeCell ref="AP35:AT35"/>
    <mergeCell ref="BA35:BD35"/>
    <mergeCell ref="BE35:BI35"/>
    <mergeCell ref="BJ35:BN35"/>
    <mergeCell ref="BT33:BX33"/>
    <mergeCell ref="L35:P35"/>
    <mergeCell ref="U35:Y35"/>
    <mergeCell ref="AA35:AE35"/>
    <mergeCell ref="AG35:AJ35"/>
    <mergeCell ref="AK35:AO35"/>
    <mergeCell ref="F36:J36"/>
    <mergeCell ref="L36:P36"/>
    <mergeCell ref="S36:Y36"/>
    <mergeCell ref="AA36:AE36"/>
    <mergeCell ref="AF36:AJ36"/>
    <mergeCell ref="AK36:AO36"/>
    <mergeCell ref="AF33:AF35"/>
    <mergeCell ref="AG33:AJ33"/>
    <mergeCell ref="AK33:AO33"/>
    <mergeCell ref="B13:C30"/>
    <mergeCell ref="D13:E24"/>
    <mergeCell ref="BO32:BS32"/>
    <mergeCell ref="BT32:BX32"/>
    <mergeCell ref="AK31:AO31"/>
    <mergeCell ref="AP31:AT31"/>
    <mergeCell ref="BJ31:BN31"/>
    <mergeCell ref="BO31:BS31"/>
    <mergeCell ref="BT31:BX31"/>
    <mergeCell ref="F32:J32"/>
    <mergeCell ref="L32:P32"/>
    <mergeCell ref="U32:Y32"/>
    <mergeCell ref="AA32:AE32"/>
    <mergeCell ref="AG32:AJ32"/>
    <mergeCell ref="BT29:BX29"/>
    <mergeCell ref="F30:J30"/>
    <mergeCell ref="L30:P30"/>
    <mergeCell ref="U30:Y30"/>
    <mergeCell ref="AA30:AE30"/>
    <mergeCell ref="BT30:BX30"/>
    <mergeCell ref="B31:C36"/>
    <mergeCell ref="D31:E34"/>
    <mergeCell ref="D35:E36"/>
    <mergeCell ref="F35:J35"/>
    <mergeCell ref="BE28:BI28"/>
    <mergeCell ref="BJ28:BN28"/>
    <mergeCell ref="BO28:BS28"/>
    <mergeCell ref="BE29:BI29"/>
    <mergeCell ref="BJ29:BN29"/>
    <mergeCell ref="BO29:BS29"/>
    <mergeCell ref="BJ27:BN27"/>
    <mergeCell ref="BO27:BS27"/>
    <mergeCell ref="BE26:BI26"/>
    <mergeCell ref="BJ26:BN26"/>
    <mergeCell ref="BO26:BS26"/>
    <mergeCell ref="AA31:AE31"/>
    <mergeCell ref="AG31:AJ31"/>
    <mergeCell ref="L33:P33"/>
    <mergeCell ref="U33:Y33"/>
    <mergeCell ref="D25:E30"/>
    <mergeCell ref="AU29:AY29"/>
    <mergeCell ref="AZ29:BD29"/>
    <mergeCell ref="AP28:AT28"/>
    <mergeCell ref="AU28:AY28"/>
    <mergeCell ref="AZ28:BD28"/>
    <mergeCell ref="AP30:AT30"/>
    <mergeCell ref="AV30:AY30"/>
    <mergeCell ref="AG30:AJ30"/>
    <mergeCell ref="AK30:AO30"/>
    <mergeCell ref="AA33:AE33"/>
    <mergeCell ref="AP33:AT33"/>
    <mergeCell ref="AZ33:BD33"/>
    <mergeCell ref="AK32:AO32"/>
    <mergeCell ref="F25:J25"/>
    <mergeCell ref="L25:P25"/>
    <mergeCell ref="F29:J29"/>
    <mergeCell ref="L29:P29"/>
    <mergeCell ref="U29:Y29"/>
    <mergeCell ref="AA29:AE29"/>
    <mergeCell ref="BJ30:BN30"/>
    <mergeCell ref="BO30:BS30"/>
    <mergeCell ref="AZ32:BI32"/>
    <mergeCell ref="BJ32:BN32"/>
    <mergeCell ref="AG29:AJ29"/>
    <mergeCell ref="AK29:AO29"/>
    <mergeCell ref="AP29:AT29"/>
    <mergeCell ref="F27:J27"/>
    <mergeCell ref="L27:P27"/>
    <mergeCell ref="F28:J28"/>
    <mergeCell ref="L28:P28"/>
    <mergeCell ref="U28:Y28"/>
    <mergeCell ref="AA28:AE28"/>
    <mergeCell ref="AF28:AF32"/>
    <mergeCell ref="AG28:AJ28"/>
    <mergeCell ref="AK28:AO28"/>
    <mergeCell ref="AG27:AJ27"/>
    <mergeCell ref="AK27:AO27"/>
    <mergeCell ref="F31:J31"/>
    <mergeCell ref="L31:P31"/>
    <mergeCell ref="Q31:R36"/>
    <mergeCell ref="S31:T35"/>
    <mergeCell ref="U31:Y31"/>
    <mergeCell ref="AP32:AT32"/>
    <mergeCell ref="BO25:BS25"/>
    <mergeCell ref="BT25:BX25"/>
    <mergeCell ref="AU25:AY25"/>
    <mergeCell ref="AZ25:BD25"/>
    <mergeCell ref="BE25:BI25"/>
    <mergeCell ref="U25:Y25"/>
    <mergeCell ref="AA25:AE25"/>
    <mergeCell ref="AF25:AF27"/>
    <mergeCell ref="U27:Y27"/>
    <mergeCell ref="AA27:AE27"/>
    <mergeCell ref="AU26:AY26"/>
    <mergeCell ref="AZ26:BD26"/>
    <mergeCell ref="BT27:BX27"/>
    <mergeCell ref="AP27:AT27"/>
    <mergeCell ref="AV27:AY27"/>
    <mergeCell ref="AZ27:BD27"/>
    <mergeCell ref="BE27:BI27"/>
    <mergeCell ref="BT26:BX26"/>
    <mergeCell ref="AP25:AT25"/>
    <mergeCell ref="BJ25:BN25"/>
    <mergeCell ref="BT28:BX28"/>
    <mergeCell ref="AZ30:BD30"/>
    <mergeCell ref="BE30:BI30"/>
    <mergeCell ref="BO24:BS24"/>
    <mergeCell ref="BT24:BX24"/>
    <mergeCell ref="BO23:BS23"/>
    <mergeCell ref="BT23:BX23"/>
    <mergeCell ref="F24:J24"/>
    <mergeCell ref="L24:P24"/>
    <mergeCell ref="Q24:R30"/>
    <mergeCell ref="S24:T30"/>
    <mergeCell ref="U24:Y24"/>
    <mergeCell ref="AA24:AE24"/>
    <mergeCell ref="AG24:AJ24"/>
    <mergeCell ref="AK24:AO24"/>
    <mergeCell ref="F26:J26"/>
    <mergeCell ref="L26:P26"/>
    <mergeCell ref="U26:Y26"/>
    <mergeCell ref="AA26:AE26"/>
    <mergeCell ref="AG26:AJ26"/>
    <mergeCell ref="AK26:AO26"/>
    <mergeCell ref="AP26:AT26"/>
    <mergeCell ref="AG25:AJ25"/>
    <mergeCell ref="AK25:AO25"/>
    <mergeCell ref="AZ22:BD22"/>
    <mergeCell ref="BE22:BI22"/>
    <mergeCell ref="BJ22:BN22"/>
    <mergeCell ref="AZ23:BD23"/>
    <mergeCell ref="BE23:BI23"/>
    <mergeCell ref="BJ23:BN23"/>
    <mergeCell ref="AP24:AT24"/>
    <mergeCell ref="AW24:AY24"/>
    <mergeCell ref="AZ24:BD24"/>
    <mergeCell ref="BE24:BI24"/>
    <mergeCell ref="BJ24:BN24"/>
    <mergeCell ref="L23:P23"/>
    <mergeCell ref="S23:Y23"/>
    <mergeCell ref="AA23:AE23"/>
    <mergeCell ref="AG23:AJ23"/>
    <mergeCell ref="AK23:AO23"/>
    <mergeCell ref="AP23:AT23"/>
    <mergeCell ref="AW23:AY23"/>
    <mergeCell ref="AP22:AT22"/>
    <mergeCell ref="AU22:AV24"/>
    <mergeCell ref="AW22:AY22"/>
    <mergeCell ref="F21:J21"/>
    <mergeCell ref="L21:P21"/>
    <mergeCell ref="U21:Y21"/>
    <mergeCell ref="AA21:AE21"/>
    <mergeCell ref="AF21:AF24"/>
    <mergeCell ref="BJ21:BN21"/>
    <mergeCell ref="BO21:BS21"/>
    <mergeCell ref="BT21:BX21"/>
    <mergeCell ref="F22:J22"/>
    <mergeCell ref="L22:P22"/>
    <mergeCell ref="Q22:R23"/>
    <mergeCell ref="S22:Y22"/>
    <mergeCell ref="AA22:AE22"/>
    <mergeCell ref="AG22:AJ22"/>
    <mergeCell ref="AK22:AO22"/>
    <mergeCell ref="AG21:AJ21"/>
    <mergeCell ref="AK21:AO21"/>
    <mergeCell ref="AP21:AT21"/>
    <mergeCell ref="AU21:AY21"/>
    <mergeCell ref="AZ21:BD21"/>
    <mergeCell ref="BE21:BI21"/>
    <mergeCell ref="BO22:BS22"/>
    <mergeCell ref="BT22:BX22"/>
    <mergeCell ref="F23:J23"/>
    <mergeCell ref="BE18:BI18"/>
    <mergeCell ref="BO19:BS19"/>
    <mergeCell ref="BT19:BX19"/>
    <mergeCell ref="F20:J20"/>
    <mergeCell ref="L20:P20"/>
    <mergeCell ref="U20:Y20"/>
    <mergeCell ref="AA20:AE20"/>
    <mergeCell ref="AG20:AJ20"/>
    <mergeCell ref="AK20:AO20"/>
    <mergeCell ref="AP20:AT20"/>
    <mergeCell ref="AU20:AY20"/>
    <mergeCell ref="AK19:AO19"/>
    <mergeCell ref="AP19:AT19"/>
    <mergeCell ref="AW19:AY19"/>
    <mergeCell ref="AZ19:BD19"/>
    <mergeCell ref="BE19:BI19"/>
    <mergeCell ref="BJ19:BN19"/>
    <mergeCell ref="AZ20:BD20"/>
    <mergeCell ref="BE20:BI20"/>
    <mergeCell ref="BJ20:BN20"/>
    <mergeCell ref="BO20:BS20"/>
    <mergeCell ref="BT20:BX20"/>
    <mergeCell ref="BE16:BI16"/>
    <mergeCell ref="BJ16:BN16"/>
    <mergeCell ref="BO16:BS16"/>
    <mergeCell ref="AZ17:BD17"/>
    <mergeCell ref="BE17:BI17"/>
    <mergeCell ref="BJ17:BN17"/>
    <mergeCell ref="BO17:BS17"/>
    <mergeCell ref="BT17:BX17"/>
    <mergeCell ref="F18:J18"/>
    <mergeCell ref="L18:P18"/>
    <mergeCell ref="U18:Y18"/>
    <mergeCell ref="AA18:AE18"/>
    <mergeCell ref="AF18:AF20"/>
    <mergeCell ref="BJ18:BN18"/>
    <mergeCell ref="BO18:BS18"/>
    <mergeCell ref="BT18:BX18"/>
    <mergeCell ref="F19:J19"/>
    <mergeCell ref="L19:P19"/>
    <mergeCell ref="Q19:R21"/>
    <mergeCell ref="S19:T21"/>
    <mergeCell ref="U19:Y19"/>
    <mergeCell ref="AA19:AE19"/>
    <mergeCell ref="AG19:AJ19"/>
    <mergeCell ref="AG18:AJ18"/>
    <mergeCell ref="AA17:AE17"/>
    <mergeCell ref="AG17:AJ17"/>
    <mergeCell ref="AK17:AO17"/>
    <mergeCell ref="AP17:AT17"/>
    <mergeCell ref="AU17:AV19"/>
    <mergeCell ref="AW17:AY17"/>
    <mergeCell ref="AP16:AT16"/>
    <mergeCell ref="AW16:AY16"/>
    <mergeCell ref="AZ16:BD16"/>
    <mergeCell ref="AK18:AO18"/>
    <mergeCell ref="AP18:AT18"/>
    <mergeCell ref="AW18:AY18"/>
    <mergeCell ref="AZ18:BD18"/>
    <mergeCell ref="BJ15:BN15"/>
    <mergeCell ref="BO15:BS15"/>
    <mergeCell ref="BT15:BX15"/>
    <mergeCell ref="F16:J16"/>
    <mergeCell ref="L16:P16"/>
    <mergeCell ref="S16:T18"/>
    <mergeCell ref="U16:Y16"/>
    <mergeCell ref="AA16:AE16"/>
    <mergeCell ref="AG16:AJ16"/>
    <mergeCell ref="AK16:AO16"/>
    <mergeCell ref="AG15:AJ15"/>
    <mergeCell ref="AK15:AO15"/>
    <mergeCell ref="AP15:AT15"/>
    <mergeCell ref="AW15:AY15"/>
    <mergeCell ref="AZ15:BD15"/>
    <mergeCell ref="BE15:BI15"/>
    <mergeCell ref="F15:J15"/>
    <mergeCell ref="L15:P15"/>
    <mergeCell ref="S15:Y15"/>
    <mergeCell ref="AA15:AE15"/>
    <mergeCell ref="BT16:BX16"/>
    <mergeCell ref="F17:J17"/>
    <mergeCell ref="L17:P17"/>
    <mergeCell ref="U17:Y17"/>
    <mergeCell ref="AX14:AY14"/>
    <mergeCell ref="AZ14:BD14"/>
    <mergeCell ref="BE14:BI14"/>
    <mergeCell ref="BJ14:BN14"/>
    <mergeCell ref="BO14:BS14"/>
    <mergeCell ref="BT14:BX14"/>
    <mergeCell ref="BJ13:BN13"/>
    <mergeCell ref="BO13:BS13"/>
    <mergeCell ref="BT13:BX13"/>
    <mergeCell ref="AX13:AY13"/>
    <mergeCell ref="AZ13:BD13"/>
    <mergeCell ref="BE13:BI13"/>
    <mergeCell ref="AG14:AJ14"/>
    <mergeCell ref="AK14:AO14"/>
    <mergeCell ref="AP14:AT14"/>
    <mergeCell ref="AG13:AJ13"/>
    <mergeCell ref="AK13:AO13"/>
    <mergeCell ref="AP13:AT13"/>
    <mergeCell ref="F13:J13"/>
    <mergeCell ref="L13:P13"/>
    <mergeCell ref="U13:Y13"/>
    <mergeCell ref="AA13:AE13"/>
    <mergeCell ref="BE12:BI12"/>
    <mergeCell ref="BJ12:BN12"/>
    <mergeCell ref="BO12:BS12"/>
    <mergeCell ref="BT12:BX12"/>
    <mergeCell ref="BT11:BX11"/>
    <mergeCell ref="F12:J12"/>
    <mergeCell ref="L12:P12"/>
    <mergeCell ref="U12:Y12"/>
    <mergeCell ref="AA12:AE12"/>
    <mergeCell ref="AF12:AF17"/>
    <mergeCell ref="AG12:AJ12"/>
    <mergeCell ref="AK12:AO12"/>
    <mergeCell ref="AP12:AT12"/>
    <mergeCell ref="AU12:AV16"/>
    <mergeCell ref="AP11:AT11"/>
    <mergeCell ref="AU11:AY11"/>
    <mergeCell ref="AZ11:BD11"/>
    <mergeCell ref="BE11:BI11"/>
    <mergeCell ref="BJ11:BN11"/>
    <mergeCell ref="BO11:BS11"/>
    <mergeCell ref="F14:J14"/>
    <mergeCell ref="L14:P14"/>
    <mergeCell ref="S14:Y14"/>
    <mergeCell ref="AA14:AE14"/>
    <mergeCell ref="D11:E12"/>
    <mergeCell ref="F11:J11"/>
    <mergeCell ref="L11:P11"/>
    <mergeCell ref="U11:Y11"/>
    <mergeCell ref="AA11:AE11"/>
    <mergeCell ref="AG11:AJ11"/>
    <mergeCell ref="AK11:AO11"/>
    <mergeCell ref="AW12:AY12"/>
    <mergeCell ref="AZ12:BD12"/>
    <mergeCell ref="BJ9:BN9"/>
    <mergeCell ref="BO9:BS9"/>
    <mergeCell ref="BE10:BI10"/>
    <mergeCell ref="F8:J8"/>
    <mergeCell ref="L8:P8"/>
    <mergeCell ref="U8:Y8"/>
    <mergeCell ref="AA8:AE8"/>
    <mergeCell ref="BT9:BX9"/>
    <mergeCell ref="F10:J10"/>
    <mergeCell ref="L10:P10"/>
    <mergeCell ref="U10:Y10"/>
    <mergeCell ref="AA10:AE10"/>
    <mergeCell ref="AG10:AJ10"/>
    <mergeCell ref="AK10:AO10"/>
    <mergeCell ref="AP10:AT10"/>
    <mergeCell ref="AW10:AY10"/>
    <mergeCell ref="AZ10:BD10"/>
    <mergeCell ref="AF8:AF11"/>
    <mergeCell ref="AG8:AH9"/>
    <mergeCell ref="BJ10:BN10"/>
    <mergeCell ref="BO10:BS10"/>
    <mergeCell ref="BT10:BX10"/>
    <mergeCell ref="F9:J9"/>
    <mergeCell ref="AP9:AT9"/>
    <mergeCell ref="AW9:AY9"/>
    <mergeCell ref="AZ9:BD9"/>
    <mergeCell ref="AU8:AV10"/>
    <mergeCell ref="AW8:AY8"/>
    <mergeCell ref="AZ8:BD8"/>
    <mergeCell ref="AK8:AO8"/>
    <mergeCell ref="AP8:AT8"/>
    <mergeCell ref="BE9:BI9"/>
    <mergeCell ref="F7:J7"/>
    <mergeCell ref="L7:P7"/>
    <mergeCell ref="U7:Y7"/>
    <mergeCell ref="AA7:AE7"/>
    <mergeCell ref="AF7:AJ7"/>
    <mergeCell ref="AK7:AO7"/>
    <mergeCell ref="L9:P9"/>
    <mergeCell ref="U9:Y9"/>
    <mergeCell ref="AA9:AE9"/>
    <mergeCell ref="AI9:AJ9"/>
    <mergeCell ref="AK9:AO9"/>
    <mergeCell ref="B5:AE5"/>
    <mergeCell ref="AF5:BI5"/>
    <mergeCell ref="BJ5:BX5"/>
    <mergeCell ref="B6:C12"/>
    <mergeCell ref="D6:E10"/>
    <mergeCell ref="F6:J6"/>
    <mergeCell ref="L6:P6"/>
    <mergeCell ref="Q6:R18"/>
    <mergeCell ref="AU6:AY6"/>
    <mergeCell ref="AZ6:BD6"/>
    <mergeCell ref="BE6:BI6"/>
    <mergeCell ref="BJ6:BN6"/>
    <mergeCell ref="BO6:BS6"/>
    <mergeCell ref="BT6:BX6"/>
    <mergeCell ref="S6:T13"/>
    <mergeCell ref="U6:Y6"/>
    <mergeCell ref="AA6:AE6"/>
    <mergeCell ref="AF6:AJ6"/>
    <mergeCell ref="AU7:AY7"/>
    <mergeCell ref="AZ7:BD7"/>
    <mergeCell ref="BE7:BI7"/>
    <mergeCell ref="BJ7:BN7"/>
    <mergeCell ref="BO7:BS7"/>
    <mergeCell ref="BT7:BX7"/>
    <mergeCell ref="AK6:AO6"/>
    <mergeCell ref="AP6:AT6"/>
    <mergeCell ref="AP7:AT7"/>
    <mergeCell ref="AI8:AJ8"/>
    <mergeCell ref="BT8:BX8"/>
    <mergeCell ref="BE8:BI8"/>
    <mergeCell ref="BJ8:BN8"/>
    <mergeCell ref="BO8:BS8"/>
    <mergeCell ref="BO3:BX3"/>
    <mergeCell ref="BO4:BX4"/>
  </mergeCells>
  <phoneticPr fontId="4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Q63"/>
  <sheetViews>
    <sheetView view="pageBreakPreview" zoomScale="120" zoomScaleNormal="120" zoomScaleSheetLayoutView="120" workbookViewId="0"/>
  </sheetViews>
  <sheetFormatPr defaultColWidth="9" defaultRowHeight="12" x14ac:dyDescent="0.15"/>
  <cols>
    <col min="1" max="1" width="1.875" style="1" customWidth="1"/>
    <col min="2" max="2" width="0.5" style="163" customWidth="1"/>
    <col min="3" max="4" width="0.5" style="169" customWidth="1"/>
    <col min="5" max="6" width="3.375" style="169" customWidth="1"/>
    <col min="7" max="21" width="1.625" style="163" customWidth="1"/>
    <col min="22" max="24" width="0.5" style="163" customWidth="1"/>
    <col min="25" max="26" width="3.5" style="163" customWidth="1"/>
    <col min="27" max="40" width="1.625" style="163" customWidth="1"/>
    <col min="41" max="41" width="2.375" style="163" customWidth="1"/>
    <col min="42" max="43" width="1" style="163" customWidth="1"/>
    <col min="44" max="44" width="3.375" style="163" customWidth="1"/>
    <col min="45" max="45" width="2" style="163" customWidth="1"/>
    <col min="46" max="46" width="1.375" style="163" customWidth="1"/>
    <col min="47" max="51" width="1.625" style="163" customWidth="1"/>
    <col min="52" max="53" width="1" style="163" customWidth="1"/>
    <col min="54" max="56" width="2" style="163" customWidth="1"/>
    <col min="57" max="70" width="1.625" style="163" customWidth="1"/>
    <col min="71" max="71" width="2.125" style="163" customWidth="1"/>
    <col min="72" max="81" width="1.625" style="163" customWidth="1"/>
    <col min="82" max="129" width="2.375" style="163" customWidth="1"/>
    <col min="130" max="487" width="9" style="163" customWidth="1"/>
    <col min="488" max="16384" width="9" style="163"/>
  </cols>
  <sheetData>
    <row r="1" spans="1:81" ht="14.25" customHeight="1" x14ac:dyDescent="0.15">
      <c r="A1" s="165"/>
      <c r="B1" s="162" t="str">
        <f>'No1'!B5&amp;"年　農業経営統計調査（営農類型別経営統計（農業経営体））　個別結果表No.６"</f>
        <v>年　農業経営統計調査（営農類型別経営統計（農業経営体））　個別結果表No.６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</row>
    <row r="2" spans="1:81" ht="14.25" customHeight="1" thickBot="1" x14ac:dyDescent="0.2">
      <c r="A2" s="165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</row>
    <row r="3" spans="1:81" ht="10.5" customHeight="1" x14ac:dyDescent="0.15">
      <c r="A3" s="2"/>
      <c r="B3" s="150"/>
      <c r="C3" s="150"/>
      <c r="D3" s="150"/>
      <c r="E3" s="150"/>
      <c r="F3" s="150"/>
      <c r="G3" s="3"/>
      <c r="H3" s="3"/>
      <c r="I3" s="3"/>
      <c r="J3" s="3"/>
      <c r="K3" s="3"/>
      <c r="L3" s="3"/>
      <c r="M3" s="3"/>
      <c r="N3" s="3"/>
      <c r="O3" s="3"/>
      <c r="P3" s="3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BT3" s="1287" t="s">
        <v>2</v>
      </c>
      <c r="BU3" s="1204"/>
      <c r="BV3" s="1204"/>
      <c r="BW3" s="1204"/>
      <c r="BX3" s="1204"/>
      <c r="BY3" s="1204"/>
      <c r="BZ3" s="1204"/>
      <c r="CA3" s="1204"/>
      <c r="CB3" s="1204"/>
      <c r="CC3" s="1288"/>
    </row>
    <row r="4" spans="1:81" ht="10.5" customHeight="1" thickBot="1" x14ac:dyDescent="0.2">
      <c r="A4" s="2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BT4" s="1289" t="str">
        <f>IF('No1'!L5&lt;&gt;"",'No1'!L5,"")</f>
        <v/>
      </c>
      <c r="BU4" s="1290"/>
      <c r="BV4" s="1290"/>
      <c r="BW4" s="1290"/>
      <c r="BX4" s="1290"/>
      <c r="BY4" s="1290"/>
      <c r="BZ4" s="1290"/>
      <c r="CA4" s="1290"/>
      <c r="CB4" s="1290"/>
      <c r="CC4" s="1291"/>
    </row>
    <row r="5" spans="1:81" ht="10.5" customHeight="1" x14ac:dyDescent="0.15">
      <c r="A5" s="2"/>
      <c r="B5" s="31" t="s">
        <v>404</v>
      </c>
      <c r="C5" s="32"/>
      <c r="D5" s="32"/>
      <c r="E5" s="32"/>
      <c r="F5" s="32"/>
      <c r="G5" s="33"/>
      <c r="H5" s="34"/>
      <c r="I5" s="190"/>
      <c r="J5" s="33"/>
      <c r="K5" s="154"/>
      <c r="L5" s="33"/>
      <c r="M5" s="33"/>
      <c r="N5" s="154"/>
      <c r="O5" s="154"/>
      <c r="P5" s="154"/>
      <c r="Q5" s="33"/>
      <c r="R5" s="33"/>
      <c r="S5" s="154"/>
      <c r="T5" s="154"/>
      <c r="U5" s="35"/>
      <c r="V5" s="31" t="s">
        <v>571</v>
      </c>
      <c r="W5" s="32"/>
      <c r="X5" s="32"/>
      <c r="Y5" s="32"/>
      <c r="Z5" s="32"/>
      <c r="AA5" s="33"/>
      <c r="AB5" s="33"/>
      <c r="AC5" s="33"/>
      <c r="AD5" s="33"/>
      <c r="AE5" s="154"/>
      <c r="AF5" s="33"/>
      <c r="AG5" s="33"/>
      <c r="AH5" s="154"/>
      <c r="AI5" s="154"/>
      <c r="AJ5" s="154"/>
      <c r="AK5" s="33"/>
      <c r="AL5" s="33"/>
      <c r="AM5" s="154"/>
      <c r="AN5" s="154"/>
      <c r="AO5" s="35"/>
      <c r="AP5" s="191" t="s">
        <v>572</v>
      </c>
      <c r="AQ5" s="190"/>
      <c r="AR5" s="190"/>
      <c r="AS5" s="190"/>
      <c r="AT5" s="190"/>
      <c r="AU5" s="190"/>
      <c r="AV5" s="190"/>
      <c r="AW5" s="190"/>
      <c r="AX5" s="190"/>
      <c r="AY5" s="190"/>
      <c r="AZ5" s="192"/>
      <c r="BA5" s="192"/>
      <c r="BB5" s="192"/>
      <c r="BC5" s="192"/>
      <c r="BD5" s="192"/>
      <c r="BE5" s="192"/>
      <c r="BF5" s="192"/>
      <c r="BG5" s="192"/>
      <c r="BH5" s="192"/>
      <c r="BI5" s="192"/>
      <c r="BJ5" s="193"/>
      <c r="BK5" s="193"/>
      <c r="BL5" s="193"/>
      <c r="BM5" s="193"/>
      <c r="BN5" s="193"/>
      <c r="BO5" s="34"/>
      <c r="BP5" s="154"/>
      <c r="BQ5" s="154"/>
      <c r="BR5" s="154"/>
      <c r="BS5" s="154"/>
      <c r="BT5" s="194"/>
      <c r="BU5" s="194"/>
      <c r="BV5" s="194"/>
      <c r="BW5" s="194"/>
      <c r="BX5" s="194"/>
      <c r="BY5" s="190"/>
      <c r="BZ5" s="190"/>
      <c r="CA5" s="190"/>
      <c r="CB5" s="190"/>
      <c r="CC5" s="195"/>
    </row>
    <row r="6" spans="1:81" ht="10.5" customHeight="1" x14ac:dyDescent="0.15">
      <c r="A6" s="2">
        <v>1</v>
      </c>
      <c r="B6" s="580" t="s">
        <v>68</v>
      </c>
      <c r="C6" s="581"/>
      <c r="D6" s="581"/>
      <c r="E6" s="581"/>
      <c r="F6" s="582"/>
      <c r="G6" s="584" t="s">
        <v>71</v>
      </c>
      <c r="H6" s="581"/>
      <c r="I6" s="581"/>
      <c r="J6" s="581"/>
      <c r="K6" s="581"/>
      <c r="L6" s="147"/>
      <c r="M6" s="147"/>
      <c r="N6" s="149"/>
      <c r="O6" s="149"/>
      <c r="P6" s="149"/>
      <c r="Q6" s="196"/>
      <c r="R6" s="196"/>
      <c r="S6" s="196"/>
      <c r="T6" s="196"/>
      <c r="U6" s="197"/>
      <c r="V6" s="488" t="s">
        <v>68</v>
      </c>
      <c r="W6" s="489"/>
      <c r="X6" s="489"/>
      <c r="Y6" s="489"/>
      <c r="Z6" s="490"/>
      <c r="AA6" s="583" t="s">
        <v>71</v>
      </c>
      <c r="AB6" s="489"/>
      <c r="AC6" s="489"/>
      <c r="AD6" s="489"/>
      <c r="AE6" s="489"/>
      <c r="AF6" s="148"/>
      <c r="AG6" s="148"/>
      <c r="AH6" s="153"/>
      <c r="AI6" s="153"/>
      <c r="AJ6" s="153"/>
      <c r="AK6" s="29"/>
      <c r="AL6" s="29"/>
      <c r="AM6" s="29"/>
      <c r="AN6" s="29"/>
      <c r="AO6" s="30"/>
      <c r="AP6" s="488" t="s">
        <v>68</v>
      </c>
      <c r="AQ6" s="489"/>
      <c r="AR6" s="489"/>
      <c r="AS6" s="489"/>
      <c r="AT6" s="490"/>
      <c r="AU6" s="732" t="s">
        <v>71</v>
      </c>
      <c r="AV6" s="733"/>
      <c r="AW6" s="733"/>
      <c r="AX6" s="733"/>
      <c r="AY6" s="734"/>
      <c r="AZ6" s="732" t="s">
        <v>573</v>
      </c>
      <c r="BA6" s="733"/>
      <c r="BB6" s="733"/>
      <c r="BC6" s="733"/>
      <c r="BD6" s="733"/>
      <c r="BE6" s="153"/>
      <c r="BF6" s="153"/>
      <c r="BG6" s="153"/>
      <c r="BH6" s="153"/>
      <c r="BI6" s="153"/>
      <c r="BJ6" s="198"/>
      <c r="BK6" s="198"/>
      <c r="BL6" s="198"/>
      <c r="BM6" s="198"/>
      <c r="BN6" s="198"/>
      <c r="BO6" s="1679" t="s">
        <v>88</v>
      </c>
      <c r="BP6" s="1123"/>
      <c r="BQ6" s="1123"/>
      <c r="BR6" s="1123"/>
      <c r="BS6" s="1123"/>
      <c r="BT6" s="29"/>
      <c r="BU6" s="29"/>
      <c r="BV6" s="29"/>
      <c r="BW6" s="29"/>
      <c r="BX6" s="29"/>
      <c r="BY6" s="1679" t="s">
        <v>102</v>
      </c>
      <c r="BZ6" s="1123"/>
      <c r="CA6" s="1123"/>
      <c r="CB6" s="1123"/>
      <c r="CC6" s="1680"/>
    </row>
    <row r="7" spans="1:81" ht="10.5" customHeight="1" x14ac:dyDescent="0.15">
      <c r="A7" s="2">
        <v>2</v>
      </c>
      <c r="B7" s="580"/>
      <c r="C7" s="581"/>
      <c r="D7" s="581"/>
      <c r="E7" s="581"/>
      <c r="F7" s="582"/>
      <c r="G7" s="584"/>
      <c r="H7" s="581"/>
      <c r="I7" s="581"/>
      <c r="J7" s="581"/>
      <c r="K7" s="581"/>
      <c r="L7" s="583" t="s">
        <v>408</v>
      </c>
      <c r="M7" s="489"/>
      <c r="N7" s="489"/>
      <c r="O7" s="489"/>
      <c r="P7" s="490"/>
      <c r="Q7" s="1679" t="s">
        <v>409</v>
      </c>
      <c r="R7" s="1123"/>
      <c r="S7" s="1123"/>
      <c r="T7" s="1123"/>
      <c r="U7" s="1680"/>
      <c r="V7" s="717"/>
      <c r="W7" s="553"/>
      <c r="X7" s="553"/>
      <c r="Y7" s="553"/>
      <c r="Z7" s="554"/>
      <c r="AA7" s="552"/>
      <c r="AB7" s="553"/>
      <c r="AC7" s="553"/>
      <c r="AD7" s="553"/>
      <c r="AE7" s="553"/>
      <c r="AF7" s="558" t="s">
        <v>408</v>
      </c>
      <c r="AG7" s="521"/>
      <c r="AH7" s="521"/>
      <c r="AI7" s="521"/>
      <c r="AJ7" s="522"/>
      <c r="AK7" s="1463" t="s">
        <v>409</v>
      </c>
      <c r="AL7" s="906"/>
      <c r="AM7" s="906"/>
      <c r="AN7" s="906"/>
      <c r="AO7" s="1464"/>
      <c r="AP7" s="717"/>
      <c r="AQ7" s="553"/>
      <c r="AR7" s="553"/>
      <c r="AS7" s="553"/>
      <c r="AT7" s="554"/>
      <c r="AU7" s="722"/>
      <c r="AV7" s="723"/>
      <c r="AW7" s="723"/>
      <c r="AX7" s="723"/>
      <c r="AY7" s="1678"/>
      <c r="AZ7" s="722"/>
      <c r="BA7" s="723"/>
      <c r="BB7" s="723"/>
      <c r="BC7" s="723"/>
      <c r="BD7" s="723"/>
      <c r="BE7" s="1679" t="s">
        <v>424</v>
      </c>
      <c r="BF7" s="1123"/>
      <c r="BG7" s="1123"/>
      <c r="BH7" s="1123"/>
      <c r="BI7" s="1123"/>
      <c r="BJ7" s="1679" t="s">
        <v>411</v>
      </c>
      <c r="BK7" s="1123"/>
      <c r="BL7" s="1123"/>
      <c r="BM7" s="1123"/>
      <c r="BN7" s="1682"/>
      <c r="BO7" s="1470"/>
      <c r="BP7" s="1108"/>
      <c r="BQ7" s="1108"/>
      <c r="BR7" s="1108"/>
      <c r="BS7" s="1109"/>
      <c r="BT7" s="28" t="s">
        <v>412</v>
      </c>
      <c r="BU7" s="28"/>
      <c r="BV7" s="28"/>
      <c r="BW7" s="28"/>
      <c r="BX7" s="28"/>
      <c r="BY7" s="1470"/>
      <c r="BZ7" s="1108"/>
      <c r="CA7" s="1108"/>
      <c r="CB7" s="1108"/>
      <c r="CC7" s="1681"/>
    </row>
    <row r="8" spans="1:81" ht="10.5" customHeight="1" x14ac:dyDescent="0.15">
      <c r="A8" s="2">
        <v>3</v>
      </c>
      <c r="B8" s="494" t="s">
        <v>413</v>
      </c>
      <c r="C8" s="640"/>
      <c r="D8" s="640"/>
      <c r="E8" s="640"/>
      <c r="F8" s="640"/>
      <c r="G8" s="1314"/>
      <c r="H8" s="1315"/>
      <c r="I8" s="1315"/>
      <c r="J8" s="1315"/>
      <c r="K8" s="1472"/>
      <c r="L8" s="1314"/>
      <c r="M8" s="1315"/>
      <c r="N8" s="1315"/>
      <c r="O8" s="1315"/>
      <c r="P8" s="1472"/>
      <c r="Q8" s="1314"/>
      <c r="R8" s="1315"/>
      <c r="S8" s="1315"/>
      <c r="T8" s="1315"/>
      <c r="U8" s="1341"/>
      <c r="V8" s="604" t="s">
        <v>426</v>
      </c>
      <c r="W8" s="605"/>
      <c r="X8" s="605"/>
      <c r="Y8" s="605"/>
      <c r="Z8" s="605"/>
      <c r="AA8" s="1314"/>
      <c r="AB8" s="1315"/>
      <c r="AC8" s="1315"/>
      <c r="AD8" s="1315"/>
      <c r="AE8" s="1472"/>
      <c r="AF8" s="358"/>
      <c r="AG8" s="359"/>
      <c r="AH8" s="359"/>
      <c r="AI8" s="359"/>
      <c r="AJ8" s="368"/>
      <c r="AK8" s="1314"/>
      <c r="AL8" s="1315"/>
      <c r="AM8" s="1315"/>
      <c r="AN8" s="1315"/>
      <c r="AO8" s="1341"/>
      <c r="AP8" s="940" t="s">
        <v>415</v>
      </c>
      <c r="AQ8" s="997"/>
      <c r="AR8" s="41"/>
      <c r="AS8" s="41"/>
      <c r="AT8" s="42"/>
      <c r="AU8" s="1314"/>
      <c r="AV8" s="1315"/>
      <c r="AW8" s="1315"/>
      <c r="AX8" s="1315"/>
      <c r="AY8" s="1472"/>
      <c r="AZ8" s="1314"/>
      <c r="BA8" s="1315"/>
      <c r="BB8" s="1315"/>
      <c r="BC8" s="1315"/>
      <c r="BD8" s="1472"/>
      <c r="BE8" s="1314"/>
      <c r="BF8" s="1315"/>
      <c r="BG8" s="1315"/>
      <c r="BH8" s="1315"/>
      <c r="BI8" s="1472"/>
      <c r="BJ8" s="1314"/>
      <c r="BK8" s="1315"/>
      <c r="BL8" s="1315"/>
      <c r="BM8" s="1315"/>
      <c r="BN8" s="1472"/>
      <c r="BO8" s="1314"/>
      <c r="BP8" s="1315"/>
      <c r="BQ8" s="1315"/>
      <c r="BR8" s="1315"/>
      <c r="BS8" s="1472"/>
      <c r="BT8" s="1314"/>
      <c r="BU8" s="1315"/>
      <c r="BV8" s="1315"/>
      <c r="BW8" s="1315"/>
      <c r="BX8" s="1472"/>
      <c r="BY8" s="1314"/>
      <c r="BZ8" s="1315"/>
      <c r="CA8" s="1315"/>
      <c r="CB8" s="1315"/>
      <c r="CC8" s="1341"/>
    </row>
    <row r="9" spans="1:81" ht="10.5" customHeight="1" x14ac:dyDescent="0.15">
      <c r="A9" s="2">
        <v>4</v>
      </c>
      <c r="B9" s="151"/>
      <c r="C9" s="419" t="s">
        <v>573</v>
      </c>
      <c r="D9" s="420"/>
      <c r="E9" s="420"/>
      <c r="F9" s="421"/>
      <c r="G9" s="1328"/>
      <c r="H9" s="1329"/>
      <c r="I9" s="1329"/>
      <c r="J9" s="1329"/>
      <c r="K9" s="1474"/>
      <c r="L9" s="1328"/>
      <c r="M9" s="1329"/>
      <c r="N9" s="1329"/>
      <c r="O9" s="1329"/>
      <c r="P9" s="1474"/>
      <c r="Q9" s="1328"/>
      <c r="R9" s="1329"/>
      <c r="S9" s="1329"/>
      <c r="T9" s="1329"/>
      <c r="U9" s="1334"/>
      <c r="V9" s="152"/>
      <c r="W9" s="419" t="s">
        <v>573</v>
      </c>
      <c r="X9" s="420"/>
      <c r="Y9" s="420"/>
      <c r="Z9" s="421"/>
      <c r="AA9" s="1328"/>
      <c r="AB9" s="1329"/>
      <c r="AC9" s="1329"/>
      <c r="AD9" s="1329"/>
      <c r="AE9" s="1474"/>
      <c r="AF9" s="376"/>
      <c r="AG9" s="377"/>
      <c r="AH9" s="377"/>
      <c r="AI9" s="377"/>
      <c r="AJ9" s="378"/>
      <c r="AK9" s="1328"/>
      <c r="AL9" s="1329"/>
      <c r="AM9" s="1329"/>
      <c r="AN9" s="1329"/>
      <c r="AO9" s="1334"/>
      <c r="AP9" s="870"/>
      <c r="AQ9" s="919"/>
      <c r="AR9" s="419" t="s">
        <v>416</v>
      </c>
      <c r="AS9" s="420"/>
      <c r="AT9" s="421"/>
      <c r="AU9" s="1328"/>
      <c r="AV9" s="1329"/>
      <c r="AW9" s="1329"/>
      <c r="AX9" s="1329"/>
      <c r="AY9" s="1474"/>
      <c r="AZ9" s="1328"/>
      <c r="BA9" s="1329"/>
      <c r="BB9" s="1329"/>
      <c r="BC9" s="1329"/>
      <c r="BD9" s="1474"/>
      <c r="BE9" s="1328"/>
      <c r="BF9" s="1329"/>
      <c r="BG9" s="1329"/>
      <c r="BH9" s="1329"/>
      <c r="BI9" s="1474"/>
      <c r="BJ9" s="1328"/>
      <c r="BK9" s="1329"/>
      <c r="BL9" s="1329"/>
      <c r="BM9" s="1329"/>
      <c r="BN9" s="1474"/>
      <c r="BO9" s="1328"/>
      <c r="BP9" s="1329"/>
      <c r="BQ9" s="1329"/>
      <c r="BR9" s="1329"/>
      <c r="BS9" s="1474"/>
      <c r="BT9" s="1328"/>
      <c r="BU9" s="1329"/>
      <c r="BV9" s="1329"/>
      <c r="BW9" s="1329"/>
      <c r="BX9" s="1474"/>
      <c r="BY9" s="1328"/>
      <c r="BZ9" s="1329"/>
      <c r="CA9" s="1329"/>
      <c r="CB9" s="1329"/>
      <c r="CC9" s="1334"/>
    </row>
    <row r="10" spans="1:81" ht="10.5" customHeight="1" x14ac:dyDescent="0.15">
      <c r="A10" s="2">
        <v>5</v>
      </c>
      <c r="B10" s="151"/>
      <c r="C10" s="500" t="s">
        <v>83</v>
      </c>
      <c r="D10" s="501"/>
      <c r="E10" s="501"/>
      <c r="F10" s="502"/>
      <c r="G10" s="1328"/>
      <c r="H10" s="1329"/>
      <c r="I10" s="1329"/>
      <c r="J10" s="1329"/>
      <c r="K10" s="1474"/>
      <c r="L10" s="1328"/>
      <c r="M10" s="1329"/>
      <c r="N10" s="1329"/>
      <c r="O10" s="1329"/>
      <c r="P10" s="1474"/>
      <c r="Q10" s="1328"/>
      <c r="R10" s="1329"/>
      <c r="S10" s="1329"/>
      <c r="T10" s="1329"/>
      <c r="U10" s="1334"/>
      <c r="V10" s="152"/>
      <c r="W10" s="500" t="s">
        <v>83</v>
      </c>
      <c r="X10" s="501"/>
      <c r="Y10" s="501"/>
      <c r="Z10" s="502"/>
      <c r="AA10" s="1328"/>
      <c r="AB10" s="1329"/>
      <c r="AC10" s="1329"/>
      <c r="AD10" s="1329"/>
      <c r="AE10" s="1474"/>
      <c r="AF10" s="376"/>
      <c r="AG10" s="377"/>
      <c r="AH10" s="377"/>
      <c r="AI10" s="377"/>
      <c r="AJ10" s="378"/>
      <c r="AK10" s="1328"/>
      <c r="AL10" s="1329"/>
      <c r="AM10" s="1329"/>
      <c r="AN10" s="1329"/>
      <c r="AO10" s="1334"/>
      <c r="AP10" s="870"/>
      <c r="AQ10" s="919"/>
      <c r="AR10" s="419" t="s">
        <v>417</v>
      </c>
      <c r="AS10" s="420"/>
      <c r="AT10" s="421"/>
      <c r="AU10" s="1328"/>
      <c r="AV10" s="1329"/>
      <c r="AW10" s="1329"/>
      <c r="AX10" s="1329"/>
      <c r="AY10" s="1474"/>
      <c r="AZ10" s="1328"/>
      <c r="BA10" s="1329"/>
      <c r="BB10" s="1329"/>
      <c r="BC10" s="1329"/>
      <c r="BD10" s="1474"/>
      <c r="BE10" s="1328"/>
      <c r="BF10" s="1329"/>
      <c r="BG10" s="1329"/>
      <c r="BH10" s="1329"/>
      <c r="BI10" s="1474"/>
      <c r="BJ10" s="1328"/>
      <c r="BK10" s="1329"/>
      <c r="BL10" s="1329"/>
      <c r="BM10" s="1329"/>
      <c r="BN10" s="1474"/>
      <c r="BO10" s="1328"/>
      <c r="BP10" s="1329"/>
      <c r="BQ10" s="1329"/>
      <c r="BR10" s="1329"/>
      <c r="BS10" s="1474"/>
      <c r="BT10" s="1328"/>
      <c r="BU10" s="1329"/>
      <c r="BV10" s="1329"/>
      <c r="BW10" s="1329"/>
      <c r="BX10" s="1474"/>
      <c r="BY10" s="1328"/>
      <c r="BZ10" s="1329"/>
      <c r="CA10" s="1329"/>
      <c r="CB10" s="1329"/>
      <c r="CC10" s="1334"/>
    </row>
    <row r="11" spans="1:81" ht="10.5" customHeight="1" x14ac:dyDescent="0.15">
      <c r="A11" s="2">
        <v>6</v>
      </c>
      <c r="B11" s="152"/>
      <c r="C11" s="8"/>
      <c r="D11" s="500" t="s">
        <v>88</v>
      </c>
      <c r="E11" s="501"/>
      <c r="F11" s="502"/>
      <c r="G11" s="1328"/>
      <c r="H11" s="1329"/>
      <c r="I11" s="1329"/>
      <c r="J11" s="1329"/>
      <c r="K11" s="1474"/>
      <c r="L11" s="1328"/>
      <c r="M11" s="1329"/>
      <c r="N11" s="1329"/>
      <c r="O11" s="1329"/>
      <c r="P11" s="1474"/>
      <c r="Q11" s="1328"/>
      <c r="R11" s="1329"/>
      <c r="S11" s="1329"/>
      <c r="T11" s="1329"/>
      <c r="U11" s="1334"/>
      <c r="V11" s="152"/>
      <c r="W11" s="8"/>
      <c r="X11" s="500" t="s">
        <v>88</v>
      </c>
      <c r="Y11" s="501"/>
      <c r="Z11" s="502"/>
      <c r="AA11" s="1328"/>
      <c r="AB11" s="1329"/>
      <c r="AC11" s="1329"/>
      <c r="AD11" s="1329"/>
      <c r="AE11" s="1474"/>
      <c r="AF11" s="376"/>
      <c r="AG11" s="377"/>
      <c r="AH11" s="377"/>
      <c r="AI11" s="377"/>
      <c r="AJ11" s="378"/>
      <c r="AK11" s="1328"/>
      <c r="AL11" s="1329"/>
      <c r="AM11" s="1329"/>
      <c r="AN11" s="1329"/>
      <c r="AO11" s="1334"/>
      <c r="AP11" s="870"/>
      <c r="AQ11" s="919"/>
      <c r="AR11" s="419" t="s">
        <v>418</v>
      </c>
      <c r="AS11" s="420"/>
      <c r="AT11" s="421"/>
      <c r="AU11" s="1328"/>
      <c r="AV11" s="1329"/>
      <c r="AW11" s="1329"/>
      <c r="AX11" s="1329"/>
      <c r="AY11" s="1474"/>
      <c r="AZ11" s="1328"/>
      <c r="BA11" s="1329"/>
      <c r="BB11" s="1329"/>
      <c r="BC11" s="1329"/>
      <c r="BD11" s="1474"/>
      <c r="BE11" s="1328"/>
      <c r="BF11" s="1329"/>
      <c r="BG11" s="1329"/>
      <c r="BH11" s="1329"/>
      <c r="BI11" s="1474"/>
      <c r="BJ11" s="1328"/>
      <c r="BK11" s="1329"/>
      <c r="BL11" s="1329"/>
      <c r="BM11" s="1329"/>
      <c r="BN11" s="1474"/>
      <c r="BO11" s="1328"/>
      <c r="BP11" s="1329"/>
      <c r="BQ11" s="1329"/>
      <c r="BR11" s="1329"/>
      <c r="BS11" s="1474"/>
      <c r="BT11" s="1328"/>
      <c r="BU11" s="1329"/>
      <c r="BV11" s="1329"/>
      <c r="BW11" s="1329"/>
      <c r="BX11" s="1474"/>
      <c r="BY11" s="1328"/>
      <c r="BZ11" s="1329"/>
      <c r="CA11" s="1329"/>
      <c r="CB11" s="1329"/>
      <c r="CC11" s="1334"/>
    </row>
    <row r="12" spans="1:81" ht="10.5" customHeight="1" x14ac:dyDescent="0.15">
      <c r="A12" s="2">
        <v>7</v>
      </c>
      <c r="B12" s="152"/>
      <c r="C12" s="8"/>
      <c r="D12" s="36"/>
      <c r="E12" s="795" t="s">
        <v>421</v>
      </c>
      <c r="F12" s="797"/>
      <c r="G12" s="1328"/>
      <c r="H12" s="1329"/>
      <c r="I12" s="1329"/>
      <c r="J12" s="1329"/>
      <c r="K12" s="1474"/>
      <c r="L12" s="1328"/>
      <c r="M12" s="1329"/>
      <c r="N12" s="1329"/>
      <c r="O12" s="1329"/>
      <c r="P12" s="1474"/>
      <c r="Q12" s="1328"/>
      <c r="R12" s="1329"/>
      <c r="S12" s="1329"/>
      <c r="T12" s="1329"/>
      <c r="U12" s="1334"/>
      <c r="V12" s="152"/>
      <c r="W12" s="8"/>
      <c r="X12" s="36"/>
      <c r="Y12" s="795" t="s">
        <v>421</v>
      </c>
      <c r="Z12" s="797"/>
      <c r="AA12" s="1328"/>
      <c r="AB12" s="1329"/>
      <c r="AC12" s="1329"/>
      <c r="AD12" s="1329"/>
      <c r="AE12" s="1474"/>
      <c r="AF12" s="376"/>
      <c r="AG12" s="377"/>
      <c r="AH12" s="377"/>
      <c r="AI12" s="377"/>
      <c r="AJ12" s="378"/>
      <c r="AK12" s="1328"/>
      <c r="AL12" s="1329"/>
      <c r="AM12" s="1329"/>
      <c r="AN12" s="1329"/>
      <c r="AO12" s="1334"/>
      <c r="AP12" s="870"/>
      <c r="AQ12" s="919"/>
      <c r="AR12" s="419" t="s">
        <v>419</v>
      </c>
      <c r="AS12" s="420"/>
      <c r="AT12" s="421"/>
      <c r="AU12" s="1328"/>
      <c r="AV12" s="1329"/>
      <c r="AW12" s="1329"/>
      <c r="AX12" s="1329"/>
      <c r="AY12" s="1474"/>
      <c r="AZ12" s="1328"/>
      <c r="BA12" s="1329"/>
      <c r="BB12" s="1329"/>
      <c r="BC12" s="1329"/>
      <c r="BD12" s="1474"/>
      <c r="BE12" s="1328"/>
      <c r="BF12" s="1329"/>
      <c r="BG12" s="1329"/>
      <c r="BH12" s="1329"/>
      <c r="BI12" s="1474"/>
      <c r="BJ12" s="1328"/>
      <c r="BK12" s="1329"/>
      <c r="BL12" s="1329"/>
      <c r="BM12" s="1329"/>
      <c r="BN12" s="1474"/>
      <c r="BO12" s="1328"/>
      <c r="BP12" s="1329"/>
      <c r="BQ12" s="1329"/>
      <c r="BR12" s="1329"/>
      <c r="BS12" s="1474"/>
      <c r="BT12" s="1328"/>
      <c r="BU12" s="1329"/>
      <c r="BV12" s="1329"/>
      <c r="BW12" s="1329"/>
      <c r="BX12" s="1474"/>
      <c r="BY12" s="1328"/>
      <c r="BZ12" s="1329"/>
      <c r="CA12" s="1329"/>
      <c r="CB12" s="1329"/>
      <c r="CC12" s="1334"/>
    </row>
    <row r="13" spans="1:81" ht="10.5" customHeight="1" x14ac:dyDescent="0.15">
      <c r="A13" s="2">
        <v>8</v>
      </c>
      <c r="B13" s="199"/>
      <c r="C13" s="11"/>
      <c r="D13" s="611" t="s">
        <v>102</v>
      </c>
      <c r="E13" s="612"/>
      <c r="F13" s="613"/>
      <c r="G13" s="1331"/>
      <c r="H13" s="1332"/>
      <c r="I13" s="1332"/>
      <c r="J13" s="1332"/>
      <c r="K13" s="1489"/>
      <c r="L13" s="1331"/>
      <c r="M13" s="1332"/>
      <c r="N13" s="1332"/>
      <c r="O13" s="1332"/>
      <c r="P13" s="1489"/>
      <c r="Q13" s="1331"/>
      <c r="R13" s="1332"/>
      <c r="S13" s="1332"/>
      <c r="T13" s="1332"/>
      <c r="U13" s="1355"/>
      <c r="V13" s="199"/>
      <c r="W13" s="11"/>
      <c r="X13" s="611" t="s">
        <v>102</v>
      </c>
      <c r="Y13" s="612"/>
      <c r="Z13" s="613"/>
      <c r="AA13" s="1331"/>
      <c r="AB13" s="1332"/>
      <c r="AC13" s="1332"/>
      <c r="AD13" s="1332"/>
      <c r="AE13" s="1489"/>
      <c r="AF13" s="457"/>
      <c r="AG13" s="458"/>
      <c r="AH13" s="458"/>
      <c r="AI13" s="458"/>
      <c r="AJ13" s="845"/>
      <c r="AK13" s="1331"/>
      <c r="AL13" s="1332"/>
      <c r="AM13" s="1332"/>
      <c r="AN13" s="1332"/>
      <c r="AO13" s="1355"/>
      <c r="AP13" s="870"/>
      <c r="AQ13" s="919"/>
      <c r="AR13" s="419" t="s">
        <v>420</v>
      </c>
      <c r="AS13" s="420"/>
      <c r="AT13" s="421"/>
      <c r="AU13" s="1328"/>
      <c r="AV13" s="1329"/>
      <c r="AW13" s="1329"/>
      <c r="AX13" s="1329"/>
      <c r="AY13" s="1474"/>
      <c r="AZ13" s="1328"/>
      <c r="BA13" s="1329"/>
      <c r="BB13" s="1329"/>
      <c r="BC13" s="1329"/>
      <c r="BD13" s="1474"/>
      <c r="BE13" s="1328"/>
      <c r="BF13" s="1329"/>
      <c r="BG13" s="1329"/>
      <c r="BH13" s="1329"/>
      <c r="BI13" s="1474"/>
      <c r="BJ13" s="1328"/>
      <c r="BK13" s="1329"/>
      <c r="BL13" s="1329"/>
      <c r="BM13" s="1329"/>
      <c r="BN13" s="1474"/>
      <c r="BO13" s="1328"/>
      <c r="BP13" s="1329"/>
      <c r="BQ13" s="1329"/>
      <c r="BR13" s="1329"/>
      <c r="BS13" s="1474"/>
      <c r="BT13" s="1328"/>
      <c r="BU13" s="1329"/>
      <c r="BV13" s="1329"/>
      <c r="BW13" s="1329"/>
      <c r="BX13" s="1474"/>
      <c r="BY13" s="1328"/>
      <c r="BZ13" s="1329"/>
      <c r="CA13" s="1329"/>
      <c r="CB13" s="1329"/>
      <c r="CC13" s="1334"/>
    </row>
    <row r="14" spans="1:81" ht="10.5" customHeight="1" x14ac:dyDescent="0.15">
      <c r="A14" s="2">
        <v>9</v>
      </c>
      <c r="B14" s="1686" t="s">
        <v>425</v>
      </c>
      <c r="C14" s="1210"/>
      <c r="D14" s="1210"/>
      <c r="E14" s="1210"/>
      <c r="F14" s="1210"/>
      <c r="G14" s="1314"/>
      <c r="H14" s="1315"/>
      <c r="I14" s="1315"/>
      <c r="J14" s="1315"/>
      <c r="K14" s="1472"/>
      <c r="L14" s="1314"/>
      <c r="M14" s="1315"/>
      <c r="N14" s="1315"/>
      <c r="O14" s="1315"/>
      <c r="P14" s="1472"/>
      <c r="Q14" s="1314"/>
      <c r="R14" s="1315"/>
      <c r="S14" s="1315"/>
      <c r="T14" s="1315"/>
      <c r="U14" s="1341"/>
      <c r="V14" s="1683" t="s">
        <v>438</v>
      </c>
      <c r="W14" s="1684"/>
      <c r="X14" s="1684"/>
      <c r="Y14" s="1684"/>
      <c r="Z14" s="1685"/>
      <c r="AA14" s="1314"/>
      <c r="AB14" s="1315"/>
      <c r="AC14" s="1315"/>
      <c r="AD14" s="1315"/>
      <c r="AE14" s="1472"/>
      <c r="AF14" s="358"/>
      <c r="AG14" s="359"/>
      <c r="AH14" s="359"/>
      <c r="AI14" s="359"/>
      <c r="AJ14" s="368"/>
      <c r="AK14" s="1314"/>
      <c r="AL14" s="1315"/>
      <c r="AM14" s="1315"/>
      <c r="AN14" s="1315"/>
      <c r="AO14" s="1341"/>
      <c r="AP14" s="870"/>
      <c r="AQ14" s="919"/>
      <c r="AR14" s="419" t="s">
        <v>422</v>
      </c>
      <c r="AS14" s="420"/>
      <c r="AT14" s="421"/>
      <c r="AU14" s="1328"/>
      <c r="AV14" s="1329"/>
      <c r="AW14" s="1329"/>
      <c r="AX14" s="1329"/>
      <c r="AY14" s="1474"/>
      <c r="AZ14" s="1328"/>
      <c r="BA14" s="1329"/>
      <c r="BB14" s="1329"/>
      <c r="BC14" s="1329"/>
      <c r="BD14" s="1474"/>
      <c r="BE14" s="1328"/>
      <c r="BF14" s="1329"/>
      <c r="BG14" s="1329"/>
      <c r="BH14" s="1329"/>
      <c r="BI14" s="1474"/>
      <c r="BJ14" s="1328"/>
      <c r="BK14" s="1329"/>
      <c r="BL14" s="1329"/>
      <c r="BM14" s="1329"/>
      <c r="BN14" s="1474"/>
      <c r="BO14" s="1328"/>
      <c r="BP14" s="1329"/>
      <c r="BQ14" s="1329"/>
      <c r="BR14" s="1329"/>
      <c r="BS14" s="1474"/>
      <c r="BT14" s="1328"/>
      <c r="BU14" s="1329"/>
      <c r="BV14" s="1329"/>
      <c r="BW14" s="1329"/>
      <c r="BX14" s="1474"/>
      <c r="BY14" s="1328"/>
      <c r="BZ14" s="1329"/>
      <c r="CA14" s="1329"/>
      <c r="CB14" s="1329"/>
      <c r="CC14" s="1334"/>
    </row>
    <row r="15" spans="1:81" ht="10.5" customHeight="1" x14ac:dyDescent="0.15">
      <c r="A15" s="2">
        <v>10</v>
      </c>
      <c r="B15" s="152"/>
      <c r="C15" s="419" t="s">
        <v>573</v>
      </c>
      <c r="D15" s="420"/>
      <c r="E15" s="420"/>
      <c r="F15" s="421"/>
      <c r="G15" s="1328"/>
      <c r="H15" s="1329"/>
      <c r="I15" s="1329"/>
      <c r="J15" s="1329"/>
      <c r="K15" s="1474"/>
      <c r="L15" s="1328"/>
      <c r="M15" s="1329"/>
      <c r="N15" s="1329"/>
      <c r="O15" s="1329"/>
      <c r="P15" s="1474"/>
      <c r="Q15" s="1328"/>
      <c r="R15" s="1329"/>
      <c r="S15" s="1329"/>
      <c r="T15" s="1329"/>
      <c r="U15" s="1334"/>
      <c r="V15" s="152"/>
      <c r="W15" s="419" t="s">
        <v>573</v>
      </c>
      <c r="X15" s="420"/>
      <c r="Y15" s="420"/>
      <c r="Z15" s="421"/>
      <c r="AA15" s="1328"/>
      <c r="AB15" s="1329"/>
      <c r="AC15" s="1329"/>
      <c r="AD15" s="1329"/>
      <c r="AE15" s="1474"/>
      <c r="AF15" s="376"/>
      <c r="AG15" s="377"/>
      <c r="AH15" s="377"/>
      <c r="AI15" s="377"/>
      <c r="AJ15" s="378"/>
      <c r="AK15" s="1328"/>
      <c r="AL15" s="1329"/>
      <c r="AM15" s="1329"/>
      <c r="AN15" s="1329"/>
      <c r="AO15" s="1334"/>
      <c r="AP15" s="872"/>
      <c r="AQ15" s="920"/>
      <c r="AR15" s="611" t="s">
        <v>423</v>
      </c>
      <c r="AS15" s="612"/>
      <c r="AT15" s="613"/>
      <c r="AU15" s="1331"/>
      <c r="AV15" s="1332"/>
      <c r="AW15" s="1332"/>
      <c r="AX15" s="1332"/>
      <c r="AY15" s="1489"/>
      <c r="AZ15" s="1331"/>
      <c r="BA15" s="1332"/>
      <c r="BB15" s="1332"/>
      <c r="BC15" s="1332"/>
      <c r="BD15" s="1489"/>
      <c r="BE15" s="1331"/>
      <c r="BF15" s="1332"/>
      <c r="BG15" s="1332"/>
      <c r="BH15" s="1332"/>
      <c r="BI15" s="1489"/>
      <c r="BJ15" s="1331"/>
      <c r="BK15" s="1332"/>
      <c r="BL15" s="1332"/>
      <c r="BM15" s="1332"/>
      <c r="BN15" s="1489"/>
      <c r="BO15" s="1331"/>
      <c r="BP15" s="1332"/>
      <c r="BQ15" s="1332"/>
      <c r="BR15" s="1332"/>
      <c r="BS15" s="1489"/>
      <c r="BT15" s="1331"/>
      <c r="BU15" s="1332"/>
      <c r="BV15" s="1332"/>
      <c r="BW15" s="1332"/>
      <c r="BX15" s="1489"/>
      <c r="BY15" s="1331"/>
      <c r="BZ15" s="1332"/>
      <c r="CA15" s="1332"/>
      <c r="CB15" s="1332"/>
      <c r="CC15" s="1355"/>
    </row>
    <row r="16" spans="1:81" ht="10.5" customHeight="1" x14ac:dyDescent="0.15">
      <c r="A16" s="2">
        <v>11</v>
      </c>
      <c r="B16" s="152"/>
      <c r="C16" s="500" t="s">
        <v>83</v>
      </c>
      <c r="D16" s="501"/>
      <c r="E16" s="501"/>
      <c r="F16" s="502"/>
      <c r="G16" s="1328"/>
      <c r="H16" s="1329"/>
      <c r="I16" s="1329"/>
      <c r="J16" s="1329"/>
      <c r="K16" s="1474"/>
      <c r="L16" s="1328"/>
      <c r="M16" s="1329"/>
      <c r="N16" s="1329"/>
      <c r="O16" s="1329"/>
      <c r="P16" s="1474"/>
      <c r="Q16" s="1328"/>
      <c r="R16" s="1329"/>
      <c r="S16" s="1329"/>
      <c r="T16" s="1329"/>
      <c r="U16" s="1334"/>
      <c r="V16" s="199"/>
      <c r="W16" s="611" t="s">
        <v>83</v>
      </c>
      <c r="X16" s="612"/>
      <c r="Y16" s="612"/>
      <c r="Z16" s="613"/>
      <c r="AA16" s="1331"/>
      <c r="AB16" s="1332"/>
      <c r="AC16" s="1332"/>
      <c r="AD16" s="1332"/>
      <c r="AE16" s="1489"/>
      <c r="AF16" s="457"/>
      <c r="AG16" s="458"/>
      <c r="AH16" s="458"/>
      <c r="AI16" s="458"/>
      <c r="AJ16" s="845"/>
      <c r="AK16" s="1331"/>
      <c r="AL16" s="1332"/>
      <c r="AM16" s="1332"/>
      <c r="AN16" s="1332"/>
      <c r="AO16" s="1355"/>
      <c r="AP16" s="940" t="s">
        <v>409</v>
      </c>
      <c r="AQ16" s="997"/>
      <c r="AR16" s="41"/>
      <c r="AS16" s="41"/>
      <c r="AT16" s="42"/>
      <c r="AU16" s="1314"/>
      <c r="AV16" s="1315"/>
      <c r="AW16" s="1315"/>
      <c r="AX16" s="1315"/>
      <c r="AY16" s="1472"/>
      <c r="AZ16" s="1314"/>
      <c r="BA16" s="1315"/>
      <c r="BB16" s="1315"/>
      <c r="BC16" s="1315"/>
      <c r="BD16" s="1472"/>
      <c r="BE16" s="1314"/>
      <c r="BF16" s="1315"/>
      <c r="BG16" s="1315"/>
      <c r="BH16" s="1315"/>
      <c r="BI16" s="1472"/>
      <c r="BJ16" s="1314"/>
      <c r="BK16" s="1315"/>
      <c r="BL16" s="1315"/>
      <c r="BM16" s="1315"/>
      <c r="BN16" s="1472"/>
      <c r="BO16" s="1314"/>
      <c r="BP16" s="1315"/>
      <c r="BQ16" s="1315"/>
      <c r="BR16" s="1315"/>
      <c r="BS16" s="1472"/>
      <c r="BT16" s="1314"/>
      <c r="BU16" s="1315"/>
      <c r="BV16" s="1315"/>
      <c r="BW16" s="1315"/>
      <c r="BX16" s="1472"/>
      <c r="BY16" s="1314"/>
      <c r="BZ16" s="1315"/>
      <c r="CA16" s="1315"/>
      <c r="CB16" s="1315"/>
      <c r="CC16" s="1341"/>
    </row>
    <row r="17" spans="1:95" ht="10.5" customHeight="1" x14ac:dyDescent="0.15">
      <c r="A17" s="2">
        <v>12</v>
      </c>
      <c r="B17" s="152"/>
      <c r="C17" s="8"/>
      <c r="D17" s="500" t="s">
        <v>88</v>
      </c>
      <c r="E17" s="501"/>
      <c r="F17" s="502"/>
      <c r="G17" s="1328"/>
      <c r="H17" s="1329"/>
      <c r="I17" s="1329"/>
      <c r="J17" s="1329"/>
      <c r="K17" s="1474"/>
      <c r="L17" s="1328"/>
      <c r="M17" s="1329"/>
      <c r="N17" s="1329"/>
      <c r="O17" s="1329"/>
      <c r="P17" s="1474"/>
      <c r="Q17" s="1328"/>
      <c r="R17" s="1329"/>
      <c r="S17" s="1329"/>
      <c r="T17" s="1329"/>
      <c r="U17" s="1334"/>
      <c r="V17" s="604" t="s">
        <v>442</v>
      </c>
      <c r="W17" s="605"/>
      <c r="X17" s="605"/>
      <c r="Y17" s="605"/>
      <c r="Z17" s="605"/>
      <c r="AA17" s="1314"/>
      <c r="AB17" s="1315"/>
      <c r="AC17" s="1315"/>
      <c r="AD17" s="1315"/>
      <c r="AE17" s="1472"/>
      <c r="AF17" s="358"/>
      <c r="AG17" s="359"/>
      <c r="AH17" s="359"/>
      <c r="AI17" s="359"/>
      <c r="AJ17" s="368"/>
      <c r="AK17" s="1314"/>
      <c r="AL17" s="1315"/>
      <c r="AM17" s="1315"/>
      <c r="AN17" s="1315"/>
      <c r="AO17" s="1341"/>
      <c r="AP17" s="870"/>
      <c r="AQ17" s="919"/>
      <c r="AR17" s="419" t="s">
        <v>416</v>
      </c>
      <c r="AS17" s="420"/>
      <c r="AT17" s="421"/>
      <c r="AU17" s="1328"/>
      <c r="AV17" s="1329"/>
      <c r="AW17" s="1329"/>
      <c r="AX17" s="1329"/>
      <c r="AY17" s="1474"/>
      <c r="AZ17" s="1328"/>
      <c r="BA17" s="1329"/>
      <c r="BB17" s="1329"/>
      <c r="BC17" s="1329"/>
      <c r="BD17" s="1474"/>
      <c r="BE17" s="1328"/>
      <c r="BF17" s="1329"/>
      <c r="BG17" s="1329"/>
      <c r="BH17" s="1329"/>
      <c r="BI17" s="1474"/>
      <c r="BJ17" s="1328"/>
      <c r="BK17" s="1329"/>
      <c r="BL17" s="1329"/>
      <c r="BM17" s="1329"/>
      <c r="BN17" s="1474"/>
      <c r="BO17" s="1328"/>
      <c r="BP17" s="1329"/>
      <c r="BQ17" s="1329"/>
      <c r="BR17" s="1329"/>
      <c r="BS17" s="1474"/>
      <c r="BT17" s="1328"/>
      <c r="BU17" s="1329"/>
      <c r="BV17" s="1329"/>
      <c r="BW17" s="1329"/>
      <c r="BX17" s="1474"/>
      <c r="BY17" s="1328"/>
      <c r="BZ17" s="1329"/>
      <c r="CA17" s="1329"/>
      <c r="CB17" s="1329"/>
      <c r="CC17" s="1334"/>
      <c r="CL17" s="5"/>
      <c r="CM17" s="5"/>
      <c r="CN17" s="5"/>
      <c r="CO17" s="5"/>
      <c r="CP17" s="5"/>
      <c r="CQ17" s="5"/>
    </row>
    <row r="18" spans="1:95" ht="10.5" customHeight="1" x14ac:dyDescent="0.15">
      <c r="A18" s="2">
        <v>13</v>
      </c>
      <c r="B18" s="152"/>
      <c r="C18" s="8"/>
      <c r="D18" s="36"/>
      <c r="E18" s="795" t="s">
        <v>421</v>
      </c>
      <c r="F18" s="797"/>
      <c r="G18" s="1328"/>
      <c r="H18" s="1329"/>
      <c r="I18" s="1329"/>
      <c r="J18" s="1329"/>
      <c r="K18" s="1474"/>
      <c r="L18" s="1328"/>
      <c r="M18" s="1329"/>
      <c r="N18" s="1329"/>
      <c r="O18" s="1329"/>
      <c r="P18" s="1474"/>
      <c r="Q18" s="1328"/>
      <c r="R18" s="1329"/>
      <c r="S18" s="1329"/>
      <c r="T18" s="1329"/>
      <c r="U18" s="1334"/>
      <c r="V18" s="152"/>
      <c r="W18" s="419" t="s">
        <v>573</v>
      </c>
      <c r="X18" s="420"/>
      <c r="Y18" s="420"/>
      <c r="Z18" s="421"/>
      <c r="AA18" s="1328"/>
      <c r="AB18" s="1329"/>
      <c r="AC18" s="1329"/>
      <c r="AD18" s="1329"/>
      <c r="AE18" s="1474"/>
      <c r="AF18" s="376"/>
      <c r="AG18" s="377"/>
      <c r="AH18" s="377"/>
      <c r="AI18" s="377"/>
      <c r="AJ18" s="378"/>
      <c r="AK18" s="1328"/>
      <c r="AL18" s="1329"/>
      <c r="AM18" s="1329"/>
      <c r="AN18" s="1329"/>
      <c r="AO18" s="1334"/>
      <c r="AP18" s="870"/>
      <c r="AQ18" s="919"/>
      <c r="AR18" s="419" t="s">
        <v>417</v>
      </c>
      <c r="AS18" s="420"/>
      <c r="AT18" s="421"/>
      <c r="AU18" s="1328"/>
      <c r="AV18" s="1329"/>
      <c r="AW18" s="1329"/>
      <c r="AX18" s="1329"/>
      <c r="AY18" s="1474"/>
      <c r="AZ18" s="1328"/>
      <c r="BA18" s="1329"/>
      <c r="BB18" s="1329"/>
      <c r="BC18" s="1329"/>
      <c r="BD18" s="1474"/>
      <c r="BE18" s="1328"/>
      <c r="BF18" s="1329"/>
      <c r="BG18" s="1329"/>
      <c r="BH18" s="1329"/>
      <c r="BI18" s="1474"/>
      <c r="BJ18" s="1328"/>
      <c r="BK18" s="1329"/>
      <c r="BL18" s="1329"/>
      <c r="BM18" s="1329"/>
      <c r="BN18" s="1474"/>
      <c r="BO18" s="1328"/>
      <c r="BP18" s="1329"/>
      <c r="BQ18" s="1329"/>
      <c r="BR18" s="1329"/>
      <c r="BS18" s="1474"/>
      <c r="BT18" s="1328"/>
      <c r="BU18" s="1329"/>
      <c r="BV18" s="1329"/>
      <c r="BW18" s="1329"/>
      <c r="BX18" s="1474"/>
      <c r="BY18" s="1328"/>
      <c r="BZ18" s="1329"/>
      <c r="CA18" s="1329"/>
      <c r="CB18" s="1329"/>
      <c r="CC18" s="1334"/>
      <c r="CL18" s="5"/>
      <c r="CM18" s="5"/>
      <c r="CN18" s="5"/>
      <c r="CO18" s="5"/>
      <c r="CP18" s="5"/>
      <c r="CQ18" s="5"/>
    </row>
    <row r="19" spans="1:95" ht="10.5" customHeight="1" x14ac:dyDescent="0.15">
      <c r="A19" s="2">
        <v>14</v>
      </c>
      <c r="B19" s="152"/>
      <c r="C19" s="8"/>
      <c r="D19" s="500" t="s">
        <v>102</v>
      </c>
      <c r="E19" s="501"/>
      <c r="F19" s="502"/>
      <c r="G19" s="1331"/>
      <c r="H19" s="1332"/>
      <c r="I19" s="1332"/>
      <c r="J19" s="1332"/>
      <c r="K19" s="1489"/>
      <c r="L19" s="1331"/>
      <c r="M19" s="1332"/>
      <c r="N19" s="1332"/>
      <c r="O19" s="1332"/>
      <c r="P19" s="1489"/>
      <c r="Q19" s="1331"/>
      <c r="R19" s="1332"/>
      <c r="S19" s="1332"/>
      <c r="T19" s="1332"/>
      <c r="U19" s="1355"/>
      <c r="V19" s="152"/>
      <c r="W19" s="500" t="s">
        <v>83</v>
      </c>
      <c r="X19" s="501"/>
      <c r="Y19" s="501"/>
      <c r="Z19" s="502"/>
      <c r="AA19" s="1328"/>
      <c r="AB19" s="1329"/>
      <c r="AC19" s="1329"/>
      <c r="AD19" s="1329"/>
      <c r="AE19" s="1474"/>
      <c r="AF19" s="376"/>
      <c r="AG19" s="377"/>
      <c r="AH19" s="377"/>
      <c r="AI19" s="377"/>
      <c r="AJ19" s="378"/>
      <c r="AK19" s="1328"/>
      <c r="AL19" s="1329"/>
      <c r="AM19" s="1329"/>
      <c r="AN19" s="1329"/>
      <c r="AO19" s="1334"/>
      <c r="AP19" s="870"/>
      <c r="AQ19" s="919"/>
      <c r="AR19" s="419" t="s">
        <v>418</v>
      </c>
      <c r="AS19" s="420"/>
      <c r="AT19" s="421"/>
      <c r="AU19" s="1328"/>
      <c r="AV19" s="1329"/>
      <c r="AW19" s="1329"/>
      <c r="AX19" s="1329"/>
      <c r="AY19" s="1474"/>
      <c r="AZ19" s="1328"/>
      <c r="BA19" s="1329"/>
      <c r="BB19" s="1329"/>
      <c r="BC19" s="1329"/>
      <c r="BD19" s="1474"/>
      <c r="BE19" s="1328"/>
      <c r="BF19" s="1329"/>
      <c r="BG19" s="1329"/>
      <c r="BH19" s="1329"/>
      <c r="BI19" s="1474"/>
      <c r="BJ19" s="1328"/>
      <c r="BK19" s="1329"/>
      <c r="BL19" s="1329"/>
      <c r="BM19" s="1329"/>
      <c r="BN19" s="1474"/>
      <c r="BO19" s="1328"/>
      <c r="BP19" s="1329"/>
      <c r="BQ19" s="1329"/>
      <c r="BR19" s="1329"/>
      <c r="BS19" s="1474"/>
      <c r="BT19" s="1328"/>
      <c r="BU19" s="1329"/>
      <c r="BV19" s="1329"/>
      <c r="BW19" s="1329"/>
      <c r="BX19" s="1474"/>
      <c r="BY19" s="1328"/>
      <c r="BZ19" s="1329"/>
      <c r="CA19" s="1329"/>
      <c r="CB19" s="1329"/>
      <c r="CC19" s="1334"/>
      <c r="CL19" s="5"/>
      <c r="CM19" s="5"/>
      <c r="CN19" s="5"/>
      <c r="CO19" s="5"/>
      <c r="CP19" s="5"/>
      <c r="CQ19" s="5"/>
    </row>
    <row r="20" spans="1:95" ht="10.5" customHeight="1" x14ac:dyDescent="0.15">
      <c r="A20" s="2">
        <v>15</v>
      </c>
      <c r="B20" s="1687" t="s">
        <v>429</v>
      </c>
      <c r="C20" s="1688"/>
      <c r="D20" s="1688"/>
      <c r="E20" s="1688"/>
      <c r="F20" s="1689"/>
      <c r="G20" s="1314"/>
      <c r="H20" s="1315"/>
      <c r="I20" s="1315"/>
      <c r="J20" s="1315"/>
      <c r="K20" s="1472"/>
      <c r="L20" s="1314"/>
      <c r="M20" s="1315"/>
      <c r="N20" s="1315"/>
      <c r="O20" s="1315"/>
      <c r="P20" s="1472"/>
      <c r="Q20" s="1314"/>
      <c r="R20" s="1315"/>
      <c r="S20" s="1315"/>
      <c r="T20" s="1315"/>
      <c r="U20" s="1341"/>
      <c r="V20" s="146"/>
      <c r="W20" s="8"/>
      <c r="X20" s="500" t="s">
        <v>88</v>
      </c>
      <c r="Y20" s="501"/>
      <c r="Z20" s="502"/>
      <c r="AA20" s="1328"/>
      <c r="AB20" s="1329"/>
      <c r="AC20" s="1329"/>
      <c r="AD20" s="1329"/>
      <c r="AE20" s="1474"/>
      <c r="AF20" s="376"/>
      <c r="AG20" s="377"/>
      <c r="AH20" s="377"/>
      <c r="AI20" s="377"/>
      <c r="AJ20" s="378"/>
      <c r="AK20" s="1328"/>
      <c r="AL20" s="1329"/>
      <c r="AM20" s="1329"/>
      <c r="AN20" s="1329"/>
      <c r="AO20" s="1334"/>
      <c r="AP20" s="870"/>
      <c r="AQ20" s="919"/>
      <c r="AR20" s="419" t="s">
        <v>419</v>
      </c>
      <c r="AS20" s="420"/>
      <c r="AT20" s="421"/>
      <c r="AU20" s="1328"/>
      <c r="AV20" s="1329"/>
      <c r="AW20" s="1329"/>
      <c r="AX20" s="1329"/>
      <c r="AY20" s="1474"/>
      <c r="AZ20" s="1328"/>
      <c r="BA20" s="1329"/>
      <c r="BB20" s="1329"/>
      <c r="BC20" s="1329"/>
      <c r="BD20" s="1474"/>
      <c r="BE20" s="1328"/>
      <c r="BF20" s="1329"/>
      <c r="BG20" s="1329"/>
      <c r="BH20" s="1329"/>
      <c r="BI20" s="1474"/>
      <c r="BJ20" s="1328"/>
      <c r="BK20" s="1329"/>
      <c r="BL20" s="1329"/>
      <c r="BM20" s="1329"/>
      <c r="BN20" s="1474"/>
      <c r="BO20" s="1328"/>
      <c r="BP20" s="1329"/>
      <c r="BQ20" s="1329"/>
      <c r="BR20" s="1329"/>
      <c r="BS20" s="1474"/>
      <c r="BT20" s="1328"/>
      <c r="BU20" s="1329"/>
      <c r="BV20" s="1329"/>
      <c r="BW20" s="1329"/>
      <c r="BX20" s="1474"/>
      <c r="BY20" s="1328"/>
      <c r="BZ20" s="1329"/>
      <c r="CA20" s="1329"/>
      <c r="CB20" s="1329"/>
      <c r="CC20" s="1334"/>
      <c r="CL20" s="5"/>
      <c r="CM20" s="5"/>
      <c r="CN20" s="5"/>
      <c r="CO20" s="5"/>
      <c r="CP20" s="5"/>
      <c r="CQ20" s="5"/>
    </row>
    <row r="21" spans="1:95" ht="10.5" customHeight="1" x14ac:dyDescent="0.15">
      <c r="A21" s="2">
        <v>16</v>
      </c>
      <c r="B21" s="152"/>
      <c r="C21" s="419" t="s">
        <v>573</v>
      </c>
      <c r="D21" s="420"/>
      <c r="E21" s="420"/>
      <c r="F21" s="421"/>
      <c r="G21" s="1328"/>
      <c r="H21" s="1329"/>
      <c r="I21" s="1329"/>
      <c r="J21" s="1329"/>
      <c r="K21" s="1474"/>
      <c r="L21" s="1328"/>
      <c r="M21" s="1329"/>
      <c r="N21" s="1329"/>
      <c r="O21" s="1329"/>
      <c r="P21" s="1474"/>
      <c r="Q21" s="1328"/>
      <c r="R21" s="1329"/>
      <c r="S21" s="1329"/>
      <c r="T21" s="1329"/>
      <c r="U21" s="1334"/>
      <c r="V21" s="146"/>
      <c r="W21" s="8"/>
      <c r="X21" s="36"/>
      <c r="Y21" s="795" t="s">
        <v>421</v>
      </c>
      <c r="Z21" s="797"/>
      <c r="AA21" s="1328"/>
      <c r="AB21" s="1329"/>
      <c r="AC21" s="1329"/>
      <c r="AD21" s="1329"/>
      <c r="AE21" s="1474"/>
      <c r="AF21" s="376"/>
      <c r="AG21" s="377"/>
      <c r="AH21" s="377"/>
      <c r="AI21" s="377"/>
      <c r="AJ21" s="378"/>
      <c r="AK21" s="1328"/>
      <c r="AL21" s="1329"/>
      <c r="AM21" s="1329"/>
      <c r="AN21" s="1329"/>
      <c r="AO21" s="1334"/>
      <c r="AP21" s="870"/>
      <c r="AQ21" s="919"/>
      <c r="AR21" s="419" t="s">
        <v>420</v>
      </c>
      <c r="AS21" s="420"/>
      <c r="AT21" s="421"/>
      <c r="AU21" s="1328"/>
      <c r="AV21" s="1329"/>
      <c r="AW21" s="1329"/>
      <c r="AX21" s="1329"/>
      <c r="AY21" s="1474"/>
      <c r="AZ21" s="1328"/>
      <c r="BA21" s="1329"/>
      <c r="BB21" s="1329"/>
      <c r="BC21" s="1329"/>
      <c r="BD21" s="1474"/>
      <c r="BE21" s="1328"/>
      <c r="BF21" s="1329"/>
      <c r="BG21" s="1329"/>
      <c r="BH21" s="1329"/>
      <c r="BI21" s="1474"/>
      <c r="BJ21" s="1328"/>
      <c r="BK21" s="1329"/>
      <c r="BL21" s="1329"/>
      <c r="BM21" s="1329"/>
      <c r="BN21" s="1474"/>
      <c r="BO21" s="1328"/>
      <c r="BP21" s="1329"/>
      <c r="BQ21" s="1329"/>
      <c r="BR21" s="1329"/>
      <c r="BS21" s="1474"/>
      <c r="BT21" s="1328"/>
      <c r="BU21" s="1329"/>
      <c r="BV21" s="1329"/>
      <c r="BW21" s="1329"/>
      <c r="BX21" s="1474"/>
      <c r="BY21" s="1328"/>
      <c r="BZ21" s="1329"/>
      <c r="CA21" s="1329"/>
      <c r="CB21" s="1329"/>
      <c r="CC21" s="1334"/>
      <c r="CL21" s="5"/>
      <c r="CM21" s="5"/>
      <c r="CN21" s="5"/>
      <c r="CO21" s="5"/>
      <c r="CP21" s="5"/>
      <c r="CQ21" s="5"/>
    </row>
    <row r="22" spans="1:95" ht="10.5" customHeight="1" thickBot="1" x14ac:dyDescent="0.2">
      <c r="A22" s="2">
        <v>17</v>
      </c>
      <c r="B22" s="152"/>
      <c r="C22" s="500" t="s">
        <v>83</v>
      </c>
      <c r="D22" s="501"/>
      <c r="E22" s="501"/>
      <c r="F22" s="502"/>
      <c r="G22" s="1328"/>
      <c r="H22" s="1329"/>
      <c r="I22" s="1329"/>
      <c r="J22" s="1329"/>
      <c r="K22" s="1474"/>
      <c r="L22" s="1328"/>
      <c r="M22" s="1329"/>
      <c r="N22" s="1329"/>
      <c r="O22" s="1329"/>
      <c r="P22" s="1474"/>
      <c r="Q22" s="1328"/>
      <c r="R22" s="1329"/>
      <c r="S22" s="1329"/>
      <c r="T22" s="1329"/>
      <c r="U22" s="1334"/>
      <c r="V22" s="45"/>
      <c r="W22" s="12"/>
      <c r="X22" s="686" t="s">
        <v>102</v>
      </c>
      <c r="Y22" s="687"/>
      <c r="Z22" s="688"/>
      <c r="AA22" s="1376"/>
      <c r="AB22" s="1377"/>
      <c r="AC22" s="1377"/>
      <c r="AD22" s="1377"/>
      <c r="AE22" s="1491"/>
      <c r="AF22" s="379"/>
      <c r="AG22" s="380"/>
      <c r="AH22" s="380"/>
      <c r="AI22" s="380"/>
      <c r="AJ22" s="381"/>
      <c r="AK22" s="1376"/>
      <c r="AL22" s="1377"/>
      <c r="AM22" s="1377"/>
      <c r="AN22" s="1377"/>
      <c r="AO22" s="1444"/>
      <c r="AP22" s="870"/>
      <c r="AQ22" s="919"/>
      <c r="AR22" s="419" t="s">
        <v>422</v>
      </c>
      <c r="AS22" s="420"/>
      <c r="AT22" s="421"/>
      <c r="AU22" s="1328"/>
      <c r="AV22" s="1329"/>
      <c r="AW22" s="1329"/>
      <c r="AX22" s="1329"/>
      <c r="AY22" s="1474"/>
      <c r="AZ22" s="1328"/>
      <c r="BA22" s="1329"/>
      <c r="BB22" s="1329"/>
      <c r="BC22" s="1329"/>
      <c r="BD22" s="1474"/>
      <c r="BE22" s="1328"/>
      <c r="BF22" s="1329"/>
      <c r="BG22" s="1329"/>
      <c r="BH22" s="1329"/>
      <c r="BI22" s="1474"/>
      <c r="BJ22" s="1328"/>
      <c r="BK22" s="1329"/>
      <c r="BL22" s="1329"/>
      <c r="BM22" s="1329"/>
      <c r="BN22" s="1474"/>
      <c r="BO22" s="1328"/>
      <c r="BP22" s="1329"/>
      <c r="BQ22" s="1329"/>
      <c r="BR22" s="1329"/>
      <c r="BS22" s="1474"/>
      <c r="BT22" s="1328"/>
      <c r="BU22" s="1329"/>
      <c r="BV22" s="1329"/>
      <c r="BW22" s="1329"/>
      <c r="BX22" s="1474"/>
      <c r="BY22" s="1328"/>
      <c r="BZ22" s="1329"/>
      <c r="CA22" s="1329"/>
      <c r="CB22" s="1329"/>
      <c r="CC22" s="1334"/>
      <c r="CL22" s="5"/>
      <c r="CM22" s="5"/>
      <c r="CN22" s="5"/>
      <c r="CO22" s="5"/>
      <c r="CP22" s="5"/>
      <c r="CQ22" s="5"/>
    </row>
    <row r="23" spans="1:95" ht="10.5" customHeight="1" x14ac:dyDescent="0.15">
      <c r="A23" s="2">
        <v>18</v>
      </c>
      <c r="B23" s="152"/>
      <c r="C23" s="8"/>
      <c r="D23" s="500" t="s">
        <v>88</v>
      </c>
      <c r="E23" s="501"/>
      <c r="F23" s="502"/>
      <c r="G23" s="1328"/>
      <c r="H23" s="1329"/>
      <c r="I23" s="1329"/>
      <c r="J23" s="1329"/>
      <c r="K23" s="1474"/>
      <c r="L23" s="1328"/>
      <c r="M23" s="1329"/>
      <c r="N23" s="1329"/>
      <c r="O23" s="1329"/>
      <c r="P23" s="1474"/>
      <c r="Q23" s="1328"/>
      <c r="R23" s="1329"/>
      <c r="S23" s="1329"/>
      <c r="T23" s="1329"/>
      <c r="U23" s="1334"/>
      <c r="AP23" s="870"/>
      <c r="AQ23" s="919"/>
      <c r="AR23" s="500" t="s">
        <v>423</v>
      </c>
      <c r="AS23" s="501"/>
      <c r="AT23" s="502"/>
      <c r="AU23" s="1331"/>
      <c r="AV23" s="1332"/>
      <c r="AW23" s="1332"/>
      <c r="AX23" s="1332"/>
      <c r="AY23" s="1489"/>
      <c r="AZ23" s="1331"/>
      <c r="BA23" s="1332"/>
      <c r="BB23" s="1332"/>
      <c r="BC23" s="1332"/>
      <c r="BD23" s="1489"/>
      <c r="BE23" s="1331"/>
      <c r="BF23" s="1332"/>
      <c r="BG23" s="1332"/>
      <c r="BH23" s="1332"/>
      <c r="BI23" s="1489"/>
      <c r="BJ23" s="1331"/>
      <c r="BK23" s="1332"/>
      <c r="BL23" s="1332"/>
      <c r="BM23" s="1332"/>
      <c r="BN23" s="1489"/>
      <c r="BO23" s="1331"/>
      <c r="BP23" s="1332"/>
      <c r="BQ23" s="1332"/>
      <c r="BR23" s="1332"/>
      <c r="BS23" s="1489"/>
      <c r="BT23" s="1331"/>
      <c r="BU23" s="1332"/>
      <c r="BV23" s="1332"/>
      <c r="BW23" s="1332"/>
      <c r="BX23" s="1489"/>
      <c r="BY23" s="1331"/>
      <c r="BZ23" s="1332"/>
      <c r="CA23" s="1332"/>
      <c r="CB23" s="1332"/>
      <c r="CC23" s="1355"/>
      <c r="CL23" s="5"/>
      <c r="CM23" s="5"/>
      <c r="CN23" s="5"/>
      <c r="CO23" s="5"/>
      <c r="CP23" s="5"/>
      <c r="CQ23" s="5"/>
    </row>
    <row r="24" spans="1:95" ht="10.5" customHeight="1" x14ac:dyDescent="0.15">
      <c r="A24" s="2">
        <v>19</v>
      </c>
      <c r="B24" s="152"/>
      <c r="C24" s="8"/>
      <c r="D24" s="36"/>
      <c r="E24" s="795" t="s">
        <v>421</v>
      </c>
      <c r="F24" s="797"/>
      <c r="G24" s="1328"/>
      <c r="H24" s="1329"/>
      <c r="I24" s="1329"/>
      <c r="J24" s="1329"/>
      <c r="K24" s="1474"/>
      <c r="L24" s="1328"/>
      <c r="M24" s="1329"/>
      <c r="N24" s="1329"/>
      <c r="O24" s="1329"/>
      <c r="P24" s="1474"/>
      <c r="Q24" s="1328"/>
      <c r="R24" s="1329"/>
      <c r="S24" s="1329"/>
      <c r="T24" s="1329"/>
      <c r="U24" s="1334"/>
      <c r="AP24" s="940" t="s">
        <v>71</v>
      </c>
      <c r="AQ24" s="997"/>
      <c r="AR24" s="41"/>
      <c r="AS24" s="41"/>
      <c r="AT24" s="42"/>
      <c r="AU24" s="1314"/>
      <c r="AV24" s="1315"/>
      <c r="AW24" s="1315"/>
      <c r="AX24" s="1315"/>
      <c r="AY24" s="1472"/>
      <c r="AZ24" s="1314"/>
      <c r="BA24" s="1315"/>
      <c r="BB24" s="1315"/>
      <c r="BC24" s="1315"/>
      <c r="BD24" s="1472"/>
      <c r="BE24" s="1314"/>
      <c r="BF24" s="1315"/>
      <c r="BG24" s="1315"/>
      <c r="BH24" s="1315"/>
      <c r="BI24" s="1472"/>
      <c r="BJ24" s="1314"/>
      <c r="BK24" s="1315"/>
      <c r="BL24" s="1315"/>
      <c r="BM24" s="1315"/>
      <c r="BN24" s="1472"/>
      <c r="BO24" s="1314"/>
      <c r="BP24" s="1315"/>
      <c r="BQ24" s="1315"/>
      <c r="BR24" s="1315"/>
      <c r="BS24" s="1472"/>
      <c r="BT24" s="1314"/>
      <c r="BU24" s="1315"/>
      <c r="BV24" s="1315"/>
      <c r="BW24" s="1315"/>
      <c r="BX24" s="1472"/>
      <c r="BY24" s="1314"/>
      <c r="BZ24" s="1315"/>
      <c r="CA24" s="1315"/>
      <c r="CB24" s="1315"/>
      <c r="CC24" s="1341"/>
      <c r="CL24" s="5"/>
      <c r="CM24" s="5"/>
      <c r="CN24" s="5"/>
      <c r="CO24" s="5"/>
      <c r="CP24" s="5"/>
      <c r="CQ24" s="5"/>
    </row>
    <row r="25" spans="1:95" ht="10.5" customHeight="1" thickBot="1" x14ac:dyDescent="0.2">
      <c r="A25" s="2">
        <v>20</v>
      </c>
      <c r="B25" s="93"/>
      <c r="C25" s="12"/>
      <c r="D25" s="686" t="s">
        <v>102</v>
      </c>
      <c r="E25" s="687"/>
      <c r="F25" s="688"/>
      <c r="G25" s="1376"/>
      <c r="H25" s="1377"/>
      <c r="I25" s="1377"/>
      <c r="J25" s="1377"/>
      <c r="K25" s="1491"/>
      <c r="L25" s="1376"/>
      <c r="M25" s="1377"/>
      <c r="N25" s="1377"/>
      <c r="O25" s="1377"/>
      <c r="P25" s="1491"/>
      <c r="Q25" s="1376"/>
      <c r="R25" s="1377"/>
      <c r="S25" s="1377"/>
      <c r="T25" s="1377"/>
      <c r="U25" s="1444"/>
      <c r="AP25" s="870"/>
      <c r="AQ25" s="919"/>
      <c r="AR25" s="419" t="s">
        <v>416</v>
      </c>
      <c r="AS25" s="420"/>
      <c r="AT25" s="421"/>
      <c r="AU25" s="1328"/>
      <c r="AV25" s="1329"/>
      <c r="AW25" s="1329"/>
      <c r="AX25" s="1329"/>
      <c r="AY25" s="1474"/>
      <c r="AZ25" s="1328"/>
      <c r="BA25" s="1329"/>
      <c r="BB25" s="1329"/>
      <c r="BC25" s="1329"/>
      <c r="BD25" s="1474"/>
      <c r="BE25" s="1328"/>
      <c r="BF25" s="1329"/>
      <c r="BG25" s="1329"/>
      <c r="BH25" s="1329"/>
      <c r="BI25" s="1474"/>
      <c r="BJ25" s="1328"/>
      <c r="BK25" s="1329"/>
      <c r="BL25" s="1329"/>
      <c r="BM25" s="1329"/>
      <c r="BN25" s="1474"/>
      <c r="BO25" s="1328"/>
      <c r="BP25" s="1329"/>
      <c r="BQ25" s="1329"/>
      <c r="BR25" s="1329"/>
      <c r="BS25" s="1474"/>
      <c r="BT25" s="1328"/>
      <c r="BU25" s="1329"/>
      <c r="BV25" s="1329"/>
      <c r="BW25" s="1329"/>
      <c r="BX25" s="1474"/>
      <c r="BY25" s="1328"/>
      <c r="BZ25" s="1329"/>
      <c r="CA25" s="1329"/>
      <c r="CB25" s="1329"/>
      <c r="CC25" s="1334"/>
      <c r="CL25" s="5"/>
      <c r="CM25" s="5"/>
      <c r="CN25" s="5"/>
      <c r="CO25" s="5"/>
      <c r="CP25" s="5"/>
      <c r="CQ25" s="5"/>
    </row>
    <row r="26" spans="1:95" ht="10.5" customHeight="1" x14ac:dyDescent="0.15">
      <c r="A26" s="2">
        <v>21</v>
      </c>
      <c r="B26" s="191" t="s">
        <v>434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190"/>
      <c r="R26" s="190"/>
      <c r="S26" s="190"/>
      <c r="T26" s="190"/>
      <c r="U26" s="190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7"/>
      <c r="AP26" s="870"/>
      <c r="AQ26" s="919"/>
      <c r="AR26" s="419" t="s">
        <v>427</v>
      </c>
      <c r="AS26" s="420"/>
      <c r="AT26" s="421"/>
      <c r="AU26" s="1328"/>
      <c r="AV26" s="1329"/>
      <c r="AW26" s="1329"/>
      <c r="AX26" s="1329"/>
      <c r="AY26" s="1474"/>
      <c r="AZ26" s="1328"/>
      <c r="BA26" s="1329"/>
      <c r="BB26" s="1329"/>
      <c r="BC26" s="1329"/>
      <c r="BD26" s="1474"/>
      <c r="BE26" s="1328"/>
      <c r="BF26" s="1329"/>
      <c r="BG26" s="1329"/>
      <c r="BH26" s="1329"/>
      <c r="BI26" s="1474"/>
      <c r="BJ26" s="1328"/>
      <c r="BK26" s="1329"/>
      <c r="BL26" s="1329"/>
      <c r="BM26" s="1329"/>
      <c r="BN26" s="1474"/>
      <c r="BO26" s="1328"/>
      <c r="BP26" s="1329"/>
      <c r="BQ26" s="1329"/>
      <c r="BR26" s="1329"/>
      <c r="BS26" s="1474"/>
      <c r="BT26" s="1328"/>
      <c r="BU26" s="1329"/>
      <c r="BV26" s="1329"/>
      <c r="BW26" s="1329"/>
      <c r="BX26" s="1474"/>
      <c r="BY26" s="1328"/>
      <c r="BZ26" s="1329"/>
      <c r="CA26" s="1329"/>
      <c r="CB26" s="1329"/>
      <c r="CC26" s="1334"/>
      <c r="CL26" s="5"/>
      <c r="CM26" s="5"/>
      <c r="CN26" s="5"/>
      <c r="CO26" s="5"/>
      <c r="CP26" s="5"/>
      <c r="CQ26" s="5"/>
    </row>
    <row r="27" spans="1:95" ht="10.5" customHeight="1" x14ac:dyDescent="0.15">
      <c r="A27" s="2">
        <v>22</v>
      </c>
      <c r="B27" s="580" t="s">
        <v>68</v>
      </c>
      <c r="C27" s="581"/>
      <c r="D27" s="581"/>
      <c r="E27" s="581"/>
      <c r="F27" s="582"/>
      <c r="G27" s="584" t="s">
        <v>71</v>
      </c>
      <c r="H27" s="581"/>
      <c r="I27" s="581"/>
      <c r="J27" s="581"/>
      <c r="K27" s="581"/>
      <c r="L27" s="147"/>
      <c r="M27" s="147"/>
      <c r="N27" s="149"/>
      <c r="O27" s="149"/>
      <c r="P27" s="149"/>
      <c r="Q27" s="196"/>
      <c r="R27" s="196"/>
      <c r="S27" s="196"/>
      <c r="T27" s="196"/>
      <c r="U27" s="196"/>
      <c r="V27" s="583" t="s">
        <v>68</v>
      </c>
      <c r="W27" s="489"/>
      <c r="X27" s="489"/>
      <c r="Y27" s="489"/>
      <c r="Z27" s="490"/>
      <c r="AA27" s="583" t="s">
        <v>71</v>
      </c>
      <c r="AB27" s="489"/>
      <c r="AC27" s="489"/>
      <c r="AD27" s="489"/>
      <c r="AE27" s="489"/>
      <c r="AF27" s="147"/>
      <c r="AG27" s="147"/>
      <c r="AH27" s="149"/>
      <c r="AI27" s="149"/>
      <c r="AJ27" s="149"/>
      <c r="AK27" s="196"/>
      <c r="AL27" s="196"/>
      <c r="AM27" s="196"/>
      <c r="AN27" s="196"/>
      <c r="AO27" s="197"/>
      <c r="AP27" s="870"/>
      <c r="AQ27" s="919"/>
      <c r="AR27" s="419" t="s">
        <v>428</v>
      </c>
      <c r="AS27" s="420"/>
      <c r="AT27" s="421"/>
      <c r="AU27" s="1328"/>
      <c r="AV27" s="1329"/>
      <c r="AW27" s="1329"/>
      <c r="AX27" s="1329"/>
      <c r="AY27" s="1474"/>
      <c r="AZ27" s="1328"/>
      <c r="BA27" s="1329"/>
      <c r="BB27" s="1329"/>
      <c r="BC27" s="1329"/>
      <c r="BD27" s="1474"/>
      <c r="BE27" s="1328"/>
      <c r="BF27" s="1329"/>
      <c r="BG27" s="1329"/>
      <c r="BH27" s="1329"/>
      <c r="BI27" s="1474"/>
      <c r="BJ27" s="1328"/>
      <c r="BK27" s="1329"/>
      <c r="BL27" s="1329"/>
      <c r="BM27" s="1329"/>
      <c r="BN27" s="1474"/>
      <c r="BO27" s="1328"/>
      <c r="BP27" s="1329"/>
      <c r="BQ27" s="1329"/>
      <c r="BR27" s="1329"/>
      <c r="BS27" s="1474"/>
      <c r="BT27" s="1328"/>
      <c r="BU27" s="1329"/>
      <c r="BV27" s="1329"/>
      <c r="BW27" s="1329"/>
      <c r="BX27" s="1474"/>
      <c r="BY27" s="1328"/>
      <c r="BZ27" s="1329"/>
      <c r="CA27" s="1329"/>
      <c r="CB27" s="1329"/>
      <c r="CC27" s="1334"/>
      <c r="CL27" s="5"/>
      <c r="CM27" s="5"/>
      <c r="CN27" s="5"/>
      <c r="CO27" s="5"/>
      <c r="CP27" s="5"/>
      <c r="CQ27" s="5"/>
    </row>
    <row r="28" spans="1:95" ht="10.5" customHeight="1" x14ac:dyDescent="0.15">
      <c r="A28" s="2">
        <v>23</v>
      </c>
      <c r="B28" s="580"/>
      <c r="C28" s="581"/>
      <c r="D28" s="581"/>
      <c r="E28" s="581"/>
      <c r="F28" s="582"/>
      <c r="G28" s="584"/>
      <c r="H28" s="581"/>
      <c r="I28" s="581"/>
      <c r="J28" s="581"/>
      <c r="K28" s="581"/>
      <c r="L28" s="558" t="s">
        <v>408</v>
      </c>
      <c r="M28" s="521"/>
      <c r="N28" s="521"/>
      <c r="O28" s="521"/>
      <c r="P28" s="522"/>
      <c r="Q28" s="1463" t="s">
        <v>409</v>
      </c>
      <c r="R28" s="906"/>
      <c r="S28" s="906"/>
      <c r="T28" s="906"/>
      <c r="U28" s="906"/>
      <c r="V28" s="552"/>
      <c r="W28" s="553"/>
      <c r="X28" s="553"/>
      <c r="Y28" s="553"/>
      <c r="Z28" s="554"/>
      <c r="AA28" s="552"/>
      <c r="AB28" s="553"/>
      <c r="AC28" s="553"/>
      <c r="AD28" s="553"/>
      <c r="AE28" s="553"/>
      <c r="AF28" s="558" t="s">
        <v>408</v>
      </c>
      <c r="AG28" s="521"/>
      <c r="AH28" s="521"/>
      <c r="AI28" s="521"/>
      <c r="AJ28" s="522"/>
      <c r="AK28" s="1463" t="s">
        <v>409</v>
      </c>
      <c r="AL28" s="906"/>
      <c r="AM28" s="906"/>
      <c r="AN28" s="906"/>
      <c r="AO28" s="1464"/>
      <c r="AP28" s="870"/>
      <c r="AQ28" s="919"/>
      <c r="AR28" s="419" t="s">
        <v>431</v>
      </c>
      <c r="AS28" s="420"/>
      <c r="AT28" s="421"/>
      <c r="AU28" s="1328"/>
      <c r="AV28" s="1329"/>
      <c r="AW28" s="1329"/>
      <c r="AX28" s="1329"/>
      <c r="AY28" s="1474"/>
      <c r="AZ28" s="1328"/>
      <c r="BA28" s="1329"/>
      <c r="BB28" s="1329"/>
      <c r="BC28" s="1329"/>
      <c r="BD28" s="1474"/>
      <c r="BE28" s="1328"/>
      <c r="BF28" s="1329"/>
      <c r="BG28" s="1329"/>
      <c r="BH28" s="1329"/>
      <c r="BI28" s="1474"/>
      <c r="BJ28" s="1328"/>
      <c r="BK28" s="1329"/>
      <c r="BL28" s="1329"/>
      <c r="BM28" s="1329"/>
      <c r="BN28" s="1474"/>
      <c r="BO28" s="1328"/>
      <c r="BP28" s="1329"/>
      <c r="BQ28" s="1329"/>
      <c r="BR28" s="1329"/>
      <c r="BS28" s="1474"/>
      <c r="BT28" s="1328"/>
      <c r="BU28" s="1329"/>
      <c r="BV28" s="1329"/>
      <c r="BW28" s="1329"/>
      <c r="BX28" s="1474"/>
      <c r="BY28" s="1328"/>
      <c r="BZ28" s="1329"/>
      <c r="CA28" s="1329"/>
      <c r="CB28" s="1329"/>
      <c r="CC28" s="1334"/>
    </row>
    <row r="29" spans="1:95" ht="10.5" customHeight="1" x14ac:dyDescent="0.15">
      <c r="A29" s="2">
        <v>24</v>
      </c>
      <c r="B29" s="494" t="s">
        <v>436</v>
      </c>
      <c r="C29" s="640"/>
      <c r="D29" s="640"/>
      <c r="E29" s="640"/>
      <c r="F29" s="640"/>
      <c r="G29" s="1314"/>
      <c r="H29" s="1315"/>
      <c r="I29" s="1315"/>
      <c r="J29" s="1315"/>
      <c r="K29" s="1472"/>
      <c r="L29" s="1314"/>
      <c r="M29" s="1315"/>
      <c r="N29" s="1315"/>
      <c r="O29" s="1315"/>
      <c r="P29" s="1472"/>
      <c r="Q29" s="1314"/>
      <c r="R29" s="1315"/>
      <c r="S29" s="1315"/>
      <c r="T29" s="1315"/>
      <c r="U29" s="1472"/>
      <c r="V29" s="605" t="s">
        <v>437</v>
      </c>
      <c r="W29" s="605"/>
      <c r="X29" s="605"/>
      <c r="Y29" s="605"/>
      <c r="Z29" s="798"/>
      <c r="AA29" s="1314"/>
      <c r="AB29" s="1315"/>
      <c r="AC29" s="1315"/>
      <c r="AD29" s="1315"/>
      <c r="AE29" s="1472"/>
      <c r="AF29" s="358"/>
      <c r="AG29" s="359"/>
      <c r="AH29" s="359"/>
      <c r="AI29" s="359"/>
      <c r="AJ29" s="368"/>
      <c r="AK29" s="1314"/>
      <c r="AL29" s="1315"/>
      <c r="AM29" s="1315"/>
      <c r="AN29" s="1315"/>
      <c r="AO29" s="1341"/>
      <c r="AP29" s="870"/>
      <c r="AQ29" s="919"/>
      <c r="AR29" s="419" t="s">
        <v>432</v>
      </c>
      <c r="AS29" s="420"/>
      <c r="AT29" s="421"/>
      <c r="AU29" s="1328"/>
      <c r="AV29" s="1329"/>
      <c r="AW29" s="1329"/>
      <c r="AX29" s="1329"/>
      <c r="AY29" s="1474"/>
      <c r="AZ29" s="1328"/>
      <c r="BA29" s="1329"/>
      <c r="BB29" s="1329"/>
      <c r="BC29" s="1329"/>
      <c r="BD29" s="1474"/>
      <c r="BE29" s="1328"/>
      <c r="BF29" s="1329"/>
      <c r="BG29" s="1329"/>
      <c r="BH29" s="1329"/>
      <c r="BI29" s="1474"/>
      <c r="BJ29" s="1328"/>
      <c r="BK29" s="1329"/>
      <c r="BL29" s="1329"/>
      <c r="BM29" s="1329"/>
      <c r="BN29" s="1474"/>
      <c r="BO29" s="1328"/>
      <c r="BP29" s="1329"/>
      <c r="BQ29" s="1329"/>
      <c r="BR29" s="1329"/>
      <c r="BS29" s="1474"/>
      <c r="BT29" s="1328"/>
      <c r="BU29" s="1329"/>
      <c r="BV29" s="1329"/>
      <c r="BW29" s="1329"/>
      <c r="BX29" s="1474"/>
      <c r="BY29" s="1328"/>
      <c r="BZ29" s="1329"/>
      <c r="CA29" s="1329"/>
      <c r="CB29" s="1329"/>
      <c r="CC29" s="1334"/>
    </row>
    <row r="30" spans="1:95" ht="10.5" customHeight="1" x14ac:dyDescent="0.15">
      <c r="A30" s="2">
        <v>25</v>
      </c>
      <c r="B30" s="39"/>
      <c r="C30" s="40"/>
      <c r="D30" s="419" t="s">
        <v>416</v>
      </c>
      <c r="E30" s="420"/>
      <c r="F30" s="421"/>
      <c r="G30" s="1328"/>
      <c r="H30" s="1329"/>
      <c r="I30" s="1329"/>
      <c r="J30" s="1329"/>
      <c r="K30" s="1474"/>
      <c r="L30" s="1328"/>
      <c r="M30" s="1329"/>
      <c r="N30" s="1329"/>
      <c r="O30" s="1329"/>
      <c r="P30" s="1474"/>
      <c r="Q30" s="1328"/>
      <c r="R30" s="1329"/>
      <c r="S30" s="1329"/>
      <c r="T30" s="1329"/>
      <c r="U30" s="1474"/>
      <c r="V30" s="200"/>
      <c r="W30" s="40"/>
      <c r="X30" s="419" t="s">
        <v>416</v>
      </c>
      <c r="Y30" s="420"/>
      <c r="Z30" s="421"/>
      <c r="AA30" s="1328"/>
      <c r="AB30" s="1329"/>
      <c r="AC30" s="1329"/>
      <c r="AD30" s="1329"/>
      <c r="AE30" s="1474"/>
      <c r="AF30" s="376"/>
      <c r="AG30" s="377"/>
      <c r="AH30" s="377"/>
      <c r="AI30" s="377"/>
      <c r="AJ30" s="378"/>
      <c r="AK30" s="1328"/>
      <c r="AL30" s="1329"/>
      <c r="AM30" s="1329"/>
      <c r="AN30" s="1329"/>
      <c r="AO30" s="1334"/>
      <c r="AP30" s="870"/>
      <c r="AQ30" s="919"/>
      <c r="AR30" s="419" t="s">
        <v>433</v>
      </c>
      <c r="AS30" s="420"/>
      <c r="AT30" s="421"/>
      <c r="AU30" s="1328"/>
      <c r="AV30" s="1329"/>
      <c r="AW30" s="1329"/>
      <c r="AX30" s="1329"/>
      <c r="AY30" s="1474"/>
      <c r="AZ30" s="1328"/>
      <c r="BA30" s="1329"/>
      <c r="BB30" s="1329"/>
      <c r="BC30" s="1329"/>
      <c r="BD30" s="1474"/>
      <c r="BE30" s="1328"/>
      <c r="BF30" s="1329"/>
      <c r="BG30" s="1329"/>
      <c r="BH30" s="1329"/>
      <c r="BI30" s="1474"/>
      <c r="BJ30" s="1328"/>
      <c r="BK30" s="1329"/>
      <c r="BL30" s="1329"/>
      <c r="BM30" s="1329"/>
      <c r="BN30" s="1474"/>
      <c r="BO30" s="1328"/>
      <c r="BP30" s="1329"/>
      <c r="BQ30" s="1329"/>
      <c r="BR30" s="1329"/>
      <c r="BS30" s="1474"/>
      <c r="BT30" s="1328"/>
      <c r="BU30" s="1329"/>
      <c r="BV30" s="1329"/>
      <c r="BW30" s="1329"/>
      <c r="BX30" s="1474"/>
      <c r="BY30" s="1328"/>
      <c r="BZ30" s="1329"/>
      <c r="CA30" s="1329"/>
      <c r="CB30" s="1329"/>
      <c r="CC30" s="1334"/>
    </row>
    <row r="31" spans="1:95" ht="10.5" customHeight="1" thickBot="1" x14ac:dyDescent="0.2">
      <c r="A31" s="2">
        <v>26</v>
      </c>
      <c r="B31" s="39"/>
      <c r="C31" s="40"/>
      <c r="D31" s="419" t="s">
        <v>417</v>
      </c>
      <c r="E31" s="420"/>
      <c r="F31" s="421"/>
      <c r="G31" s="1328"/>
      <c r="H31" s="1329"/>
      <c r="I31" s="1329"/>
      <c r="J31" s="1329"/>
      <c r="K31" s="1474"/>
      <c r="L31" s="1328"/>
      <c r="M31" s="1329"/>
      <c r="N31" s="1329"/>
      <c r="O31" s="1329"/>
      <c r="P31" s="1474"/>
      <c r="Q31" s="1328"/>
      <c r="R31" s="1329"/>
      <c r="S31" s="1329"/>
      <c r="T31" s="1329"/>
      <c r="U31" s="1474"/>
      <c r="V31" s="200"/>
      <c r="W31" s="40"/>
      <c r="X31" s="419" t="s">
        <v>417</v>
      </c>
      <c r="Y31" s="420"/>
      <c r="Z31" s="421"/>
      <c r="AA31" s="1328"/>
      <c r="AB31" s="1329"/>
      <c r="AC31" s="1329"/>
      <c r="AD31" s="1329"/>
      <c r="AE31" s="1474"/>
      <c r="AF31" s="376"/>
      <c r="AG31" s="377"/>
      <c r="AH31" s="377"/>
      <c r="AI31" s="377"/>
      <c r="AJ31" s="378"/>
      <c r="AK31" s="1328"/>
      <c r="AL31" s="1329"/>
      <c r="AM31" s="1329"/>
      <c r="AN31" s="1329"/>
      <c r="AO31" s="1334"/>
      <c r="AP31" s="1073"/>
      <c r="AQ31" s="1074"/>
      <c r="AR31" s="686" t="s">
        <v>423</v>
      </c>
      <c r="AS31" s="687"/>
      <c r="AT31" s="688"/>
      <c r="AU31" s="1376"/>
      <c r="AV31" s="1377"/>
      <c r="AW31" s="1377"/>
      <c r="AX31" s="1377"/>
      <c r="AY31" s="1491"/>
      <c r="AZ31" s="1376"/>
      <c r="BA31" s="1377"/>
      <c r="BB31" s="1377"/>
      <c r="BC31" s="1377"/>
      <c r="BD31" s="1491"/>
      <c r="BE31" s="1376"/>
      <c r="BF31" s="1377"/>
      <c r="BG31" s="1377"/>
      <c r="BH31" s="1377"/>
      <c r="BI31" s="1491"/>
      <c r="BJ31" s="1376"/>
      <c r="BK31" s="1377"/>
      <c r="BL31" s="1377"/>
      <c r="BM31" s="1377"/>
      <c r="BN31" s="1491"/>
      <c r="BO31" s="1376"/>
      <c r="BP31" s="1377"/>
      <c r="BQ31" s="1377"/>
      <c r="BR31" s="1377"/>
      <c r="BS31" s="1491"/>
      <c r="BT31" s="1376"/>
      <c r="BU31" s="1377"/>
      <c r="BV31" s="1377"/>
      <c r="BW31" s="1377"/>
      <c r="BX31" s="1491"/>
      <c r="BY31" s="1376"/>
      <c r="BZ31" s="1377"/>
      <c r="CA31" s="1377"/>
      <c r="CB31" s="1377"/>
      <c r="CC31" s="1444"/>
    </row>
    <row r="32" spans="1:95" ht="10.5" customHeight="1" x14ac:dyDescent="0.15">
      <c r="A32" s="2">
        <v>27</v>
      </c>
      <c r="B32" s="39"/>
      <c r="C32" s="40"/>
      <c r="D32" s="419" t="s">
        <v>418</v>
      </c>
      <c r="E32" s="420"/>
      <c r="F32" s="421"/>
      <c r="G32" s="1328"/>
      <c r="H32" s="1329"/>
      <c r="I32" s="1329"/>
      <c r="J32" s="1329"/>
      <c r="K32" s="1474"/>
      <c r="L32" s="1328"/>
      <c r="M32" s="1329"/>
      <c r="N32" s="1329"/>
      <c r="O32" s="1329"/>
      <c r="P32" s="1474"/>
      <c r="Q32" s="1328"/>
      <c r="R32" s="1329"/>
      <c r="S32" s="1329"/>
      <c r="T32" s="1329"/>
      <c r="U32" s="1474"/>
      <c r="V32" s="200"/>
      <c r="W32" s="40"/>
      <c r="X32" s="419" t="s">
        <v>418</v>
      </c>
      <c r="Y32" s="420"/>
      <c r="Z32" s="421"/>
      <c r="AA32" s="1328"/>
      <c r="AB32" s="1329"/>
      <c r="AC32" s="1329"/>
      <c r="AD32" s="1329"/>
      <c r="AE32" s="1474"/>
      <c r="AF32" s="376"/>
      <c r="AG32" s="377"/>
      <c r="AH32" s="377"/>
      <c r="AI32" s="377"/>
      <c r="AJ32" s="378"/>
      <c r="AK32" s="1328"/>
      <c r="AL32" s="1329"/>
      <c r="AM32" s="1329"/>
      <c r="AN32" s="1329"/>
      <c r="AO32" s="1334"/>
      <c r="AP32" s="201" t="s">
        <v>574</v>
      </c>
      <c r="AQ32" s="202"/>
      <c r="AR32" s="203"/>
      <c r="AS32" s="203"/>
      <c r="AT32" s="203"/>
      <c r="AU32" s="204"/>
      <c r="AV32" s="204"/>
      <c r="AW32" s="204"/>
      <c r="AX32" s="204"/>
      <c r="AY32" s="205"/>
      <c r="AZ32" s="206"/>
      <c r="BA32" s="206"/>
      <c r="BB32" s="206"/>
      <c r="BC32" s="206"/>
      <c r="BD32" s="206"/>
      <c r="BE32" s="206"/>
      <c r="BF32" s="206"/>
      <c r="BG32" s="206"/>
      <c r="BH32" s="206"/>
      <c r="BI32" s="207"/>
      <c r="BJ32" s="208"/>
      <c r="BK32" s="208"/>
      <c r="BL32" s="208"/>
      <c r="BM32" s="208"/>
      <c r="BN32" s="208"/>
      <c r="BO32" s="209"/>
      <c r="BP32" s="209"/>
      <c r="BQ32" s="209"/>
      <c r="BR32" s="209"/>
      <c r="BS32" s="209"/>
      <c r="BT32" s="209"/>
      <c r="BU32" s="209"/>
      <c r="BV32" s="209"/>
      <c r="BW32" s="209"/>
      <c r="BX32" s="209"/>
      <c r="BY32" s="209"/>
      <c r="BZ32" s="209"/>
      <c r="CA32" s="209"/>
      <c r="CB32" s="209"/>
      <c r="CC32" s="210"/>
    </row>
    <row r="33" spans="1:121" ht="10.5" customHeight="1" x14ac:dyDescent="0.15">
      <c r="A33" s="2">
        <v>28</v>
      </c>
      <c r="B33" s="39"/>
      <c r="C33" s="40"/>
      <c r="D33" s="419" t="s">
        <v>419</v>
      </c>
      <c r="E33" s="420"/>
      <c r="F33" s="421"/>
      <c r="G33" s="1328"/>
      <c r="H33" s="1329"/>
      <c r="I33" s="1329"/>
      <c r="J33" s="1329"/>
      <c r="K33" s="1474"/>
      <c r="L33" s="1328"/>
      <c r="M33" s="1329"/>
      <c r="N33" s="1329"/>
      <c r="O33" s="1329"/>
      <c r="P33" s="1474"/>
      <c r="Q33" s="1328"/>
      <c r="R33" s="1329"/>
      <c r="S33" s="1329"/>
      <c r="T33" s="1329"/>
      <c r="U33" s="1474"/>
      <c r="V33" s="200"/>
      <c r="W33" s="40"/>
      <c r="X33" s="419" t="s">
        <v>419</v>
      </c>
      <c r="Y33" s="420"/>
      <c r="Z33" s="421"/>
      <c r="AA33" s="1328"/>
      <c r="AB33" s="1329"/>
      <c r="AC33" s="1329"/>
      <c r="AD33" s="1329"/>
      <c r="AE33" s="1474"/>
      <c r="AF33" s="376"/>
      <c r="AG33" s="377"/>
      <c r="AH33" s="377"/>
      <c r="AI33" s="377"/>
      <c r="AJ33" s="378"/>
      <c r="AK33" s="1328"/>
      <c r="AL33" s="1329"/>
      <c r="AM33" s="1329"/>
      <c r="AN33" s="1329"/>
      <c r="AO33" s="1334"/>
      <c r="AP33" s="717" t="s">
        <v>238</v>
      </c>
      <c r="AQ33" s="553"/>
      <c r="AR33" s="553"/>
      <c r="AS33" s="553"/>
      <c r="AT33" s="554"/>
      <c r="AU33" s="552" t="s">
        <v>575</v>
      </c>
      <c r="AV33" s="553"/>
      <c r="AW33" s="553"/>
      <c r="AX33" s="553"/>
      <c r="AY33" s="553"/>
      <c r="AZ33" s="1690" t="s">
        <v>505</v>
      </c>
      <c r="BA33" s="1691"/>
      <c r="BB33" s="1691"/>
      <c r="BC33" s="1691"/>
      <c r="BD33" s="1692"/>
      <c r="BE33" s="1693" t="s">
        <v>441</v>
      </c>
      <c r="BF33" s="1694"/>
      <c r="BG33" s="1694"/>
      <c r="BH33" s="1694"/>
      <c r="BI33" s="1695"/>
      <c r="BJ33" s="211"/>
      <c r="BK33" s="211"/>
      <c r="BL33" s="211"/>
      <c r="BM33" s="211"/>
      <c r="BN33" s="211"/>
      <c r="BO33" s="3"/>
      <c r="BP33" s="3"/>
      <c r="BQ33" s="3"/>
      <c r="BR33" s="3"/>
      <c r="BS33" s="3"/>
      <c r="BT33" s="212"/>
      <c r="BU33" s="212"/>
      <c r="BV33" s="212"/>
      <c r="BW33" s="212"/>
      <c r="BX33" s="212"/>
      <c r="BY33" s="212"/>
      <c r="BZ33" s="212"/>
      <c r="CA33" s="212"/>
      <c r="CB33" s="212"/>
      <c r="CC33" s="213"/>
    </row>
    <row r="34" spans="1:121" ht="10.5" customHeight="1" thickBot="1" x14ac:dyDescent="0.2">
      <c r="A34" s="2">
        <v>29</v>
      </c>
      <c r="B34" s="39"/>
      <c r="C34" s="40"/>
      <c r="D34" s="419" t="s">
        <v>420</v>
      </c>
      <c r="E34" s="420"/>
      <c r="F34" s="421"/>
      <c r="G34" s="1328"/>
      <c r="H34" s="1329"/>
      <c r="I34" s="1329"/>
      <c r="J34" s="1329"/>
      <c r="K34" s="1474"/>
      <c r="L34" s="1328"/>
      <c r="M34" s="1329"/>
      <c r="N34" s="1329"/>
      <c r="O34" s="1329"/>
      <c r="P34" s="1474"/>
      <c r="Q34" s="1328"/>
      <c r="R34" s="1329"/>
      <c r="S34" s="1329"/>
      <c r="T34" s="1329"/>
      <c r="U34" s="1474"/>
      <c r="V34" s="200"/>
      <c r="W34" s="40"/>
      <c r="X34" s="419" t="s">
        <v>420</v>
      </c>
      <c r="Y34" s="420"/>
      <c r="Z34" s="421"/>
      <c r="AA34" s="1328"/>
      <c r="AB34" s="1329"/>
      <c r="AC34" s="1329"/>
      <c r="AD34" s="1329"/>
      <c r="AE34" s="1474"/>
      <c r="AF34" s="376"/>
      <c r="AG34" s="377"/>
      <c r="AH34" s="377"/>
      <c r="AI34" s="377"/>
      <c r="AJ34" s="378"/>
      <c r="AK34" s="1328"/>
      <c r="AL34" s="1329"/>
      <c r="AM34" s="1329"/>
      <c r="AN34" s="1329"/>
      <c r="AO34" s="1334"/>
      <c r="AP34" s="604" t="s">
        <v>443</v>
      </c>
      <c r="AQ34" s="605"/>
      <c r="AR34" s="605"/>
      <c r="AS34" s="605"/>
      <c r="AT34" s="798"/>
      <c r="AU34" s="1314"/>
      <c r="AV34" s="1315"/>
      <c r="AW34" s="1315"/>
      <c r="AX34" s="1315"/>
      <c r="AY34" s="1472"/>
      <c r="AZ34" s="1696" t="s">
        <v>424</v>
      </c>
      <c r="BA34" s="1697"/>
      <c r="BB34" s="1697"/>
      <c r="BC34" s="1697"/>
      <c r="BD34" s="1698"/>
      <c r="BE34" s="1370"/>
      <c r="BF34" s="1371"/>
      <c r="BG34" s="1371"/>
      <c r="BH34" s="1371"/>
      <c r="BI34" s="1372"/>
      <c r="BJ34" s="214"/>
      <c r="BK34" s="214"/>
      <c r="BL34" s="214"/>
      <c r="BM34" s="214"/>
      <c r="BN34" s="214"/>
      <c r="BO34" s="3"/>
      <c r="BP34" s="3"/>
      <c r="BQ34" s="3"/>
      <c r="BR34" s="3"/>
      <c r="BS34" s="3"/>
      <c r="BT34" s="1"/>
      <c r="BU34" s="1"/>
      <c r="BV34" s="1"/>
      <c r="BW34" s="1"/>
      <c r="BX34" s="1"/>
      <c r="BY34" s="1"/>
      <c r="BZ34" s="1"/>
      <c r="CA34" s="1"/>
      <c r="CB34" s="1"/>
      <c r="CC34" s="14"/>
    </row>
    <row r="35" spans="1:121" ht="10.5" customHeight="1" x14ac:dyDescent="0.15">
      <c r="A35" s="2">
        <v>30</v>
      </c>
      <c r="B35" s="39"/>
      <c r="C35" s="40"/>
      <c r="D35" s="419" t="s">
        <v>422</v>
      </c>
      <c r="E35" s="420"/>
      <c r="F35" s="421"/>
      <c r="G35" s="1328"/>
      <c r="H35" s="1329"/>
      <c r="I35" s="1329"/>
      <c r="J35" s="1329"/>
      <c r="K35" s="1474"/>
      <c r="L35" s="1328"/>
      <c r="M35" s="1329"/>
      <c r="N35" s="1329"/>
      <c r="O35" s="1329"/>
      <c r="P35" s="1474"/>
      <c r="Q35" s="1328"/>
      <c r="R35" s="1329"/>
      <c r="S35" s="1329"/>
      <c r="T35" s="1329"/>
      <c r="U35" s="1474"/>
      <c r="V35" s="200"/>
      <c r="W35" s="40"/>
      <c r="X35" s="419" t="s">
        <v>422</v>
      </c>
      <c r="Y35" s="420"/>
      <c r="Z35" s="421"/>
      <c r="AA35" s="1328"/>
      <c r="AB35" s="1329"/>
      <c r="AC35" s="1329"/>
      <c r="AD35" s="1329"/>
      <c r="AE35" s="1474"/>
      <c r="AF35" s="376"/>
      <c r="AG35" s="377"/>
      <c r="AH35" s="377"/>
      <c r="AI35" s="377"/>
      <c r="AJ35" s="378"/>
      <c r="AK35" s="1328"/>
      <c r="AL35" s="1329"/>
      <c r="AM35" s="1329"/>
      <c r="AN35" s="1329"/>
      <c r="AO35" s="1334"/>
      <c r="AP35" s="53"/>
      <c r="AQ35" s="599" t="s">
        <v>444</v>
      </c>
      <c r="AR35" s="600"/>
      <c r="AS35" s="600"/>
      <c r="AT35" s="1699"/>
      <c r="AU35" s="1328"/>
      <c r="AV35" s="1329"/>
      <c r="AW35" s="1329"/>
      <c r="AX35" s="1329"/>
      <c r="AY35" s="1334"/>
      <c r="AZ35" s="215"/>
      <c r="BA35" s="211"/>
      <c r="BB35" s="211"/>
      <c r="BC35" s="211"/>
      <c r="BD35" s="211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6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4"/>
    </row>
    <row r="36" spans="1:121" ht="10.5" customHeight="1" thickBot="1" x14ac:dyDescent="0.2">
      <c r="A36" s="2">
        <v>31</v>
      </c>
      <c r="B36" s="43"/>
      <c r="C36" s="44"/>
      <c r="D36" s="686" t="s">
        <v>423</v>
      </c>
      <c r="E36" s="687"/>
      <c r="F36" s="688"/>
      <c r="G36" s="1376"/>
      <c r="H36" s="1377"/>
      <c r="I36" s="1377"/>
      <c r="J36" s="1377"/>
      <c r="K36" s="1491"/>
      <c r="L36" s="1376"/>
      <c r="M36" s="1377"/>
      <c r="N36" s="1377"/>
      <c r="O36" s="1377"/>
      <c r="P36" s="1491"/>
      <c r="Q36" s="1376"/>
      <c r="R36" s="1377"/>
      <c r="S36" s="1377"/>
      <c r="T36" s="1377"/>
      <c r="U36" s="1491"/>
      <c r="V36" s="217"/>
      <c r="W36" s="44"/>
      <c r="X36" s="686" t="s">
        <v>423</v>
      </c>
      <c r="Y36" s="687"/>
      <c r="Z36" s="688"/>
      <c r="AA36" s="1376"/>
      <c r="AB36" s="1377"/>
      <c r="AC36" s="1377"/>
      <c r="AD36" s="1377"/>
      <c r="AE36" s="1491"/>
      <c r="AF36" s="379"/>
      <c r="AG36" s="380"/>
      <c r="AH36" s="380"/>
      <c r="AI36" s="380"/>
      <c r="AJ36" s="381"/>
      <c r="AK36" s="1376"/>
      <c r="AL36" s="1377"/>
      <c r="AM36" s="1377"/>
      <c r="AN36" s="1377"/>
      <c r="AO36" s="1444"/>
      <c r="AP36" s="97"/>
      <c r="AQ36" s="686" t="s">
        <v>446</v>
      </c>
      <c r="AR36" s="687"/>
      <c r="AS36" s="687"/>
      <c r="AT36" s="688"/>
      <c r="AU36" s="1376"/>
      <c r="AV36" s="1377"/>
      <c r="AW36" s="1377"/>
      <c r="AX36" s="1377"/>
      <c r="AY36" s="1444"/>
      <c r="AZ36" s="215"/>
      <c r="BA36" s="218"/>
      <c r="BB36" s="211"/>
      <c r="BC36" s="211"/>
      <c r="BD36" s="211"/>
      <c r="BO36" s="216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4"/>
    </row>
    <row r="37" spans="1:121" ht="10.5" customHeight="1" x14ac:dyDescent="0.15">
      <c r="A37" s="2">
        <v>32</v>
      </c>
      <c r="B37" s="219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20"/>
    </row>
    <row r="38" spans="1:121" ht="10.5" customHeight="1" x14ac:dyDescent="0.15">
      <c r="A38" s="2">
        <v>33</v>
      </c>
      <c r="B38" s="53"/>
      <c r="C38" s="3"/>
      <c r="D38" s="3"/>
      <c r="E38" s="3"/>
      <c r="F38" s="3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21"/>
      <c r="W38" s="221"/>
      <c r="X38" s="221"/>
      <c r="Y38" s="221"/>
      <c r="Z38" s="221"/>
      <c r="AA38" s="1"/>
      <c r="AB38" s="1"/>
      <c r="AC38" s="1"/>
      <c r="AD38" s="1"/>
      <c r="AE38" s="1"/>
      <c r="AF38" s="222"/>
      <c r="AG38" s="222"/>
      <c r="AH38" s="222"/>
      <c r="AI38" s="222"/>
      <c r="AJ38" s="222"/>
      <c r="AK38" s="1"/>
      <c r="AL38" s="1"/>
      <c r="AM38" s="1"/>
      <c r="AN38" s="1"/>
      <c r="AO38" s="1"/>
      <c r="AP38" s="223"/>
      <c r="AQ38" s="224"/>
      <c r="AR38" s="225"/>
      <c r="AS38" s="225"/>
      <c r="AT38" s="225"/>
      <c r="AU38" s="225"/>
      <c r="AV38" s="225"/>
      <c r="AW38" s="225"/>
      <c r="AX38" s="225"/>
      <c r="AY38" s="226"/>
      <c r="AZ38" s="224"/>
      <c r="BA38" s="224"/>
      <c r="BB38" s="224"/>
      <c r="BC38" s="224"/>
      <c r="BD38" s="224"/>
      <c r="BE38" s="224"/>
      <c r="BF38" s="224"/>
      <c r="BG38" s="224"/>
      <c r="BH38" s="224"/>
      <c r="BI38" s="224"/>
      <c r="BJ38" s="214"/>
      <c r="BK38" s="214"/>
      <c r="BL38" s="214"/>
      <c r="BM38" s="214"/>
      <c r="BN38" s="214"/>
      <c r="BO38" s="216"/>
      <c r="BP38" s="212"/>
      <c r="BQ38" s="212"/>
      <c r="BR38" s="212"/>
      <c r="BS38" s="212"/>
      <c r="BT38" s="1"/>
      <c r="BU38" s="1"/>
      <c r="BV38" s="1"/>
      <c r="BW38" s="1"/>
      <c r="BX38" s="1"/>
      <c r="BY38" s="1"/>
      <c r="BZ38" s="1"/>
      <c r="CA38" s="1"/>
      <c r="CB38" s="1"/>
      <c r="CC38" s="14"/>
    </row>
    <row r="39" spans="1:121" ht="10.5" customHeight="1" x14ac:dyDescent="0.15">
      <c r="A39" s="2">
        <v>34</v>
      </c>
      <c r="B39" s="53"/>
      <c r="C39" s="3"/>
      <c r="D39" s="3"/>
      <c r="E39" s="3"/>
      <c r="F39" s="3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21"/>
      <c r="W39" s="221"/>
      <c r="X39" s="221"/>
      <c r="Y39" s="221"/>
      <c r="Z39" s="221"/>
      <c r="AA39" s="1"/>
      <c r="AB39" s="1"/>
      <c r="AC39" s="1"/>
      <c r="AD39" s="1"/>
      <c r="AE39" s="1"/>
      <c r="AF39" s="222"/>
      <c r="AG39" s="222"/>
      <c r="AH39" s="222"/>
      <c r="AI39" s="222"/>
      <c r="AJ39" s="222"/>
      <c r="AK39" s="165"/>
      <c r="AL39" s="227"/>
      <c r="AM39" s="227"/>
      <c r="AN39" s="227"/>
      <c r="AO39" s="227"/>
      <c r="AP39" s="224"/>
      <c r="AQ39" s="224"/>
      <c r="AR39" s="224"/>
      <c r="AS39" s="224"/>
      <c r="AT39" s="224"/>
      <c r="AU39" s="224"/>
      <c r="AV39" s="224"/>
      <c r="AW39" s="224"/>
      <c r="AX39" s="224"/>
      <c r="AY39" s="224"/>
      <c r="BJ39" s="214"/>
      <c r="BK39" s="214"/>
      <c r="BL39" s="214"/>
      <c r="BM39" s="214"/>
      <c r="BN39" s="214"/>
      <c r="BO39" s="216"/>
      <c r="BP39" s="212"/>
      <c r="BQ39" s="212"/>
      <c r="BR39" s="212"/>
      <c r="BS39" s="212"/>
      <c r="BT39" s="1"/>
      <c r="BU39" s="1"/>
      <c r="BV39" s="1"/>
      <c r="BW39" s="1"/>
      <c r="BX39" s="1"/>
      <c r="BY39" s="1"/>
      <c r="BZ39" s="1"/>
      <c r="CA39" s="1"/>
      <c r="CB39" s="1"/>
      <c r="CC39" s="14"/>
    </row>
    <row r="40" spans="1:121" ht="10.5" customHeight="1" x14ac:dyDescent="0.15">
      <c r="A40" s="2">
        <v>35</v>
      </c>
      <c r="B40" s="5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224"/>
      <c r="AQ40" s="224"/>
      <c r="AR40" s="224"/>
      <c r="AS40" s="224"/>
      <c r="AT40" s="224"/>
      <c r="AU40" s="228"/>
      <c r="AV40" s="228"/>
      <c r="AW40" s="228"/>
      <c r="AX40" s="228"/>
      <c r="AY40" s="228"/>
      <c r="BJ40" s="214"/>
      <c r="BK40" s="214"/>
      <c r="BL40" s="214"/>
      <c r="BM40" s="214"/>
      <c r="BN40" s="214"/>
      <c r="BO40" s="212"/>
      <c r="BP40" s="212"/>
      <c r="BQ40" s="212"/>
      <c r="BR40" s="212"/>
      <c r="BS40" s="212"/>
      <c r="BT40" s="1"/>
      <c r="BV40" s="1"/>
      <c r="BW40" s="1"/>
      <c r="BX40" s="1"/>
      <c r="BY40" s="1"/>
      <c r="BZ40" s="1"/>
      <c r="CA40" s="1"/>
      <c r="CB40" s="1"/>
      <c r="CC40" s="14"/>
    </row>
    <row r="41" spans="1:121" ht="10.5" customHeight="1" x14ac:dyDescent="0.15">
      <c r="A41" s="2">
        <v>36</v>
      </c>
      <c r="B41" s="5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150"/>
      <c r="AL41" s="150"/>
      <c r="AM41" s="150"/>
      <c r="AN41" s="150"/>
      <c r="AO41" s="3"/>
      <c r="AP41" s="224"/>
      <c r="AQ41" s="224"/>
      <c r="AR41" s="224"/>
      <c r="AS41" s="224"/>
      <c r="AT41" s="224"/>
      <c r="AU41" s="228"/>
      <c r="AV41" s="228"/>
      <c r="AW41" s="228"/>
      <c r="AX41" s="228"/>
      <c r="AY41" s="228"/>
      <c r="AZ41" s="229"/>
      <c r="BA41" s="229"/>
      <c r="BB41" s="229"/>
      <c r="BC41" s="229"/>
      <c r="BD41" s="229"/>
      <c r="BE41" s="228"/>
      <c r="BF41" s="228"/>
      <c r="BG41" s="228"/>
      <c r="BH41" s="228"/>
      <c r="BI41" s="228"/>
      <c r="BJ41" s="214"/>
      <c r="BK41" s="214"/>
      <c r="BL41" s="214"/>
      <c r="BM41" s="214"/>
      <c r="BN41" s="214"/>
      <c r="BO41" s="216"/>
      <c r="BP41" s="212"/>
      <c r="BQ41" s="212"/>
      <c r="BR41" s="212"/>
      <c r="BS41" s="212"/>
      <c r="BT41" s="1"/>
      <c r="BU41" s="1"/>
      <c r="BV41" s="1"/>
      <c r="BW41" s="1"/>
      <c r="BX41" s="1"/>
      <c r="BY41" s="1"/>
      <c r="BZ41" s="1"/>
      <c r="CA41" s="1"/>
      <c r="CB41" s="1"/>
      <c r="CC41" s="14"/>
    </row>
    <row r="42" spans="1:121" ht="10.5" customHeight="1" x14ac:dyDescent="0.15">
      <c r="A42" s="2">
        <v>37</v>
      </c>
      <c r="B42" s="5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224"/>
      <c r="AQ42" s="224"/>
      <c r="AR42" s="224"/>
      <c r="AS42" s="224"/>
      <c r="AT42" s="224"/>
      <c r="AU42" s="228"/>
      <c r="AV42" s="228"/>
      <c r="AW42" s="228"/>
      <c r="AX42" s="228"/>
      <c r="AY42" s="228"/>
      <c r="AZ42" s="229"/>
      <c r="BA42" s="229"/>
      <c r="BB42" s="229"/>
      <c r="BC42" s="229"/>
      <c r="BD42" s="229"/>
      <c r="BE42" s="228"/>
      <c r="BF42" s="228"/>
      <c r="BG42" s="228"/>
      <c r="BH42" s="228"/>
      <c r="BI42" s="228"/>
      <c r="BJ42" s="214"/>
      <c r="BK42" s="214"/>
      <c r="BL42" s="214"/>
      <c r="BM42" s="214"/>
      <c r="BN42" s="214"/>
      <c r="BO42" s="216"/>
      <c r="BP42" s="212"/>
      <c r="BQ42" s="212"/>
      <c r="BR42" s="212"/>
      <c r="BS42" s="212"/>
      <c r="BT42" s="1"/>
      <c r="BU42" s="1"/>
      <c r="BV42" s="1"/>
      <c r="BW42" s="1"/>
      <c r="BX42" s="1"/>
      <c r="BY42" s="1"/>
      <c r="BZ42" s="1"/>
      <c r="CA42" s="1"/>
      <c r="CB42" s="1"/>
      <c r="CC42" s="14"/>
    </row>
    <row r="43" spans="1:121" ht="10.5" customHeight="1" x14ac:dyDescent="0.15">
      <c r="A43" s="2">
        <v>38</v>
      </c>
      <c r="B43" s="5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224"/>
      <c r="AQ43" s="230"/>
      <c r="AR43" s="230"/>
      <c r="AS43" s="230"/>
      <c r="AT43" s="230"/>
      <c r="AU43" s="224"/>
      <c r="AV43" s="224"/>
      <c r="AW43" s="224"/>
      <c r="AX43" s="224"/>
      <c r="AY43" s="224"/>
      <c r="AZ43" s="229"/>
      <c r="BA43" s="229"/>
      <c r="BB43" s="229"/>
      <c r="BC43" s="229"/>
      <c r="BD43" s="229"/>
      <c r="BE43" s="228"/>
      <c r="BF43" s="228"/>
      <c r="BG43" s="228"/>
      <c r="BH43" s="228"/>
      <c r="BI43" s="228"/>
      <c r="BJ43" s="214"/>
      <c r="BK43" s="214"/>
      <c r="BL43" s="214"/>
      <c r="BM43" s="214"/>
      <c r="BN43" s="214"/>
      <c r="BO43" s="3"/>
      <c r="BP43" s="3"/>
      <c r="BQ43" s="3"/>
      <c r="BR43" s="3"/>
      <c r="BS43" s="3"/>
      <c r="BT43" s="212"/>
      <c r="BU43" s="212"/>
      <c r="BV43" s="212"/>
      <c r="BW43" s="212"/>
      <c r="BX43" s="212"/>
      <c r="BY43" s="212"/>
      <c r="BZ43" s="212"/>
      <c r="CA43" s="212"/>
      <c r="CB43" s="212"/>
      <c r="CC43" s="213"/>
    </row>
    <row r="44" spans="1:121" ht="10.5" customHeight="1" x14ac:dyDescent="0.15">
      <c r="A44" s="2">
        <v>39</v>
      </c>
      <c r="B44" s="5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1"/>
      <c r="AT44" s="1"/>
      <c r="AU44" s="1"/>
      <c r="AV44" s="1"/>
      <c r="AW44" s="1"/>
      <c r="AX44" s="1"/>
      <c r="AY44" s="1"/>
      <c r="AZ44" s="215"/>
      <c r="BA44" s="231"/>
      <c r="BB44" s="231"/>
      <c r="BC44" s="231"/>
      <c r="BD44" s="231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32"/>
      <c r="BP44" s="232"/>
      <c r="BQ44" s="232"/>
      <c r="BR44" s="232"/>
      <c r="BS44" s="232"/>
      <c r="BT44" s="1"/>
      <c r="BU44" s="1"/>
      <c r="BV44" s="1"/>
      <c r="BW44" s="1"/>
      <c r="BX44" s="1"/>
      <c r="BY44" s="1"/>
      <c r="BZ44" s="1"/>
      <c r="CA44" s="1"/>
      <c r="CB44" s="1"/>
      <c r="CC44" s="14"/>
    </row>
    <row r="45" spans="1:121" ht="10.5" customHeight="1" x14ac:dyDescent="0.15">
      <c r="A45" s="2">
        <v>40</v>
      </c>
      <c r="B45" s="5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  <c r="AW45" s="209"/>
      <c r="AX45" s="209"/>
      <c r="AY45" s="209"/>
      <c r="AZ45" s="215"/>
      <c r="BA45" s="231"/>
      <c r="BB45" s="231"/>
      <c r="BC45" s="231"/>
      <c r="BD45" s="231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32"/>
      <c r="BP45" s="232"/>
      <c r="BQ45" s="232"/>
      <c r="BR45" s="232"/>
      <c r="BS45" s="232"/>
      <c r="BT45" s="1"/>
      <c r="BU45" s="1"/>
      <c r="BV45" s="1"/>
      <c r="BW45" s="1"/>
      <c r="BX45" s="1"/>
      <c r="BY45" s="1"/>
      <c r="BZ45" s="1"/>
      <c r="CA45" s="1"/>
      <c r="CB45" s="1"/>
      <c r="CC45" s="14"/>
      <c r="DJ45" s="6"/>
      <c r="DK45" s="6"/>
    </row>
    <row r="46" spans="1:121" ht="10.5" customHeight="1" x14ac:dyDescent="0.15">
      <c r="A46" s="2">
        <v>41</v>
      </c>
      <c r="B46" s="5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233"/>
      <c r="AL46" s="212"/>
      <c r="AM46" s="212"/>
      <c r="AN46" s="212"/>
      <c r="AO46" s="212"/>
      <c r="AP46" s="212"/>
      <c r="AQ46" s="212"/>
      <c r="AR46" s="212"/>
      <c r="AS46" s="212"/>
      <c r="AT46" s="212"/>
      <c r="AU46" s="1"/>
      <c r="AV46" s="1"/>
      <c r="AW46" s="1"/>
      <c r="AX46" s="1"/>
      <c r="AY46" s="1"/>
      <c r="AZ46" s="215"/>
      <c r="BA46" s="231"/>
      <c r="BB46" s="231"/>
      <c r="BC46" s="231"/>
      <c r="BD46" s="231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34"/>
      <c r="BP46" s="234"/>
      <c r="BQ46" s="234"/>
      <c r="BR46" s="234"/>
      <c r="BS46" s="234"/>
      <c r="BT46" s="1"/>
      <c r="BU46" s="1"/>
      <c r="BV46" s="1"/>
      <c r="BW46" s="1"/>
      <c r="BX46" s="1"/>
      <c r="BY46" s="1"/>
      <c r="BZ46" s="1"/>
      <c r="CA46" s="1"/>
      <c r="CB46" s="1"/>
      <c r="CC46" s="14"/>
      <c r="DJ46" s="6"/>
      <c r="DK46" s="6"/>
    </row>
    <row r="47" spans="1:121" ht="10.5" customHeight="1" x14ac:dyDescent="0.15">
      <c r="A47" s="2">
        <v>42</v>
      </c>
      <c r="B47" s="5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233"/>
      <c r="AL47" s="212"/>
      <c r="AM47" s="212"/>
      <c r="AN47" s="212"/>
      <c r="AO47" s="212"/>
      <c r="AP47" s="212"/>
      <c r="AQ47" s="212"/>
      <c r="AR47" s="212"/>
      <c r="AS47" s="212"/>
      <c r="AT47" s="212"/>
      <c r="AU47" s="1"/>
      <c r="AV47" s="1"/>
      <c r="AW47" s="1"/>
      <c r="AX47" s="1"/>
      <c r="AY47" s="1"/>
      <c r="AZ47" s="215"/>
      <c r="BA47" s="231"/>
      <c r="BB47" s="231"/>
      <c r="BC47" s="231"/>
      <c r="BD47" s="231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35"/>
      <c r="BP47" s="235"/>
      <c r="BQ47" s="235"/>
      <c r="BR47" s="235"/>
      <c r="BS47" s="235"/>
      <c r="BT47" s="1"/>
      <c r="BU47" s="1"/>
      <c r="BV47" s="1"/>
      <c r="BW47" s="1"/>
      <c r="BX47" s="1"/>
      <c r="BY47" s="1"/>
      <c r="BZ47" s="1"/>
      <c r="CA47" s="1"/>
      <c r="CB47" s="1"/>
      <c r="CC47" s="14"/>
      <c r="DJ47" s="6"/>
      <c r="DK47" s="6"/>
    </row>
    <row r="48" spans="1:121" ht="10.5" customHeight="1" x14ac:dyDescent="0.15">
      <c r="A48" s="2">
        <v>43</v>
      </c>
      <c r="B48" s="5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236"/>
      <c r="AL48" s="212"/>
      <c r="AM48" s="212"/>
      <c r="AN48" s="212"/>
      <c r="AO48" s="212"/>
      <c r="AP48" s="212"/>
      <c r="AQ48" s="212"/>
      <c r="AR48" s="212"/>
      <c r="AS48" s="212"/>
      <c r="AT48" s="212"/>
      <c r="AU48" s="1"/>
      <c r="AV48" s="1"/>
      <c r="AW48" s="1"/>
      <c r="AX48" s="1"/>
      <c r="AY48" s="1"/>
      <c r="AZ48" s="215"/>
      <c r="BA48" s="211"/>
      <c r="BB48" s="211"/>
      <c r="BC48" s="211"/>
      <c r="BD48" s="211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35"/>
      <c r="BP48" s="235"/>
      <c r="BQ48" s="235"/>
      <c r="BR48" s="235"/>
      <c r="BS48" s="235"/>
      <c r="BT48" s="1"/>
      <c r="BU48" s="1"/>
      <c r="BV48" s="1"/>
      <c r="BW48" s="1"/>
      <c r="BX48" s="1"/>
      <c r="BY48" s="1"/>
      <c r="BZ48" s="1"/>
      <c r="CA48" s="1"/>
      <c r="CB48" s="1"/>
      <c r="CC48" s="14"/>
      <c r="DJ48" s="7"/>
      <c r="DK48" s="7"/>
      <c r="DL48" s="7"/>
      <c r="DM48" s="7"/>
      <c r="DN48" s="7"/>
      <c r="DO48" s="7"/>
      <c r="DP48" s="7"/>
      <c r="DQ48" s="7"/>
    </row>
    <row r="49" spans="1:81" ht="10.5" customHeight="1" x14ac:dyDescent="0.15">
      <c r="A49" s="2">
        <v>44</v>
      </c>
      <c r="B49" s="5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236"/>
      <c r="AL49" s="212"/>
      <c r="AM49" s="212"/>
      <c r="AN49" s="212"/>
      <c r="AO49" s="212"/>
      <c r="AP49" s="212"/>
      <c r="AQ49" s="212"/>
      <c r="AR49" s="212"/>
      <c r="AS49" s="212"/>
      <c r="AT49" s="212"/>
      <c r="AU49" s="1"/>
      <c r="AV49" s="1"/>
      <c r="AW49" s="1"/>
      <c r="AX49" s="1"/>
      <c r="AY49" s="1"/>
      <c r="AZ49" s="215"/>
      <c r="BA49" s="211"/>
      <c r="BB49" s="211"/>
      <c r="BC49" s="211"/>
      <c r="BD49" s="211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35"/>
      <c r="BP49" s="235"/>
      <c r="BQ49" s="235"/>
      <c r="BR49" s="235"/>
      <c r="BS49" s="235"/>
      <c r="BT49" s="1"/>
      <c r="BU49" s="1"/>
      <c r="BV49" s="1"/>
      <c r="BW49" s="1"/>
      <c r="BX49" s="1"/>
      <c r="BY49" s="1"/>
      <c r="BZ49" s="1"/>
      <c r="CA49" s="1"/>
      <c r="CB49" s="1"/>
      <c r="CC49" s="14"/>
    </row>
    <row r="50" spans="1:81" ht="10.5" customHeight="1" x14ac:dyDescent="0.15">
      <c r="A50" s="2">
        <v>45</v>
      </c>
      <c r="B50" s="5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236"/>
      <c r="AL50" s="212"/>
      <c r="AM50" s="212"/>
      <c r="AN50" s="212"/>
      <c r="AO50" s="212"/>
      <c r="AP50" s="212"/>
      <c r="AQ50" s="212"/>
      <c r="AR50" s="212"/>
      <c r="AS50" s="212"/>
      <c r="AT50" s="212"/>
      <c r="AU50" s="1"/>
      <c r="AV50" s="1"/>
      <c r="AW50" s="1"/>
      <c r="AX50" s="1"/>
      <c r="AY50" s="1"/>
      <c r="AZ50" s="215"/>
      <c r="BA50" s="211"/>
      <c r="BB50" s="211"/>
      <c r="BC50" s="211"/>
      <c r="BD50" s="211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35"/>
      <c r="BP50" s="235"/>
      <c r="BQ50" s="235"/>
      <c r="BR50" s="235"/>
      <c r="BS50" s="235"/>
      <c r="BT50" s="1"/>
      <c r="BU50" s="1"/>
      <c r="BV50" s="1"/>
      <c r="BW50" s="1"/>
      <c r="BX50" s="1"/>
      <c r="BY50" s="1"/>
      <c r="BZ50" s="1"/>
      <c r="CA50" s="1"/>
      <c r="CB50" s="1"/>
      <c r="CC50" s="14"/>
    </row>
    <row r="51" spans="1:81" ht="10.5" customHeight="1" x14ac:dyDescent="0.15">
      <c r="A51" s="2">
        <v>46</v>
      </c>
      <c r="B51" s="5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236"/>
      <c r="AL51" s="237"/>
      <c r="AM51" s="237"/>
      <c r="AN51" s="237"/>
      <c r="AO51" s="212"/>
      <c r="AP51" s="212"/>
      <c r="AQ51" s="212"/>
      <c r="AR51" s="212"/>
      <c r="AS51" s="212"/>
      <c r="AT51" s="212"/>
      <c r="AU51" s="1"/>
      <c r="AV51" s="1"/>
      <c r="AW51" s="1"/>
      <c r="AX51" s="1"/>
      <c r="AY51" s="1"/>
      <c r="AZ51" s="215"/>
      <c r="BA51" s="211"/>
      <c r="BB51" s="211"/>
      <c r="BC51" s="211"/>
      <c r="BD51" s="211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35"/>
      <c r="BP51" s="235"/>
      <c r="BQ51" s="235"/>
      <c r="BR51" s="235"/>
      <c r="BS51" s="235"/>
      <c r="BT51" s="1"/>
      <c r="BU51" s="1"/>
      <c r="BV51" s="1"/>
      <c r="BW51" s="1"/>
      <c r="BX51" s="1"/>
      <c r="BY51" s="1"/>
      <c r="BZ51" s="1"/>
      <c r="CA51" s="1"/>
      <c r="CB51" s="1"/>
      <c r="CC51" s="14"/>
    </row>
    <row r="52" spans="1:81" ht="10.5" customHeight="1" x14ac:dyDescent="0.15">
      <c r="A52" s="2">
        <v>47</v>
      </c>
      <c r="B52" s="5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236"/>
      <c r="AL52" s="237"/>
      <c r="AM52" s="237"/>
      <c r="AN52" s="237"/>
      <c r="AO52" s="212"/>
      <c r="AP52" s="212"/>
      <c r="AQ52" s="212"/>
      <c r="AR52" s="212"/>
      <c r="AS52" s="212"/>
      <c r="AT52" s="212"/>
      <c r="AU52" s="1"/>
      <c r="AV52" s="1"/>
      <c r="AW52" s="1"/>
      <c r="AX52" s="1"/>
      <c r="AY52" s="1"/>
      <c r="AZ52" s="215"/>
      <c r="BA52" s="238"/>
      <c r="BB52" s="211"/>
      <c r="BC52" s="211"/>
      <c r="BD52" s="211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39"/>
      <c r="BP52" s="239"/>
      <c r="BQ52" s="239"/>
      <c r="BR52" s="239"/>
      <c r="BS52" s="239"/>
      <c r="BT52" s="1"/>
      <c r="BU52" s="1"/>
      <c r="BV52" s="1"/>
      <c r="BW52" s="1"/>
      <c r="BX52" s="1"/>
      <c r="BY52" s="1"/>
      <c r="BZ52" s="1"/>
      <c r="CA52" s="1"/>
      <c r="CB52" s="1"/>
      <c r="CC52" s="14"/>
    </row>
    <row r="53" spans="1:81" ht="10.5" customHeight="1" x14ac:dyDescent="0.15">
      <c r="A53" s="2">
        <v>48</v>
      </c>
      <c r="B53" s="5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236"/>
      <c r="AL53" s="237"/>
      <c r="AM53" s="237"/>
      <c r="AN53" s="237"/>
      <c r="AO53" s="212"/>
      <c r="AP53" s="212"/>
      <c r="AQ53" s="212"/>
      <c r="AR53" s="212"/>
      <c r="AS53" s="212"/>
      <c r="AT53" s="212"/>
      <c r="AU53" s="1"/>
      <c r="AV53" s="1"/>
      <c r="AW53" s="1"/>
      <c r="AX53" s="1"/>
      <c r="AY53" s="1"/>
      <c r="AZ53" s="215"/>
      <c r="BA53" s="238"/>
      <c r="BB53" s="211"/>
      <c r="BC53" s="211"/>
      <c r="BD53" s="211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39"/>
      <c r="BP53" s="239"/>
      <c r="BQ53" s="239"/>
      <c r="BR53" s="239"/>
      <c r="BS53" s="239"/>
      <c r="BT53" s="1"/>
      <c r="BU53" s="1"/>
      <c r="BV53" s="1"/>
      <c r="BW53" s="1"/>
      <c r="BX53" s="1"/>
      <c r="BY53" s="1"/>
      <c r="BZ53" s="1"/>
      <c r="CA53" s="1"/>
      <c r="CB53" s="1"/>
      <c r="CC53" s="14"/>
    </row>
    <row r="54" spans="1:81" ht="10.5" customHeight="1" x14ac:dyDescent="0.15">
      <c r="A54" s="2">
        <v>49</v>
      </c>
      <c r="B54" s="5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236"/>
      <c r="AL54" s="237"/>
      <c r="AM54" s="237"/>
      <c r="AN54" s="237"/>
      <c r="AO54" s="212"/>
      <c r="AP54" s="212"/>
      <c r="AQ54" s="212"/>
      <c r="AR54" s="212"/>
      <c r="AS54" s="212"/>
      <c r="AT54" s="212"/>
      <c r="AU54" s="1"/>
      <c r="AV54" s="1"/>
      <c r="AW54" s="1"/>
      <c r="AX54" s="1"/>
      <c r="AY54" s="1"/>
      <c r="AZ54" s="215"/>
      <c r="BA54" s="238"/>
      <c r="BB54" s="211"/>
      <c r="BC54" s="211"/>
      <c r="BD54" s="211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40"/>
      <c r="BP54" s="240"/>
      <c r="BQ54" s="240"/>
      <c r="BR54" s="240"/>
      <c r="BS54" s="240"/>
      <c r="BT54" s="1"/>
      <c r="BU54" s="1"/>
      <c r="BV54" s="1"/>
      <c r="BW54" s="1"/>
      <c r="BX54" s="1"/>
      <c r="BY54" s="1"/>
      <c r="BZ54" s="1"/>
      <c r="CA54" s="1"/>
      <c r="CB54" s="1"/>
      <c r="CC54" s="14"/>
    </row>
    <row r="55" spans="1:81" ht="10.5" customHeight="1" x14ac:dyDescent="0.15">
      <c r="A55" s="2">
        <v>50</v>
      </c>
      <c r="B55" s="5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236"/>
      <c r="AL55" s="212"/>
      <c r="AM55" s="212"/>
      <c r="AN55" s="212"/>
      <c r="AO55" s="212"/>
      <c r="AP55" s="212"/>
      <c r="AQ55" s="212"/>
      <c r="AR55" s="212"/>
      <c r="AS55" s="212"/>
      <c r="AT55" s="212"/>
      <c r="AU55" s="1"/>
      <c r="AV55" s="1"/>
      <c r="AW55" s="1"/>
      <c r="AX55" s="1"/>
      <c r="AY55" s="1"/>
      <c r="AZ55" s="215"/>
      <c r="BA55" s="238"/>
      <c r="BB55" s="211"/>
      <c r="BC55" s="211"/>
      <c r="BD55" s="211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4"/>
    </row>
    <row r="56" spans="1:81" ht="10.5" customHeight="1" x14ac:dyDescent="0.15">
      <c r="A56" s="2">
        <v>51</v>
      </c>
      <c r="B56" s="168"/>
      <c r="AZ56" s="215"/>
      <c r="BA56" s="238"/>
      <c r="BB56" s="211"/>
      <c r="BC56" s="211"/>
      <c r="BD56" s="211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CC56" s="164"/>
    </row>
    <row r="57" spans="1:81" ht="9.75" customHeight="1" thickBot="1" x14ac:dyDescent="0.2">
      <c r="A57" s="2">
        <v>52</v>
      </c>
      <c r="B57" s="170"/>
      <c r="C57" s="171"/>
      <c r="D57" s="171"/>
      <c r="E57" s="171"/>
      <c r="F57" s="171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241"/>
      <c r="BA57" s="241"/>
      <c r="BB57" s="241"/>
      <c r="BC57" s="241"/>
      <c r="BD57" s="241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243"/>
    </row>
    <row r="58" spans="1:81" x14ac:dyDescent="0.15">
      <c r="B58" s="1148">
        <v>1</v>
      </c>
      <c r="C58" s="1148"/>
      <c r="D58" s="1148"/>
      <c r="E58" s="1148"/>
      <c r="F58" s="1148"/>
      <c r="G58" s="1148">
        <v>2</v>
      </c>
      <c r="H58" s="1148"/>
      <c r="I58" s="1148"/>
      <c r="J58" s="1148"/>
      <c r="K58" s="1148"/>
      <c r="L58" s="1148">
        <v>3</v>
      </c>
      <c r="M58" s="1148"/>
      <c r="N58" s="1148"/>
      <c r="O58" s="1148"/>
      <c r="P58" s="1148"/>
      <c r="Q58" s="1148">
        <v>4</v>
      </c>
      <c r="R58" s="1148"/>
      <c r="S58" s="1148"/>
      <c r="T58" s="1148"/>
      <c r="U58" s="1148"/>
      <c r="V58" s="1148">
        <v>5</v>
      </c>
      <c r="W58" s="1148"/>
      <c r="X58" s="1148"/>
      <c r="Y58" s="1148"/>
      <c r="Z58" s="1148"/>
      <c r="AA58" s="1148">
        <v>6</v>
      </c>
      <c r="AB58" s="1148"/>
      <c r="AC58" s="1148"/>
      <c r="AD58" s="1148"/>
      <c r="AE58" s="1148"/>
      <c r="AF58" s="1148">
        <v>7</v>
      </c>
      <c r="AG58" s="1148"/>
      <c r="AH58" s="1148"/>
      <c r="AI58" s="1148"/>
      <c r="AJ58" s="1148"/>
      <c r="AK58" s="1148">
        <v>8</v>
      </c>
      <c r="AL58" s="1148"/>
      <c r="AM58" s="1148"/>
      <c r="AN58" s="1148"/>
      <c r="AO58" s="1148"/>
      <c r="AP58" s="1148">
        <v>9</v>
      </c>
      <c r="AQ58" s="1148"/>
      <c r="AR58" s="1148"/>
      <c r="AS58" s="1148"/>
      <c r="AT58" s="1148"/>
      <c r="AU58" s="1148">
        <v>10</v>
      </c>
      <c r="AV58" s="1148"/>
      <c r="AW58" s="1148"/>
      <c r="AX58" s="1148"/>
      <c r="AY58" s="1148"/>
      <c r="AZ58" s="1148">
        <v>11</v>
      </c>
      <c r="BA58" s="1148"/>
      <c r="BB58" s="1148"/>
      <c r="BC58" s="1148"/>
      <c r="BD58" s="1148"/>
      <c r="BE58" s="1148">
        <v>12</v>
      </c>
      <c r="BF58" s="1148"/>
      <c r="BG58" s="1148"/>
      <c r="BH58" s="1148"/>
      <c r="BI58" s="1148"/>
      <c r="BJ58" s="1148">
        <v>13</v>
      </c>
      <c r="BK58" s="1148"/>
      <c r="BL58" s="1148"/>
      <c r="BM58" s="1148"/>
      <c r="BN58" s="1148"/>
      <c r="BO58" s="1148">
        <v>14</v>
      </c>
      <c r="BP58" s="1148"/>
      <c r="BQ58" s="1148"/>
      <c r="BR58" s="1148"/>
      <c r="BS58" s="1148"/>
      <c r="BT58" s="1148">
        <v>15</v>
      </c>
      <c r="BU58" s="1148"/>
      <c r="BV58" s="1148"/>
      <c r="BW58" s="1148"/>
      <c r="BX58" s="1148"/>
      <c r="BY58" s="1148">
        <v>16</v>
      </c>
      <c r="BZ58" s="1148"/>
      <c r="CA58" s="1148"/>
      <c r="CB58" s="1148"/>
      <c r="CC58" s="1148"/>
    </row>
    <row r="59" spans="1:81" ht="12" customHeight="1" x14ac:dyDescent="0.15"/>
    <row r="60" spans="1:81" ht="12" customHeight="1" x14ac:dyDescent="0.15"/>
    <row r="61" spans="1:81" ht="12" customHeight="1" x14ac:dyDescent="0.15"/>
    <row r="63" spans="1:81" x14ac:dyDescent="0.15">
      <c r="BD63" s="5"/>
    </row>
  </sheetData>
  <mergeCells count="441">
    <mergeCell ref="BY58:CC58"/>
    <mergeCell ref="AF58:AJ58"/>
    <mergeCell ref="AK58:AO58"/>
    <mergeCell ref="AP58:AT58"/>
    <mergeCell ref="AU58:AY58"/>
    <mergeCell ref="AZ58:BD58"/>
    <mergeCell ref="BE58:BI58"/>
    <mergeCell ref="B58:F58"/>
    <mergeCell ref="G58:K58"/>
    <mergeCell ref="L58:P58"/>
    <mergeCell ref="Q58:U58"/>
    <mergeCell ref="V58:Z58"/>
    <mergeCell ref="AA58:AE58"/>
    <mergeCell ref="BJ58:BN58"/>
    <mergeCell ref="BO58:BS58"/>
    <mergeCell ref="BT58:BX58"/>
    <mergeCell ref="AF35:AJ35"/>
    <mergeCell ref="AK35:AO35"/>
    <mergeCell ref="AQ35:AT35"/>
    <mergeCell ref="AU35:AY35"/>
    <mergeCell ref="D36:F36"/>
    <mergeCell ref="G36:K36"/>
    <mergeCell ref="L36:P36"/>
    <mergeCell ref="Q36:U36"/>
    <mergeCell ref="X36:Z36"/>
    <mergeCell ref="AA36:AE36"/>
    <mergeCell ref="D35:F35"/>
    <mergeCell ref="G35:K35"/>
    <mergeCell ref="L35:P35"/>
    <mergeCell ref="Q35:U35"/>
    <mergeCell ref="X35:Z35"/>
    <mergeCell ref="AA35:AE35"/>
    <mergeCell ref="AF36:AJ36"/>
    <mergeCell ref="AK36:AO36"/>
    <mergeCell ref="AQ36:AT36"/>
    <mergeCell ref="AU36:AY36"/>
    <mergeCell ref="AF34:AJ34"/>
    <mergeCell ref="AK34:AO34"/>
    <mergeCell ref="AP34:AT34"/>
    <mergeCell ref="AU34:AY34"/>
    <mergeCell ref="AZ34:BD34"/>
    <mergeCell ref="BE34:BI34"/>
    <mergeCell ref="D34:F34"/>
    <mergeCell ref="G34:K34"/>
    <mergeCell ref="L34:P34"/>
    <mergeCell ref="Q34:U34"/>
    <mergeCell ref="X34:Z34"/>
    <mergeCell ref="AA34:AE34"/>
    <mergeCell ref="AF33:AJ33"/>
    <mergeCell ref="AK33:AO33"/>
    <mergeCell ref="AP33:AT33"/>
    <mergeCell ref="AU33:AY33"/>
    <mergeCell ref="AZ33:BD33"/>
    <mergeCell ref="BE33:BI33"/>
    <mergeCell ref="D33:F33"/>
    <mergeCell ref="G33:K33"/>
    <mergeCell ref="L33:P33"/>
    <mergeCell ref="Q33:U33"/>
    <mergeCell ref="X33:Z33"/>
    <mergeCell ref="AA33:AE33"/>
    <mergeCell ref="D32:F32"/>
    <mergeCell ref="G32:K32"/>
    <mergeCell ref="L32:P32"/>
    <mergeCell ref="Q32:U32"/>
    <mergeCell ref="X32:Z32"/>
    <mergeCell ref="AA32:AE32"/>
    <mergeCell ref="AF32:AJ32"/>
    <mergeCell ref="AK32:AO32"/>
    <mergeCell ref="AR31:AT31"/>
    <mergeCell ref="BY30:CC30"/>
    <mergeCell ref="D31:F31"/>
    <mergeCell ref="G31:K31"/>
    <mergeCell ref="L31:P31"/>
    <mergeCell ref="Q31:U31"/>
    <mergeCell ref="X31:Z31"/>
    <mergeCell ref="AA31:AE31"/>
    <mergeCell ref="AF31:AJ31"/>
    <mergeCell ref="AK31:AO31"/>
    <mergeCell ref="AR30:AT30"/>
    <mergeCell ref="AU30:AY30"/>
    <mergeCell ref="AZ30:BD30"/>
    <mergeCell ref="BE30:BI30"/>
    <mergeCell ref="BJ30:BN30"/>
    <mergeCell ref="BO30:BS30"/>
    <mergeCell ref="BT31:BX31"/>
    <mergeCell ref="BY31:CC31"/>
    <mergeCell ref="AU31:AY31"/>
    <mergeCell ref="AZ31:BD31"/>
    <mergeCell ref="BE31:BI31"/>
    <mergeCell ref="BJ31:BN31"/>
    <mergeCell ref="BO31:BS31"/>
    <mergeCell ref="D30:F30"/>
    <mergeCell ref="G30:K30"/>
    <mergeCell ref="L30:P30"/>
    <mergeCell ref="Q30:U30"/>
    <mergeCell ref="X30:Z30"/>
    <mergeCell ref="AA30:AE30"/>
    <mergeCell ref="AF30:AJ30"/>
    <mergeCell ref="AK30:AO30"/>
    <mergeCell ref="AR29:AT29"/>
    <mergeCell ref="BT28:BX28"/>
    <mergeCell ref="V27:Z28"/>
    <mergeCell ref="AA27:AE28"/>
    <mergeCell ref="AR27:AT27"/>
    <mergeCell ref="AU27:AY27"/>
    <mergeCell ref="L28:P28"/>
    <mergeCell ref="Q28:U28"/>
    <mergeCell ref="AF28:AJ28"/>
    <mergeCell ref="AK28:AO28"/>
    <mergeCell ref="BT30:BX30"/>
    <mergeCell ref="BY28:CC28"/>
    <mergeCell ref="B29:F29"/>
    <mergeCell ref="G29:K29"/>
    <mergeCell ref="L29:P29"/>
    <mergeCell ref="Q29:U29"/>
    <mergeCell ref="V29:Z29"/>
    <mergeCell ref="AA29:AE29"/>
    <mergeCell ref="AF29:AJ29"/>
    <mergeCell ref="AK29:AO29"/>
    <mergeCell ref="AR28:AT28"/>
    <mergeCell ref="AU28:AY28"/>
    <mergeCell ref="AZ28:BD28"/>
    <mergeCell ref="BE28:BI28"/>
    <mergeCell ref="BJ28:BN28"/>
    <mergeCell ref="BO28:BS28"/>
    <mergeCell ref="BT29:BX29"/>
    <mergeCell ref="BY29:CC29"/>
    <mergeCell ref="AU29:AY29"/>
    <mergeCell ref="AZ29:BD29"/>
    <mergeCell ref="BE29:BI29"/>
    <mergeCell ref="BJ29:BN29"/>
    <mergeCell ref="BO29:BS29"/>
    <mergeCell ref="B27:F28"/>
    <mergeCell ref="G27:K28"/>
    <mergeCell ref="BT26:BX26"/>
    <mergeCell ref="BY26:CC26"/>
    <mergeCell ref="AR25:AT25"/>
    <mergeCell ref="AU25:AY25"/>
    <mergeCell ref="AZ25:BD25"/>
    <mergeCell ref="BE25:BI25"/>
    <mergeCell ref="BJ25:BN25"/>
    <mergeCell ref="BO25:BS25"/>
    <mergeCell ref="AZ27:BD27"/>
    <mergeCell ref="BE27:BI27"/>
    <mergeCell ref="BJ27:BN27"/>
    <mergeCell ref="BO27:BS27"/>
    <mergeCell ref="BT27:BX27"/>
    <mergeCell ref="BY27:CC27"/>
    <mergeCell ref="AZ24:BD24"/>
    <mergeCell ref="BE24:BI24"/>
    <mergeCell ref="BJ24:BN24"/>
    <mergeCell ref="BO24:BS24"/>
    <mergeCell ref="BT24:BX24"/>
    <mergeCell ref="BY24:CC24"/>
    <mergeCell ref="E24:F24"/>
    <mergeCell ref="G24:K24"/>
    <mergeCell ref="L24:P24"/>
    <mergeCell ref="Q24:U24"/>
    <mergeCell ref="AP24:AQ31"/>
    <mergeCell ref="AU24:AY24"/>
    <mergeCell ref="D25:F25"/>
    <mergeCell ref="G25:K25"/>
    <mergeCell ref="L25:P25"/>
    <mergeCell ref="Q25:U25"/>
    <mergeCell ref="BT25:BX25"/>
    <mergeCell ref="BY25:CC25"/>
    <mergeCell ref="AR26:AT26"/>
    <mergeCell ref="AU26:AY26"/>
    <mergeCell ref="AZ26:BD26"/>
    <mergeCell ref="BE26:BI26"/>
    <mergeCell ref="BJ26:BN26"/>
    <mergeCell ref="BO26:BS26"/>
    <mergeCell ref="AZ23:BD23"/>
    <mergeCell ref="BE23:BI23"/>
    <mergeCell ref="BJ23:BN23"/>
    <mergeCell ref="BO23:BS23"/>
    <mergeCell ref="BT23:BX23"/>
    <mergeCell ref="BY23:CC23"/>
    <mergeCell ref="BJ22:BN22"/>
    <mergeCell ref="BO22:BS22"/>
    <mergeCell ref="BT22:BX22"/>
    <mergeCell ref="BY22:CC22"/>
    <mergeCell ref="AZ22:BD22"/>
    <mergeCell ref="BE22:BI22"/>
    <mergeCell ref="G23:K23"/>
    <mergeCell ref="L23:P23"/>
    <mergeCell ref="Q23:U23"/>
    <mergeCell ref="AR23:AT23"/>
    <mergeCell ref="AU23:AY23"/>
    <mergeCell ref="AF22:AJ22"/>
    <mergeCell ref="AK22:AO22"/>
    <mergeCell ref="AR22:AT22"/>
    <mergeCell ref="AU22:AY22"/>
    <mergeCell ref="AZ20:BD20"/>
    <mergeCell ref="BE20:BI20"/>
    <mergeCell ref="BJ21:BN21"/>
    <mergeCell ref="BO21:BS21"/>
    <mergeCell ref="BT21:BX21"/>
    <mergeCell ref="BY21:CC21"/>
    <mergeCell ref="C22:F22"/>
    <mergeCell ref="G22:K22"/>
    <mergeCell ref="L22:P22"/>
    <mergeCell ref="Q22:U22"/>
    <mergeCell ref="X22:Z22"/>
    <mergeCell ref="AA22:AE22"/>
    <mergeCell ref="AF21:AJ21"/>
    <mergeCell ref="AK21:AO21"/>
    <mergeCell ref="AR21:AT21"/>
    <mergeCell ref="AU21:AY21"/>
    <mergeCell ref="AZ21:BD21"/>
    <mergeCell ref="BE21:BI21"/>
    <mergeCell ref="BJ19:BN19"/>
    <mergeCell ref="BO19:BS19"/>
    <mergeCell ref="BT19:BX19"/>
    <mergeCell ref="BY19:CC19"/>
    <mergeCell ref="B20:F20"/>
    <mergeCell ref="G20:K20"/>
    <mergeCell ref="L20:P20"/>
    <mergeCell ref="Q20:U20"/>
    <mergeCell ref="X20:Z20"/>
    <mergeCell ref="AA20:AE20"/>
    <mergeCell ref="AF19:AJ19"/>
    <mergeCell ref="AK19:AO19"/>
    <mergeCell ref="AR19:AT19"/>
    <mergeCell ref="AU19:AY19"/>
    <mergeCell ref="AZ19:BD19"/>
    <mergeCell ref="BE19:BI19"/>
    <mergeCell ref="BJ20:BN20"/>
    <mergeCell ref="BO20:BS20"/>
    <mergeCell ref="BT20:BX20"/>
    <mergeCell ref="BY20:CC20"/>
    <mergeCell ref="AF20:AJ20"/>
    <mergeCell ref="AK20:AO20"/>
    <mergeCell ref="AR20:AT20"/>
    <mergeCell ref="AU20:AY20"/>
    <mergeCell ref="AR18:AT18"/>
    <mergeCell ref="AU18:AY18"/>
    <mergeCell ref="AZ18:BD18"/>
    <mergeCell ref="BE18:BI18"/>
    <mergeCell ref="E18:F18"/>
    <mergeCell ref="G18:K18"/>
    <mergeCell ref="L18:P18"/>
    <mergeCell ref="Q18:U18"/>
    <mergeCell ref="W18:Z18"/>
    <mergeCell ref="AA18:AE18"/>
    <mergeCell ref="BT17:BX17"/>
    <mergeCell ref="BY17:CC17"/>
    <mergeCell ref="BJ16:BN16"/>
    <mergeCell ref="BO16:BS16"/>
    <mergeCell ref="BT16:BX16"/>
    <mergeCell ref="BY16:CC16"/>
    <mergeCell ref="BJ18:BN18"/>
    <mergeCell ref="BO18:BS18"/>
    <mergeCell ref="BT18:BX18"/>
    <mergeCell ref="BY18:CC18"/>
    <mergeCell ref="D17:F17"/>
    <mergeCell ref="G17:K17"/>
    <mergeCell ref="L17:P17"/>
    <mergeCell ref="Q17:U17"/>
    <mergeCell ref="V17:Z17"/>
    <mergeCell ref="AA17:AE17"/>
    <mergeCell ref="AF16:AJ16"/>
    <mergeCell ref="AK16:AO16"/>
    <mergeCell ref="AP16:AQ23"/>
    <mergeCell ref="D19:F19"/>
    <mergeCell ref="G19:K19"/>
    <mergeCell ref="L19:P19"/>
    <mergeCell ref="Q19:U19"/>
    <mergeCell ref="W19:Z19"/>
    <mergeCell ref="AA19:AE19"/>
    <mergeCell ref="AF18:AJ18"/>
    <mergeCell ref="AK18:AO18"/>
    <mergeCell ref="C21:F21"/>
    <mergeCell ref="G21:K21"/>
    <mergeCell ref="L21:P21"/>
    <mergeCell ref="Q21:U21"/>
    <mergeCell ref="Y21:Z21"/>
    <mergeCell ref="AA21:AE21"/>
    <mergeCell ref="D23:F23"/>
    <mergeCell ref="AU16:AY16"/>
    <mergeCell ref="AZ16:BD16"/>
    <mergeCell ref="BE16:BI16"/>
    <mergeCell ref="AF17:AJ17"/>
    <mergeCell ref="AK17:AO17"/>
    <mergeCell ref="AR17:AT17"/>
    <mergeCell ref="AU17:AY17"/>
    <mergeCell ref="BJ15:BN15"/>
    <mergeCell ref="BO15:BS15"/>
    <mergeCell ref="AZ17:BD17"/>
    <mergeCell ref="BE17:BI17"/>
    <mergeCell ref="BJ17:BN17"/>
    <mergeCell ref="BO17:BS17"/>
    <mergeCell ref="C16:F16"/>
    <mergeCell ref="G16:K16"/>
    <mergeCell ref="L16:P16"/>
    <mergeCell ref="Q16:U16"/>
    <mergeCell ref="W16:Z16"/>
    <mergeCell ref="AA16:AE16"/>
    <mergeCell ref="AF15:AJ15"/>
    <mergeCell ref="AK15:AO15"/>
    <mergeCell ref="AR15:AT15"/>
    <mergeCell ref="AZ13:BD13"/>
    <mergeCell ref="BE13:BI13"/>
    <mergeCell ref="BJ14:BN14"/>
    <mergeCell ref="BO14:BS14"/>
    <mergeCell ref="BT14:BX14"/>
    <mergeCell ref="BY14:CC14"/>
    <mergeCell ref="C15:F15"/>
    <mergeCell ref="G15:K15"/>
    <mergeCell ref="L15:P15"/>
    <mergeCell ref="Q15:U15"/>
    <mergeCell ref="W15:Z15"/>
    <mergeCell ref="AA15:AE15"/>
    <mergeCell ref="AF14:AJ14"/>
    <mergeCell ref="AK14:AO14"/>
    <mergeCell ref="AR14:AT14"/>
    <mergeCell ref="AU14:AY14"/>
    <mergeCell ref="AZ14:BD14"/>
    <mergeCell ref="BE14:BI14"/>
    <mergeCell ref="BT15:BX15"/>
    <mergeCell ref="BY15:CC15"/>
    <mergeCell ref="AU15:AY15"/>
    <mergeCell ref="AZ15:BD15"/>
    <mergeCell ref="BE15:BI15"/>
    <mergeCell ref="B14:F14"/>
    <mergeCell ref="G14:K14"/>
    <mergeCell ref="L14:P14"/>
    <mergeCell ref="Q14:U14"/>
    <mergeCell ref="V14:Z14"/>
    <mergeCell ref="AA14:AE14"/>
    <mergeCell ref="AF13:AJ13"/>
    <mergeCell ref="AK13:AO13"/>
    <mergeCell ref="AR13:AT13"/>
    <mergeCell ref="AU11:AY11"/>
    <mergeCell ref="G12:K12"/>
    <mergeCell ref="L12:P12"/>
    <mergeCell ref="Q12:U12"/>
    <mergeCell ref="Y12:Z12"/>
    <mergeCell ref="AA12:AE12"/>
    <mergeCell ref="AF11:AJ11"/>
    <mergeCell ref="AK11:AO11"/>
    <mergeCell ref="AR11:AT11"/>
    <mergeCell ref="AZ11:BD11"/>
    <mergeCell ref="BE11:BI11"/>
    <mergeCell ref="BJ12:BN12"/>
    <mergeCell ref="BO12:BS12"/>
    <mergeCell ref="BT12:BX12"/>
    <mergeCell ref="BY12:CC12"/>
    <mergeCell ref="D13:F13"/>
    <mergeCell ref="G13:K13"/>
    <mergeCell ref="L13:P13"/>
    <mergeCell ref="Q13:U13"/>
    <mergeCell ref="X13:Z13"/>
    <mergeCell ref="AA13:AE13"/>
    <mergeCell ref="AF12:AJ12"/>
    <mergeCell ref="AK12:AO12"/>
    <mergeCell ref="AR12:AT12"/>
    <mergeCell ref="AU12:AY12"/>
    <mergeCell ref="AZ12:BD12"/>
    <mergeCell ref="BE12:BI12"/>
    <mergeCell ref="BJ13:BN13"/>
    <mergeCell ref="BO13:BS13"/>
    <mergeCell ref="BT13:BX13"/>
    <mergeCell ref="BY13:CC13"/>
    <mergeCell ref="AU13:AY13"/>
    <mergeCell ref="E12:F12"/>
    <mergeCell ref="BT10:BX10"/>
    <mergeCell ref="BY10:CC10"/>
    <mergeCell ref="D11:F11"/>
    <mergeCell ref="G11:K11"/>
    <mergeCell ref="L11:P11"/>
    <mergeCell ref="Q11:U11"/>
    <mergeCell ref="X11:Z11"/>
    <mergeCell ref="AA11:AE11"/>
    <mergeCell ref="AF10:AJ10"/>
    <mergeCell ref="AK10:AO10"/>
    <mergeCell ref="AR10:AT10"/>
    <mergeCell ref="AU10:AY10"/>
    <mergeCell ref="AZ10:BD10"/>
    <mergeCell ref="BE10:BI10"/>
    <mergeCell ref="C10:F10"/>
    <mergeCell ref="G10:K10"/>
    <mergeCell ref="L10:P10"/>
    <mergeCell ref="Q10:U10"/>
    <mergeCell ref="W10:Z10"/>
    <mergeCell ref="AA10:AE10"/>
    <mergeCell ref="BJ11:BN11"/>
    <mergeCell ref="BO11:BS11"/>
    <mergeCell ref="BT11:BX11"/>
    <mergeCell ref="BY11:CC11"/>
    <mergeCell ref="B8:F8"/>
    <mergeCell ref="G8:K8"/>
    <mergeCell ref="L8:P8"/>
    <mergeCell ref="Q8:U8"/>
    <mergeCell ref="V8:Z8"/>
    <mergeCell ref="AA8:AE8"/>
    <mergeCell ref="C9:F9"/>
    <mergeCell ref="G9:K9"/>
    <mergeCell ref="L9:P9"/>
    <mergeCell ref="Q9:U9"/>
    <mergeCell ref="W9:Z9"/>
    <mergeCell ref="AA9:AE9"/>
    <mergeCell ref="BT3:CC3"/>
    <mergeCell ref="BT4:CC4"/>
    <mergeCell ref="AU8:AY8"/>
    <mergeCell ref="AZ8:BD8"/>
    <mergeCell ref="BE8:BI8"/>
    <mergeCell ref="AF9:AJ9"/>
    <mergeCell ref="AK9:AO9"/>
    <mergeCell ref="AR9:AT9"/>
    <mergeCell ref="AU9:AY9"/>
    <mergeCell ref="AF8:AJ8"/>
    <mergeCell ref="AK8:AO8"/>
    <mergeCell ref="AP8:AQ15"/>
    <mergeCell ref="AZ9:BD9"/>
    <mergeCell ref="BE9:BI9"/>
    <mergeCell ref="BJ9:BN9"/>
    <mergeCell ref="BO9:BS9"/>
    <mergeCell ref="BT9:BX9"/>
    <mergeCell ref="BY9:CC9"/>
    <mergeCell ref="BJ8:BN8"/>
    <mergeCell ref="BO8:BS8"/>
    <mergeCell ref="BT8:BX8"/>
    <mergeCell ref="BY8:CC8"/>
    <mergeCell ref="BJ10:BN10"/>
    <mergeCell ref="BO10:BS10"/>
    <mergeCell ref="B6:F7"/>
    <mergeCell ref="G6:K7"/>
    <mergeCell ref="V6:Z7"/>
    <mergeCell ref="AA6:AE7"/>
    <mergeCell ref="AP6:AT7"/>
    <mergeCell ref="AU6:AY7"/>
    <mergeCell ref="AZ6:BD7"/>
    <mergeCell ref="BO6:BS7"/>
    <mergeCell ref="BY6:CC7"/>
    <mergeCell ref="L7:P7"/>
    <mergeCell ref="Q7:U7"/>
    <mergeCell ref="AF7:AJ7"/>
    <mergeCell ref="AK7:AO7"/>
    <mergeCell ref="BE7:BI7"/>
    <mergeCell ref="BJ7:BN7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No1</vt:lpstr>
      <vt:lpstr>No2</vt:lpstr>
      <vt:lpstr>No3</vt:lpstr>
      <vt:lpstr>通信欄</vt:lpstr>
      <vt:lpstr>No4</vt:lpstr>
      <vt:lpstr>No5</vt:lpstr>
      <vt:lpstr>No6</vt:lpstr>
      <vt:lpstr>'No1'!Print_Area</vt:lpstr>
      <vt:lpstr>'No2'!Print_Area</vt:lpstr>
      <vt:lpstr>'No3'!Print_Area</vt:lpstr>
      <vt:lpstr>'No4'!Print_Area</vt:lpstr>
      <vt:lpstr>'No5'!Print_Area</vt:lpstr>
      <vt:lpstr>'No6'!Print_Area</vt:lpstr>
      <vt:lpstr>通信欄!Print_Area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2011-10-11T04:43:04Z</cp:lastPrinted>
  <dcterms:created xsi:type="dcterms:W3CDTF">2011-03-24T15:00:00Z</dcterms:created>
  <dcterms:modified xsi:type="dcterms:W3CDTF">2022-12-07T02:21:46Z</dcterms:modified>
</cp:coreProperties>
</file>